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assumptions\"/>
    </mc:Choice>
  </mc:AlternateContent>
  <xr:revisionPtr revIDLastSave="0" documentId="13_ncr:1_{A34CEC08-4B47-4BAB-8E6B-9E0ED7303FA9}" xr6:coauthVersionLast="47" xr6:coauthVersionMax="47" xr10:uidLastSave="{00000000-0000-0000-0000-000000000000}"/>
  <bookViews>
    <workbookView xWindow="28680" yWindow="-120" windowWidth="29040" windowHeight="17520" activeTab="1" xr2:uid="{19DC7AB1-44E4-4D40-A469-C0A475331B64}"/>
  </bookViews>
  <sheets>
    <sheet name="ofc_list" sheetId="2" r:id="rId1"/>
    <sheet name="sharehouseholddep" sheetId="3" r:id="rId2"/>
  </sheets>
  <definedNames>
    <definedName name="_xlnm._FilterDatabase" localSheetId="0" hidden="1">ofc_list!$A$2:$H$2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7" i="3" s="1"/>
  <c r="D18" i="3" s="1"/>
  <c r="C16" i="3"/>
  <c r="C17" i="3" s="1"/>
  <c r="C18" i="3" s="1"/>
  <c r="C1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Moura</author>
  </authors>
  <commentList>
    <comment ref="O48" authorId="0" shapeId="0" xr:uid="{275F78F4-5D33-4EF4-B203-50480E98F370}">
      <text>
        <r>
          <rPr>
            <b/>
            <sz val="9"/>
            <color indexed="81"/>
            <rFont val="Tahoma"/>
            <family val="2"/>
          </rPr>
          <t>Carolina Moura:</t>
        </r>
        <r>
          <rPr>
            <sz val="9"/>
            <color indexed="81"/>
            <rFont val="Tahoma"/>
            <family val="2"/>
          </rPr>
          <t xml:space="preserve">
we created a dataset</t>
        </r>
      </text>
    </comment>
  </commentList>
</comments>
</file>

<file path=xl/sharedStrings.xml><?xml version="1.0" encoding="utf-8"?>
<sst xmlns="http://schemas.openxmlformats.org/spreadsheetml/2006/main" count="241" uniqueCount="218">
  <si>
    <t>FGMZ lists</t>
  </si>
  <si>
    <t>iso-2</t>
  </si>
  <si>
    <t>iso-3</t>
  </si>
  <si>
    <t>countryname</t>
  </si>
  <si>
    <t>ofc_reporter</t>
  </si>
  <si>
    <t>ofc_pure_haven</t>
  </si>
  <si>
    <t>ofc_hybrid_haven</t>
  </si>
  <si>
    <t>ofc_conduit_haven</t>
  </si>
  <si>
    <t>shell_share</t>
  </si>
  <si>
    <t>AW</t>
  </si>
  <si>
    <t>ABW</t>
  </si>
  <si>
    <t>Aruba</t>
  </si>
  <si>
    <t>AI</t>
  </si>
  <si>
    <t>AIA</t>
  </si>
  <si>
    <t>Anguilla</t>
  </si>
  <si>
    <t>AD</t>
  </si>
  <si>
    <t>AND</t>
  </si>
  <si>
    <t>Andorra</t>
  </si>
  <si>
    <t>AN</t>
  </si>
  <si>
    <t>ANT</t>
  </si>
  <si>
    <t>Netherlands Antilles</t>
  </si>
  <si>
    <t>AE</t>
  </si>
  <si>
    <t>ARE</t>
  </si>
  <si>
    <t>United Arab Emirates</t>
  </si>
  <si>
    <t>AG</t>
  </si>
  <si>
    <t>ATG</t>
  </si>
  <si>
    <t>Antigua and Barbuda</t>
  </si>
  <si>
    <t>AT</t>
  </si>
  <si>
    <t>AUT</t>
  </si>
  <si>
    <t>Austria</t>
  </si>
  <si>
    <t>BE</t>
  </si>
  <si>
    <t>BEL</t>
  </si>
  <si>
    <t>Belgium</t>
  </si>
  <si>
    <t>0.5</t>
  </si>
  <si>
    <t>BQ</t>
  </si>
  <si>
    <t>BES</t>
  </si>
  <si>
    <t>Bonaire, Sint Eustatius and Saba</t>
  </si>
  <si>
    <t>BH</t>
  </si>
  <si>
    <t>BHR</t>
  </si>
  <si>
    <t>Bahrain</t>
  </si>
  <si>
    <t>BS</t>
  </si>
  <si>
    <t>BHS</t>
  </si>
  <si>
    <t>Bahamas</t>
  </si>
  <si>
    <t>BZ</t>
  </si>
  <si>
    <t>BLZ</t>
  </si>
  <si>
    <t>Belize</t>
  </si>
  <si>
    <t>BM</t>
  </si>
  <si>
    <t>BMU</t>
  </si>
  <si>
    <t>Bermuda</t>
  </si>
  <si>
    <t>BB</t>
  </si>
  <si>
    <t>BRB</t>
  </si>
  <si>
    <t>Barbados</t>
  </si>
  <si>
    <t>CH</t>
  </si>
  <si>
    <t>CHE</t>
  </si>
  <si>
    <t>Switzerland</t>
  </si>
  <si>
    <t>CL</t>
  </si>
  <si>
    <t>CHL</t>
  </si>
  <si>
    <t>Chile</t>
  </si>
  <si>
    <t>CK</t>
  </si>
  <si>
    <t>COK</t>
  </si>
  <si>
    <t>Cook Islands</t>
  </si>
  <si>
    <t>CR</t>
  </si>
  <si>
    <t>CRI</t>
  </si>
  <si>
    <t>Costa Rica</t>
  </si>
  <si>
    <t>CW</t>
  </si>
  <si>
    <t>CUW</t>
  </si>
  <si>
    <t>Curaçao</t>
  </si>
  <si>
    <t>KY</t>
  </si>
  <si>
    <t>CYM</t>
  </si>
  <si>
    <t>Cayman Islands</t>
  </si>
  <si>
    <t>CY</t>
  </si>
  <si>
    <t>CYP</t>
  </si>
  <si>
    <t>Cyprus</t>
  </si>
  <si>
    <t>DM</t>
  </si>
  <si>
    <t>DMA</t>
  </si>
  <si>
    <t>Dominica</t>
  </si>
  <si>
    <t>GB</t>
  </si>
  <si>
    <t>GBR</t>
  </si>
  <si>
    <t>United Kingdom</t>
  </si>
  <si>
    <t>GG</t>
  </si>
  <si>
    <t>GGY</t>
  </si>
  <si>
    <t>Guernsey</t>
  </si>
  <si>
    <t>GI</t>
  </si>
  <si>
    <t>GIB</t>
  </si>
  <si>
    <t>Gibraltar</t>
  </si>
  <si>
    <t>GD</t>
  </si>
  <si>
    <t>GRD</t>
  </si>
  <si>
    <t>Grenada</t>
  </si>
  <si>
    <t>GY</t>
  </si>
  <si>
    <t>GUY</t>
  </si>
  <si>
    <t>Guyana</t>
  </si>
  <si>
    <t>HK</t>
  </si>
  <si>
    <t>HKG</t>
  </si>
  <si>
    <t>China, Hong Kong Special Administrative Region</t>
  </si>
  <si>
    <t>IM</t>
  </si>
  <si>
    <t>IMN</t>
  </si>
  <si>
    <t>Isle of Man</t>
  </si>
  <si>
    <t>IO</t>
  </si>
  <si>
    <t>IOT</t>
  </si>
  <si>
    <t>British Indian Ocean Territory (comprises Chagos Archipelago)</t>
  </si>
  <si>
    <t>IE</t>
  </si>
  <si>
    <t>IRL</t>
  </si>
  <si>
    <t>Ireland</t>
  </si>
  <si>
    <t>JE</t>
  </si>
  <si>
    <t>JEY</t>
  </si>
  <si>
    <t>Jersey</t>
  </si>
  <si>
    <t>JO</t>
  </si>
  <si>
    <t>JOR</t>
  </si>
  <si>
    <t>Jordan</t>
  </si>
  <si>
    <t>KN</t>
  </si>
  <si>
    <t>KNA</t>
  </si>
  <si>
    <t>St. Kitts and Nevis</t>
  </si>
  <si>
    <t>LB</t>
  </si>
  <si>
    <t>LBN</t>
  </si>
  <si>
    <t>Lebanon</t>
  </si>
  <si>
    <t>LR</t>
  </si>
  <si>
    <t>LBR</t>
  </si>
  <si>
    <t>Liberia</t>
  </si>
  <si>
    <t>LC</t>
  </si>
  <si>
    <t>LCA</t>
  </si>
  <si>
    <t>Saint Lucia</t>
  </si>
  <si>
    <t>LI</t>
  </si>
  <si>
    <t>LIE</t>
  </si>
  <si>
    <t>Liechtenstein</t>
  </si>
  <si>
    <t>LU</t>
  </si>
  <si>
    <t>LUX</t>
  </si>
  <si>
    <t>Luxembourg</t>
  </si>
  <si>
    <t>MO</t>
  </si>
  <si>
    <t>MAC</t>
  </si>
  <si>
    <t>Macao</t>
  </si>
  <si>
    <t>MC</t>
  </si>
  <si>
    <t>MCO</t>
  </si>
  <si>
    <t xml:space="preserve">Monaco </t>
  </si>
  <si>
    <t>MV</t>
  </si>
  <si>
    <t>MDV</t>
  </si>
  <si>
    <t>Maldives</t>
  </si>
  <si>
    <t>MH</t>
  </si>
  <si>
    <t>MHL</t>
  </si>
  <si>
    <t>Marshall Islands</t>
  </si>
  <si>
    <t>MT</t>
  </si>
  <si>
    <t>MLT</t>
  </si>
  <si>
    <t>Malta</t>
  </si>
  <si>
    <t>MS</t>
  </si>
  <si>
    <t>MSR</t>
  </si>
  <si>
    <t>Montserrat</t>
  </si>
  <si>
    <t>MU</t>
  </si>
  <si>
    <t>MUS</t>
  </si>
  <si>
    <t>Mauritius</t>
  </si>
  <si>
    <t>MY</t>
  </si>
  <si>
    <t>MYS</t>
  </si>
  <si>
    <t>Malaysia</t>
  </si>
  <si>
    <t>NU</t>
  </si>
  <si>
    <t>NIU</t>
  </si>
  <si>
    <t>Niue</t>
  </si>
  <si>
    <t>NL</t>
  </si>
  <si>
    <t>NLD</t>
  </si>
  <si>
    <t>Netherlands</t>
  </si>
  <si>
    <t>NR</t>
  </si>
  <si>
    <t>NRU</t>
  </si>
  <si>
    <t>Nauru</t>
  </si>
  <si>
    <t>NZ</t>
  </si>
  <si>
    <t>NZL</t>
  </si>
  <si>
    <t>New Zealand</t>
  </si>
  <si>
    <t>PA</t>
  </si>
  <si>
    <t>PAN</t>
  </si>
  <si>
    <t>Panama</t>
  </si>
  <si>
    <t>PW</t>
  </si>
  <si>
    <t>PLW</t>
  </si>
  <si>
    <t>Palau</t>
  </si>
  <si>
    <t>SG</t>
  </si>
  <si>
    <t>SGP</t>
  </si>
  <si>
    <t>Singapore</t>
  </si>
  <si>
    <t>SM</t>
  </si>
  <si>
    <t>SMR</t>
  </si>
  <si>
    <t>San Marino</t>
  </si>
  <si>
    <t>SX</t>
  </si>
  <si>
    <t>SXM</t>
  </si>
  <si>
    <t>Sint Maarten</t>
  </si>
  <si>
    <t>SC</t>
  </si>
  <si>
    <t>SYC</t>
  </si>
  <si>
    <t>Seychelles</t>
  </si>
  <si>
    <t>TC</t>
  </si>
  <si>
    <t>TCA</t>
  </si>
  <si>
    <t>Turks and Caicos Islands</t>
  </si>
  <si>
    <t>TP</t>
  </si>
  <si>
    <t>TON</t>
  </si>
  <si>
    <t>Tonga</t>
  </si>
  <si>
    <t>TT</t>
  </si>
  <si>
    <t>TTO</t>
  </si>
  <si>
    <t>Trinidad and Tobago</t>
  </si>
  <si>
    <t>UY</t>
  </si>
  <si>
    <t>URY</t>
  </si>
  <si>
    <t>Uruguay</t>
  </si>
  <si>
    <t>US</t>
  </si>
  <si>
    <t>USA</t>
  </si>
  <si>
    <t>United States</t>
  </si>
  <si>
    <t>VC</t>
  </si>
  <si>
    <t>VCT</t>
  </si>
  <si>
    <t>Saint Vincent and the Grenadines</t>
  </si>
  <si>
    <t>VG</t>
  </si>
  <si>
    <t>VGB</t>
  </si>
  <si>
    <t>Virgin Islands, British</t>
  </si>
  <si>
    <t>VI</t>
  </si>
  <si>
    <t>VIR</t>
  </si>
  <si>
    <t>Virgin Islands, U.S.</t>
  </si>
  <si>
    <t>VU</t>
  </si>
  <si>
    <t>VUT</t>
  </si>
  <si>
    <t>Vanuatu</t>
  </si>
  <si>
    <t>WS</t>
  </si>
  <si>
    <t>WSM</t>
  </si>
  <si>
    <t>Samoa</t>
  </si>
  <si>
    <t>1W</t>
  </si>
  <si>
    <t>British Overseas Territories</t>
  </si>
  <si>
    <t>BIZ_1Z</t>
  </si>
  <si>
    <t>West Indies UK (Anguilla, British Virgin Islands, Montserrat as in SNB)</t>
  </si>
  <si>
    <t>TAA</t>
  </si>
  <si>
    <t>British Overseas Territories (Including British Antarctic Territory, British Indian Ocean Territory, Chagos, Pitcairn Islands, South Georgia and South Sandwich Islands)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</si>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</sst>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0" fontId="4" fillId="0" borderId="0" xfId="2"/>
    <xf numFmtId="0" fontId="0" fillId="3" borderId="0" xfId="0" applyFill="1" applyAlignment="1">
      <alignment horizontal="left" vertical="top"/>
    </xf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0" fontId="7" fillId="0" borderId="0" xfId="0" applyFont="1" applyAlignment="1">
      <alignment wrapText="1"/>
    </xf>
    <xf numFmtId="9" fontId="7" fillId="0" borderId="0" xfId="1" applyFont="1"/>
    <xf numFmtId="9" fontId="8" fillId="0" borderId="0" xfId="0" applyNumberFormat="1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2" xr:uid="{124EDDE5-EC82-41F2-850A-38B030F5AE5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A4F9-6675-4C0F-8208-2E26DD10D2C4}">
  <dimension ref="A1:O72"/>
  <sheetViews>
    <sheetView zoomScale="70" zoomScaleNormal="70" workbookViewId="0">
      <selection activeCell="L17" sqref="L17"/>
    </sheetView>
  </sheetViews>
  <sheetFormatPr defaultColWidth="9.81640625" defaultRowHeight="14.5" x14ac:dyDescent="0.35"/>
  <cols>
    <col min="3" max="3" width="30.1796875" customWidth="1"/>
    <col min="4" max="8" width="9.81640625" customWidth="1"/>
  </cols>
  <sheetData>
    <row r="1" spans="1:15" x14ac:dyDescent="0.35">
      <c r="D1" s="17" t="s">
        <v>0</v>
      </c>
      <c r="E1" s="17"/>
      <c r="F1" s="17"/>
      <c r="G1" s="17"/>
      <c r="H1" s="1"/>
      <c r="I1" s="1"/>
      <c r="N1" s="2"/>
      <c r="O1" s="2"/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N2" s="3"/>
      <c r="O2" s="3"/>
    </row>
    <row r="3" spans="1:15" x14ac:dyDescent="0.35">
      <c r="A3" s="3" t="s">
        <v>9</v>
      </c>
      <c r="B3" s="3" t="s">
        <v>10</v>
      </c>
      <c r="C3" s="3" t="s">
        <v>11</v>
      </c>
      <c r="D3" s="4">
        <v>0</v>
      </c>
      <c r="E3" s="4">
        <v>1</v>
      </c>
      <c r="F3">
        <v>0</v>
      </c>
      <c r="G3">
        <v>0</v>
      </c>
      <c r="N3" s="3"/>
      <c r="O3" s="3"/>
    </row>
    <row r="4" spans="1:15" x14ac:dyDescent="0.35">
      <c r="A4" t="s">
        <v>12</v>
      </c>
      <c r="B4" s="5" t="s">
        <v>13</v>
      </c>
      <c r="C4" s="6" t="s">
        <v>14</v>
      </c>
      <c r="D4" s="4">
        <v>0</v>
      </c>
      <c r="E4" s="4">
        <v>1</v>
      </c>
      <c r="F4">
        <v>0</v>
      </c>
      <c r="G4">
        <v>0</v>
      </c>
      <c r="N4" s="3"/>
      <c r="O4" s="3"/>
    </row>
    <row r="5" spans="1:15" x14ac:dyDescent="0.35">
      <c r="A5" s="3" t="s">
        <v>15</v>
      </c>
      <c r="B5" s="3" t="s">
        <v>16</v>
      </c>
      <c r="C5" s="3" t="s">
        <v>17</v>
      </c>
      <c r="D5" s="4">
        <v>0</v>
      </c>
      <c r="E5" s="4">
        <v>1</v>
      </c>
      <c r="F5">
        <v>0</v>
      </c>
      <c r="G5">
        <v>0</v>
      </c>
      <c r="N5" s="3"/>
      <c r="O5" s="3"/>
    </row>
    <row r="6" spans="1:15" x14ac:dyDescent="0.35">
      <c r="A6" s="3" t="s">
        <v>18</v>
      </c>
      <c r="B6" s="3" t="s">
        <v>19</v>
      </c>
      <c r="C6" s="3" t="s">
        <v>20</v>
      </c>
      <c r="D6" s="4">
        <v>1</v>
      </c>
      <c r="E6" s="4">
        <v>1</v>
      </c>
      <c r="F6">
        <v>0</v>
      </c>
      <c r="G6">
        <v>0</v>
      </c>
      <c r="N6" s="3"/>
      <c r="O6" s="3"/>
    </row>
    <row r="7" spans="1:15" x14ac:dyDescent="0.35">
      <c r="A7" s="3" t="s">
        <v>21</v>
      </c>
      <c r="B7" s="6" t="s">
        <v>22</v>
      </c>
      <c r="C7" s="6" t="s">
        <v>23</v>
      </c>
      <c r="D7" s="4">
        <v>1</v>
      </c>
      <c r="E7" s="4">
        <v>1</v>
      </c>
      <c r="F7">
        <v>0</v>
      </c>
      <c r="G7">
        <v>0</v>
      </c>
      <c r="N7" s="3"/>
      <c r="O7" s="3"/>
    </row>
    <row r="8" spans="1:15" x14ac:dyDescent="0.35">
      <c r="A8" s="3" t="s">
        <v>24</v>
      </c>
      <c r="B8" s="3" t="s">
        <v>25</v>
      </c>
      <c r="C8" s="3" t="s">
        <v>26</v>
      </c>
      <c r="D8" s="4">
        <v>0</v>
      </c>
      <c r="E8" s="4">
        <v>1</v>
      </c>
      <c r="F8">
        <v>0</v>
      </c>
      <c r="G8">
        <v>0</v>
      </c>
      <c r="N8" s="3"/>
      <c r="O8" s="3"/>
    </row>
    <row r="9" spans="1:15" x14ac:dyDescent="0.35">
      <c r="A9" s="3" t="s">
        <v>27</v>
      </c>
      <c r="B9" s="3" t="s">
        <v>28</v>
      </c>
      <c r="C9" s="3" t="s">
        <v>29</v>
      </c>
      <c r="D9" s="4">
        <v>1</v>
      </c>
      <c r="E9" s="7">
        <v>0</v>
      </c>
      <c r="F9">
        <v>1</v>
      </c>
      <c r="G9">
        <v>0</v>
      </c>
      <c r="N9" s="3"/>
      <c r="O9" s="3"/>
    </row>
    <row r="10" spans="1:15" x14ac:dyDescent="0.35">
      <c r="A10" s="3" t="s">
        <v>30</v>
      </c>
      <c r="B10" s="3" t="s">
        <v>31</v>
      </c>
      <c r="C10" s="3" t="s">
        <v>32</v>
      </c>
      <c r="D10" s="4">
        <v>1</v>
      </c>
      <c r="E10" s="7">
        <v>0</v>
      </c>
      <c r="F10">
        <v>1</v>
      </c>
      <c r="G10">
        <v>1</v>
      </c>
      <c r="H10" t="s">
        <v>33</v>
      </c>
      <c r="N10" s="3"/>
      <c r="O10" s="3"/>
    </row>
    <row r="11" spans="1:15" x14ac:dyDescent="0.35">
      <c r="A11" s="3" t="s">
        <v>34</v>
      </c>
      <c r="B11" s="3" t="s">
        <v>35</v>
      </c>
      <c r="C11" s="3" t="s">
        <v>36</v>
      </c>
      <c r="D11" s="4">
        <v>0</v>
      </c>
      <c r="E11" s="4">
        <v>1</v>
      </c>
      <c r="F11">
        <v>0</v>
      </c>
      <c r="G11">
        <v>0</v>
      </c>
      <c r="N11" s="3"/>
      <c r="O11" s="3"/>
    </row>
    <row r="12" spans="1:15" x14ac:dyDescent="0.35">
      <c r="A12" s="3" t="s">
        <v>37</v>
      </c>
      <c r="B12" s="3" t="s">
        <v>38</v>
      </c>
      <c r="C12" s="3" t="s">
        <v>39</v>
      </c>
      <c r="D12" s="4">
        <v>1</v>
      </c>
      <c r="E12" s="4">
        <v>1</v>
      </c>
      <c r="F12">
        <v>0</v>
      </c>
      <c r="G12">
        <v>0</v>
      </c>
      <c r="N12" s="3"/>
      <c r="O12" s="3"/>
    </row>
    <row r="13" spans="1:15" x14ac:dyDescent="0.35">
      <c r="A13" s="3" t="s">
        <v>40</v>
      </c>
      <c r="B13" s="3" t="s">
        <v>41</v>
      </c>
      <c r="C13" s="3" t="s">
        <v>42</v>
      </c>
      <c r="D13" s="4">
        <v>1</v>
      </c>
      <c r="E13" s="4">
        <v>1</v>
      </c>
      <c r="F13">
        <v>0</v>
      </c>
      <c r="G13">
        <v>0</v>
      </c>
      <c r="N13" s="3"/>
      <c r="O13" s="3"/>
    </row>
    <row r="14" spans="1:15" x14ac:dyDescent="0.35">
      <c r="A14" s="3" t="s">
        <v>43</v>
      </c>
      <c r="B14" s="3" t="s">
        <v>44</v>
      </c>
      <c r="C14" s="3" t="s">
        <v>45</v>
      </c>
      <c r="D14" s="4">
        <v>0</v>
      </c>
      <c r="E14" s="4">
        <v>1</v>
      </c>
      <c r="F14">
        <v>0</v>
      </c>
      <c r="G14">
        <v>0</v>
      </c>
      <c r="N14" s="3"/>
      <c r="O14" s="3"/>
    </row>
    <row r="15" spans="1:15" x14ac:dyDescent="0.35">
      <c r="A15" s="3" t="s">
        <v>46</v>
      </c>
      <c r="B15" s="3" t="s">
        <v>47</v>
      </c>
      <c r="C15" s="3" t="s">
        <v>48</v>
      </c>
      <c r="D15" s="4">
        <v>1</v>
      </c>
      <c r="E15" s="4">
        <v>1</v>
      </c>
      <c r="F15">
        <v>0</v>
      </c>
      <c r="G15">
        <v>0</v>
      </c>
      <c r="N15" s="3"/>
      <c r="O15" s="3"/>
    </row>
    <row r="16" spans="1:15" x14ac:dyDescent="0.35">
      <c r="A16" s="3" t="s">
        <v>49</v>
      </c>
      <c r="B16" s="3" t="s">
        <v>50</v>
      </c>
      <c r="C16" s="3" t="s">
        <v>51</v>
      </c>
      <c r="D16" s="4">
        <v>0</v>
      </c>
      <c r="E16" s="4">
        <v>1</v>
      </c>
      <c r="F16">
        <v>0</v>
      </c>
      <c r="G16">
        <v>0</v>
      </c>
      <c r="N16" s="3"/>
      <c r="O16" s="3"/>
    </row>
    <row r="17" spans="1:15" x14ac:dyDescent="0.35">
      <c r="A17" s="3" t="s">
        <v>52</v>
      </c>
      <c r="B17" s="3" t="s">
        <v>53</v>
      </c>
      <c r="C17" s="3" t="s">
        <v>54</v>
      </c>
      <c r="D17" s="4">
        <v>1</v>
      </c>
      <c r="E17" s="4">
        <v>1</v>
      </c>
      <c r="F17">
        <v>0</v>
      </c>
      <c r="G17">
        <v>1</v>
      </c>
      <c r="H17">
        <v>1</v>
      </c>
      <c r="N17" s="3"/>
      <c r="O17" s="3"/>
    </row>
    <row r="18" spans="1:15" x14ac:dyDescent="0.35">
      <c r="A18" s="3" t="s">
        <v>55</v>
      </c>
      <c r="B18" s="3" t="s">
        <v>56</v>
      </c>
      <c r="C18" s="3" t="s">
        <v>57</v>
      </c>
      <c r="D18" s="4">
        <v>0</v>
      </c>
      <c r="E18" s="4">
        <v>0</v>
      </c>
      <c r="F18">
        <v>0</v>
      </c>
      <c r="G18">
        <v>0</v>
      </c>
      <c r="N18" s="3"/>
      <c r="O18" s="3"/>
    </row>
    <row r="19" spans="1:15" x14ac:dyDescent="0.35">
      <c r="A19" t="s">
        <v>58</v>
      </c>
      <c r="B19" s="5" t="s">
        <v>59</v>
      </c>
      <c r="C19" s="6" t="s">
        <v>60</v>
      </c>
      <c r="D19" s="4">
        <v>0</v>
      </c>
      <c r="E19" s="4">
        <v>1</v>
      </c>
      <c r="F19">
        <v>0</v>
      </c>
      <c r="G19">
        <v>0</v>
      </c>
      <c r="N19" s="3"/>
      <c r="O19" s="3"/>
    </row>
    <row r="20" spans="1:15" x14ac:dyDescent="0.35">
      <c r="A20" s="3" t="s">
        <v>61</v>
      </c>
      <c r="B20" s="3" t="s">
        <v>62</v>
      </c>
      <c r="C20" s="3" t="s">
        <v>63</v>
      </c>
      <c r="D20" s="4">
        <v>0</v>
      </c>
      <c r="E20" s="4">
        <v>1</v>
      </c>
      <c r="F20">
        <v>0</v>
      </c>
      <c r="G20">
        <v>0</v>
      </c>
      <c r="N20" s="3"/>
      <c r="O20" s="3"/>
    </row>
    <row r="21" spans="1:15" x14ac:dyDescent="0.35">
      <c r="A21" s="3" t="s">
        <v>64</v>
      </c>
      <c r="B21" s="3" t="s">
        <v>65</v>
      </c>
      <c r="C21" s="3" t="s">
        <v>66</v>
      </c>
      <c r="D21" s="4">
        <v>1</v>
      </c>
      <c r="E21" s="4">
        <v>1</v>
      </c>
      <c r="F21">
        <v>0</v>
      </c>
      <c r="G21">
        <v>0</v>
      </c>
      <c r="N21" s="3"/>
      <c r="O21" s="3"/>
    </row>
    <row r="22" spans="1:15" x14ac:dyDescent="0.35">
      <c r="A22" s="3" t="s">
        <v>67</v>
      </c>
      <c r="B22" s="3" t="s">
        <v>68</v>
      </c>
      <c r="C22" s="3" t="s">
        <v>69</v>
      </c>
      <c r="D22" s="4">
        <v>1</v>
      </c>
      <c r="E22" s="4">
        <v>1</v>
      </c>
      <c r="F22">
        <v>0</v>
      </c>
      <c r="G22">
        <v>0</v>
      </c>
      <c r="N22" s="3"/>
      <c r="O22" s="3"/>
    </row>
    <row r="23" spans="1:15" x14ac:dyDescent="0.35">
      <c r="A23" s="3" t="s">
        <v>70</v>
      </c>
      <c r="B23" s="3" t="s">
        <v>71</v>
      </c>
      <c r="C23" s="3" t="s">
        <v>72</v>
      </c>
      <c r="D23" s="4">
        <v>1</v>
      </c>
      <c r="E23" s="4">
        <v>1</v>
      </c>
      <c r="F23">
        <v>0</v>
      </c>
      <c r="G23">
        <v>0</v>
      </c>
      <c r="N23" s="3"/>
      <c r="O23" s="3"/>
    </row>
    <row r="24" spans="1:15" x14ac:dyDescent="0.35">
      <c r="A24" s="3" t="s">
        <v>73</v>
      </c>
      <c r="B24" s="3" t="s">
        <v>74</v>
      </c>
      <c r="C24" s="3" t="s">
        <v>75</v>
      </c>
      <c r="D24" s="4">
        <v>0</v>
      </c>
      <c r="E24" s="4">
        <v>1</v>
      </c>
      <c r="F24">
        <v>0</v>
      </c>
      <c r="G24">
        <v>0</v>
      </c>
      <c r="N24" s="3"/>
      <c r="O24" s="3"/>
    </row>
    <row r="25" spans="1:15" x14ac:dyDescent="0.35">
      <c r="A25" s="3" t="s">
        <v>76</v>
      </c>
      <c r="B25" s="3" t="s">
        <v>77</v>
      </c>
      <c r="C25" s="3" t="s">
        <v>78</v>
      </c>
      <c r="D25" s="4">
        <v>1</v>
      </c>
      <c r="E25" s="4">
        <v>0</v>
      </c>
      <c r="F25">
        <v>1</v>
      </c>
      <c r="G25">
        <v>1</v>
      </c>
      <c r="H25">
        <v>0.5</v>
      </c>
      <c r="N25" s="3"/>
      <c r="O25" s="3"/>
    </row>
    <row r="26" spans="1:15" x14ac:dyDescent="0.35">
      <c r="A26" s="3" t="s">
        <v>79</v>
      </c>
      <c r="B26" s="3" t="s">
        <v>80</v>
      </c>
      <c r="C26" s="3" t="s">
        <v>81</v>
      </c>
      <c r="D26" s="4">
        <v>1</v>
      </c>
      <c r="E26" s="4">
        <v>1</v>
      </c>
      <c r="F26">
        <v>0</v>
      </c>
      <c r="G26">
        <v>0</v>
      </c>
      <c r="N26" s="3"/>
      <c r="O26" s="3"/>
    </row>
    <row r="27" spans="1:15" x14ac:dyDescent="0.35">
      <c r="A27" s="3" t="s">
        <v>82</v>
      </c>
      <c r="B27" s="3" t="s">
        <v>83</v>
      </c>
      <c r="C27" s="3" t="s">
        <v>84</v>
      </c>
      <c r="D27" s="4">
        <v>0</v>
      </c>
      <c r="E27" s="4">
        <v>1</v>
      </c>
      <c r="F27">
        <v>0</v>
      </c>
      <c r="G27">
        <v>0</v>
      </c>
      <c r="N27" s="3"/>
      <c r="O27" s="3"/>
    </row>
    <row r="28" spans="1:15" x14ac:dyDescent="0.35">
      <c r="A28" s="3" t="s">
        <v>85</v>
      </c>
      <c r="B28" s="3" t="s">
        <v>86</v>
      </c>
      <c r="C28" s="3" t="s">
        <v>87</v>
      </c>
      <c r="D28" s="4">
        <v>0</v>
      </c>
      <c r="E28" s="4">
        <v>1</v>
      </c>
      <c r="F28">
        <v>0</v>
      </c>
      <c r="G28">
        <v>0</v>
      </c>
      <c r="N28" s="3"/>
      <c r="O28" s="3"/>
    </row>
    <row r="29" spans="1:15" x14ac:dyDescent="0.35">
      <c r="A29" s="3" t="s">
        <v>88</v>
      </c>
      <c r="B29" s="3" t="s">
        <v>89</v>
      </c>
      <c r="C29" s="6" t="s">
        <v>90</v>
      </c>
      <c r="D29" s="4">
        <v>0</v>
      </c>
      <c r="E29" s="4">
        <v>0</v>
      </c>
      <c r="F29">
        <v>0</v>
      </c>
      <c r="G29">
        <v>0</v>
      </c>
      <c r="N29" s="3"/>
      <c r="O29" s="3"/>
    </row>
    <row r="30" spans="1:15" x14ac:dyDescent="0.35">
      <c r="A30" s="3" t="s">
        <v>91</v>
      </c>
      <c r="B30" s="3" t="s">
        <v>92</v>
      </c>
      <c r="C30" s="3" t="s">
        <v>93</v>
      </c>
      <c r="D30" s="4">
        <v>1</v>
      </c>
      <c r="E30" s="4">
        <v>1</v>
      </c>
      <c r="F30">
        <v>0</v>
      </c>
      <c r="G30">
        <v>0</v>
      </c>
      <c r="N30" s="3"/>
      <c r="O30" s="3"/>
    </row>
    <row r="31" spans="1:15" x14ac:dyDescent="0.35">
      <c r="A31" s="3" t="s">
        <v>94</v>
      </c>
      <c r="B31" s="3" t="s">
        <v>95</v>
      </c>
      <c r="C31" s="3" t="s">
        <v>96</v>
      </c>
      <c r="D31" s="4">
        <v>1</v>
      </c>
      <c r="E31" s="4">
        <v>1</v>
      </c>
      <c r="F31">
        <v>0</v>
      </c>
      <c r="G31">
        <v>0</v>
      </c>
      <c r="N31" s="3"/>
      <c r="O31" s="3"/>
    </row>
    <row r="32" spans="1:15" x14ac:dyDescent="0.35">
      <c r="A32" s="3" t="s">
        <v>97</v>
      </c>
      <c r="B32" s="3" t="s">
        <v>98</v>
      </c>
      <c r="C32" s="3" t="s">
        <v>99</v>
      </c>
      <c r="D32" s="4">
        <v>0</v>
      </c>
      <c r="E32" s="8">
        <v>1</v>
      </c>
      <c r="F32">
        <v>0</v>
      </c>
      <c r="G32">
        <v>0</v>
      </c>
      <c r="N32" s="3"/>
      <c r="O32" s="3"/>
    </row>
    <row r="33" spans="1:15" x14ac:dyDescent="0.35">
      <c r="A33" s="3" t="s">
        <v>100</v>
      </c>
      <c r="B33" s="3" t="s">
        <v>101</v>
      </c>
      <c r="C33" s="3" t="s">
        <v>102</v>
      </c>
      <c r="D33" s="4">
        <v>1</v>
      </c>
      <c r="E33" s="4">
        <v>0</v>
      </c>
      <c r="F33">
        <v>0</v>
      </c>
      <c r="G33">
        <v>1</v>
      </c>
      <c r="H33">
        <v>0.75</v>
      </c>
      <c r="N33" s="3"/>
      <c r="O33" s="3"/>
    </row>
    <row r="34" spans="1:15" x14ac:dyDescent="0.35">
      <c r="A34" s="3" t="s">
        <v>103</v>
      </c>
      <c r="B34" s="3" t="s">
        <v>104</v>
      </c>
      <c r="C34" s="3" t="s">
        <v>105</v>
      </c>
      <c r="D34" s="4">
        <v>1</v>
      </c>
      <c r="E34" s="4">
        <v>1</v>
      </c>
      <c r="F34">
        <v>0</v>
      </c>
      <c r="G34">
        <v>0</v>
      </c>
      <c r="N34" s="3"/>
      <c r="O34" s="3"/>
    </row>
    <row r="35" spans="1:15" x14ac:dyDescent="0.35">
      <c r="A35" t="s">
        <v>106</v>
      </c>
      <c r="B35" s="5" t="s">
        <v>107</v>
      </c>
      <c r="C35" s="9" t="s">
        <v>108</v>
      </c>
      <c r="D35" s="4">
        <v>0</v>
      </c>
      <c r="E35" s="4">
        <v>0</v>
      </c>
      <c r="F35">
        <v>0</v>
      </c>
      <c r="G35">
        <v>0</v>
      </c>
      <c r="N35" s="3"/>
      <c r="O35" s="3"/>
    </row>
    <row r="36" spans="1:15" x14ac:dyDescent="0.35">
      <c r="A36" s="3" t="s">
        <v>109</v>
      </c>
      <c r="B36" s="3" t="s">
        <v>110</v>
      </c>
      <c r="C36" s="3" t="s">
        <v>111</v>
      </c>
      <c r="D36" s="4">
        <v>0</v>
      </c>
      <c r="E36" s="4">
        <v>1</v>
      </c>
      <c r="F36">
        <v>0</v>
      </c>
      <c r="G36">
        <v>0</v>
      </c>
      <c r="N36" s="3"/>
      <c r="O36" s="3"/>
    </row>
    <row r="37" spans="1:15" x14ac:dyDescent="0.35">
      <c r="A37" t="s">
        <v>112</v>
      </c>
      <c r="B37" s="3" t="s">
        <v>113</v>
      </c>
      <c r="C37" s="3" t="s">
        <v>114</v>
      </c>
      <c r="D37" s="4">
        <v>0</v>
      </c>
      <c r="E37" s="8">
        <v>1</v>
      </c>
      <c r="F37">
        <v>0</v>
      </c>
      <c r="G37">
        <v>0</v>
      </c>
      <c r="N37" s="3"/>
      <c r="O37" s="3"/>
    </row>
    <row r="38" spans="1:15" x14ac:dyDescent="0.35">
      <c r="A38" s="3" t="s">
        <v>115</v>
      </c>
      <c r="B38" s="3" t="s">
        <v>116</v>
      </c>
      <c r="C38" s="3" t="s">
        <v>117</v>
      </c>
      <c r="D38" s="4">
        <v>0</v>
      </c>
      <c r="E38" s="4">
        <v>1</v>
      </c>
      <c r="F38">
        <v>0</v>
      </c>
      <c r="G38">
        <v>0</v>
      </c>
      <c r="N38" s="3"/>
      <c r="O38" s="3"/>
    </row>
    <row r="39" spans="1:15" x14ac:dyDescent="0.35">
      <c r="A39" s="3" t="s">
        <v>118</v>
      </c>
      <c r="B39" s="3" t="s">
        <v>119</v>
      </c>
      <c r="C39" s="3" t="s">
        <v>120</v>
      </c>
      <c r="D39" s="4">
        <v>0</v>
      </c>
      <c r="E39" s="4">
        <v>1</v>
      </c>
      <c r="F39">
        <v>0</v>
      </c>
      <c r="G39">
        <v>0</v>
      </c>
      <c r="N39" s="3"/>
      <c r="O39" s="3"/>
    </row>
    <row r="40" spans="1:15" x14ac:dyDescent="0.35">
      <c r="A40" s="3" t="s">
        <v>121</v>
      </c>
      <c r="B40" s="3" t="s">
        <v>122</v>
      </c>
      <c r="C40" s="3" t="s">
        <v>123</v>
      </c>
      <c r="D40" s="4">
        <v>0</v>
      </c>
      <c r="E40" s="4">
        <v>1</v>
      </c>
      <c r="F40">
        <v>0</v>
      </c>
      <c r="G40">
        <v>0</v>
      </c>
      <c r="N40" s="3"/>
      <c r="O40" s="3"/>
    </row>
    <row r="41" spans="1:15" x14ac:dyDescent="0.35">
      <c r="A41" s="3" t="s">
        <v>124</v>
      </c>
      <c r="B41" s="3" t="s">
        <v>125</v>
      </c>
      <c r="C41" s="3" t="s">
        <v>126</v>
      </c>
      <c r="D41" s="4">
        <v>1</v>
      </c>
      <c r="E41" s="4">
        <v>1</v>
      </c>
      <c r="F41">
        <v>0</v>
      </c>
      <c r="G41">
        <v>0</v>
      </c>
      <c r="N41" s="3"/>
      <c r="O41" s="6"/>
    </row>
    <row r="42" spans="1:15" x14ac:dyDescent="0.35">
      <c r="A42" s="3" t="s">
        <v>127</v>
      </c>
      <c r="B42" s="3" t="s">
        <v>128</v>
      </c>
      <c r="C42" s="3" t="s">
        <v>129</v>
      </c>
      <c r="D42" s="4">
        <v>1</v>
      </c>
      <c r="E42" s="4">
        <v>1</v>
      </c>
      <c r="F42">
        <v>0</v>
      </c>
      <c r="G42">
        <v>0</v>
      </c>
      <c r="N42" s="3"/>
      <c r="O42" s="6"/>
    </row>
    <row r="43" spans="1:15" x14ac:dyDescent="0.35">
      <c r="A43" s="3" t="s">
        <v>130</v>
      </c>
      <c r="B43" s="3" t="s">
        <v>131</v>
      </c>
      <c r="C43" s="3" t="s">
        <v>132</v>
      </c>
      <c r="D43" s="4">
        <v>0</v>
      </c>
      <c r="E43" s="4">
        <v>1</v>
      </c>
      <c r="F43">
        <v>0</v>
      </c>
      <c r="G43">
        <v>0</v>
      </c>
      <c r="N43" s="3"/>
      <c r="O43" s="6"/>
    </row>
    <row r="44" spans="1:15" x14ac:dyDescent="0.35">
      <c r="A44" t="s">
        <v>133</v>
      </c>
      <c r="B44" s="5" t="s">
        <v>134</v>
      </c>
      <c r="C44" s="9" t="s">
        <v>135</v>
      </c>
      <c r="D44" s="4">
        <v>0</v>
      </c>
      <c r="E44" s="4">
        <v>0</v>
      </c>
      <c r="F44">
        <v>0</v>
      </c>
      <c r="G44">
        <v>0</v>
      </c>
      <c r="N44" s="3"/>
      <c r="O44" s="6"/>
    </row>
    <row r="45" spans="1:15" x14ac:dyDescent="0.35">
      <c r="A45" s="3" t="s">
        <v>136</v>
      </c>
      <c r="B45" s="3" t="s">
        <v>137</v>
      </c>
      <c r="C45" s="3" t="s">
        <v>138</v>
      </c>
      <c r="D45" s="4">
        <v>0</v>
      </c>
      <c r="E45" s="4">
        <v>1</v>
      </c>
      <c r="F45">
        <v>0</v>
      </c>
      <c r="G45">
        <v>0</v>
      </c>
      <c r="N45" s="3"/>
      <c r="O45" s="6"/>
    </row>
    <row r="46" spans="1:15" x14ac:dyDescent="0.35">
      <c r="A46" s="3" t="s">
        <v>139</v>
      </c>
      <c r="B46" s="3" t="s">
        <v>140</v>
      </c>
      <c r="C46" s="3" t="s">
        <v>141</v>
      </c>
      <c r="D46" s="4">
        <v>0</v>
      </c>
      <c r="E46" s="4">
        <v>1</v>
      </c>
      <c r="F46">
        <v>0</v>
      </c>
      <c r="G46">
        <v>0</v>
      </c>
      <c r="N46" s="3"/>
      <c r="O46" s="6"/>
    </row>
    <row r="47" spans="1:15" x14ac:dyDescent="0.35">
      <c r="A47" s="3" t="s">
        <v>142</v>
      </c>
      <c r="B47" s="3" t="s">
        <v>143</v>
      </c>
      <c r="C47" s="3" t="s">
        <v>144</v>
      </c>
      <c r="D47" s="4">
        <v>0</v>
      </c>
      <c r="E47" s="4">
        <v>1</v>
      </c>
      <c r="F47">
        <v>0</v>
      </c>
      <c r="G47">
        <v>0</v>
      </c>
      <c r="N47" s="3"/>
      <c r="O47" s="6"/>
    </row>
    <row r="48" spans="1:15" x14ac:dyDescent="0.35">
      <c r="A48" s="3" t="s">
        <v>145</v>
      </c>
      <c r="B48" s="3" t="s">
        <v>146</v>
      </c>
      <c r="C48" s="3" t="s">
        <v>147</v>
      </c>
      <c r="D48" s="4">
        <v>0</v>
      </c>
      <c r="E48" s="4">
        <v>1</v>
      </c>
      <c r="F48">
        <v>0</v>
      </c>
      <c r="G48">
        <v>0</v>
      </c>
      <c r="N48" s="6"/>
      <c r="O48" s="6"/>
    </row>
    <row r="49" spans="1:15" x14ac:dyDescent="0.35">
      <c r="A49" s="3" t="s">
        <v>148</v>
      </c>
      <c r="B49" s="3" t="s">
        <v>149</v>
      </c>
      <c r="C49" s="3" t="s">
        <v>150</v>
      </c>
      <c r="D49" s="4">
        <v>1</v>
      </c>
      <c r="E49" s="7">
        <v>0</v>
      </c>
      <c r="F49">
        <v>1</v>
      </c>
      <c r="G49">
        <v>0</v>
      </c>
      <c r="N49" s="5"/>
      <c r="O49" s="6"/>
    </row>
    <row r="50" spans="1:15" x14ac:dyDescent="0.35">
      <c r="A50" t="s">
        <v>151</v>
      </c>
      <c r="B50" s="5" t="s">
        <v>152</v>
      </c>
      <c r="C50" s="6" t="s">
        <v>153</v>
      </c>
      <c r="D50" s="4">
        <v>0</v>
      </c>
      <c r="E50" s="4">
        <v>1</v>
      </c>
      <c r="F50">
        <v>0</v>
      </c>
      <c r="G50">
        <v>0</v>
      </c>
      <c r="N50" s="5"/>
      <c r="O50" s="6"/>
    </row>
    <row r="51" spans="1:15" x14ac:dyDescent="0.35">
      <c r="A51" s="3" t="s">
        <v>154</v>
      </c>
      <c r="B51" s="3" t="s">
        <v>155</v>
      </c>
      <c r="C51" s="3" t="s">
        <v>156</v>
      </c>
      <c r="D51" s="4">
        <v>1</v>
      </c>
      <c r="E51" s="4">
        <v>0</v>
      </c>
      <c r="F51">
        <v>0</v>
      </c>
      <c r="G51">
        <v>1</v>
      </c>
      <c r="H51">
        <v>0.75</v>
      </c>
      <c r="N51" s="5"/>
      <c r="O51" s="6"/>
    </row>
    <row r="52" spans="1:15" x14ac:dyDescent="0.35">
      <c r="A52" s="3" t="s">
        <v>157</v>
      </c>
      <c r="B52" s="3" t="s">
        <v>158</v>
      </c>
      <c r="C52" s="3" t="s">
        <v>159</v>
      </c>
      <c r="D52" s="4">
        <v>0</v>
      </c>
      <c r="E52" s="4">
        <v>1</v>
      </c>
      <c r="F52">
        <v>0</v>
      </c>
      <c r="G52">
        <v>0</v>
      </c>
      <c r="N52" s="3"/>
      <c r="O52" s="6"/>
    </row>
    <row r="53" spans="1:15" x14ac:dyDescent="0.35">
      <c r="A53" t="s">
        <v>160</v>
      </c>
      <c r="B53" s="5" t="s">
        <v>161</v>
      </c>
      <c r="C53" s="9" t="s">
        <v>162</v>
      </c>
      <c r="D53" s="4">
        <v>0</v>
      </c>
      <c r="E53" s="4">
        <v>0</v>
      </c>
      <c r="F53">
        <v>0</v>
      </c>
      <c r="G53">
        <v>0</v>
      </c>
      <c r="N53" s="5"/>
      <c r="O53" s="6"/>
    </row>
    <row r="54" spans="1:15" x14ac:dyDescent="0.35">
      <c r="A54" s="3" t="s">
        <v>163</v>
      </c>
      <c r="B54" s="3" t="s">
        <v>164</v>
      </c>
      <c r="C54" s="3" t="s">
        <v>165</v>
      </c>
      <c r="D54" s="4">
        <v>1</v>
      </c>
      <c r="E54" s="4">
        <v>1</v>
      </c>
      <c r="F54">
        <v>0</v>
      </c>
      <c r="G54">
        <v>0</v>
      </c>
      <c r="N54" s="3"/>
      <c r="O54" s="6"/>
    </row>
    <row r="55" spans="1:15" x14ac:dyDescent="0.35">
      <c r="A55" t="s">
        <v>166</v>
      </c>
      <c r="B55" s="3" t="s">
        <v>167</v>
      </c>
      <c r="C55" s="3" t="s">
        <v>168</v>
      </c>
      <c r="D55" s="4">
        <v>0</v>
      </c>
      <c r="E55" s="4">
        <v>0</v>
      </c>
      <c r="F55">
        <v>0</v>
      </c>
      <c r="G55">
        <v>0</v>
      </c>
      <c r="N55" s="3"/>
      <c r="O55" s="6"/>
    </row>
    <row r="56" spans="1:15" x14ac:dyDescent="0.35">
      <c r="A56" s="3" t="s">
        <v>169</v>
      </c>
      <c r="B56" s="3" t="s">
        <v>170</v>
      </c>
      <c r="C56" s="3" t="s">
        <v>171</v>
      </c>
      <c r="D56" s="4">
        <v>1</v>
      </c>
      <c r="E56" s="4">
        <v>1</v>
      </c>
      <c r="F56">
        <v>0</v>
      </c>
      <c r="G56">
        <v>0</v>
      </c>
      <c r="N56" s="3"/>
      <c r="O56" s="6"/>
    </row>
    <row r="57" spans="1:15" x14ac:dyDescent="0.35">
      <c r="A57" t="s">
        <v>172</v>
      </c>
      <c r="B57" s="3" t="s">
        <v>173</v>
      </c>
      <c r="C57" s="6" t="s">
        <v>174</v>
      </c>
      <c r="D57" s="4">
        <v>0</v>
      </c>
      <c r="E57" s="4">
        <v>1</v>
      </c>
      <c r="F57">
        <v>0</v>
      </c>
      <c r="G57">
        <v>0</v>
      </c>
      <c r="N57" s="3"/>
      <c r="O57" s="6"/>
    </row>
    <row r="58" spans="1:15" x14ac:dyDescent="0.35">
      <c r="A58" s="3" t="s">
        <v>175</v>
      </c>
      <c r="B58" s="3" t="s">
        <v>176</v>
      </c>
      <c r="C58" s="3" t="s">
        <v>177</v>
      </c>
      <c r="D58" s="4">
        <v>0</v>
      </c>
      <c r="E58" s="4">
        <v>1</v>
      </c>
      <c r="F58">
        <v>0</v>
      </c>
      <c r="G58">
        <v>0</v>
      </c>
      <c r="N58" s="3"/>
      <c r="O58" s="6"/>
    </row>
    <row r="59" spans="1:15" x14ac:dyDescent="0.35">
      <c r="A59" s="3" t="s">
        <v>178</v>
      </c>
      <c r="B59" s="3" t="s">
        <v>179</v>
      </c>
      <c r="C59" s="3" t="s">
        <v>180</v>
      </c>
      <c r="D59" s="4">
        <v>0</v>
      </c>
      <c r="E59" s="4">
        <v>1</v>
      </c>
      <c r="F59">
        <v>0</v>
      </c>
      <c r="G59">
        <v>0</v>
      </c>
      <c r="N59" s="3"/>
      <c r="O59" s="6"/>
    </row>
    <row r="60" spans="1:15" x14ac:dyDescent="0.35">
      <c r="A60" s="3" t="s">
        <v>181</v>
      </c>
      <c r="B60" s="3" t="s">
        <v>182</v>
      </c>
      <c r="C60" s="3" t="s">
        <v>183</v>
      </c>
      <c r="D60" s="4">
        <v>0</v>
      </c>
      <c r="E60" s="4">
        <v>1</v>
      </c>
      <c r="F60">
        <v>0</v>
      </c>
      <c r="G60">
        <v>0</v>
      </c>
      <c r="N60" s="3"/>
      <c r="O60" s="6"/>
    </row>
    <row r="61" spans="1:15" x14ac:dyDescent="0.35">
      <c r="A61" t="s">
        <v>184</v>
      </c>
      <c r="B61" s="5" t="s">
        <v>185</v>
      </c>
      <c r="C61" s="9" t="s">
        <v>186</v>
      </c>
      <c r="D61" s="4">
        <v>0</v>
      </c>
      <c r="E61" s="4">
        <v>0</v>
      </c>
      <c r="F61">
        <v>0</v>
      </c>
      <c r="G61">
        <v>0</v>
      </c>
      <c r="N61" s="3"/>
      <c r="O61" s="6"/>
    </row>
    <row r="62" spans="1:15" x14ac:dyDescent="0.35">
      <c r="A62" t="s">
        <v>187</v>
      </c>
      <c r="B62" s="5" t="s">
        <v>188</v>
      </c>
      <c r="C62" s="9" t="s">
        <v>189</v>
      </c>
      <c r="D62" s="4">
        <v>0</v>
      </c>
      <c r="E62" s="4">
        <v>1</v>
      </c>
      <c r="F62">
        <v>0</v>
      </c>
      <c r="G62">
        <v>0</v>
      </c>
      <c r="N62" s="3"/>
      <c r="O62" s="3"/>
    </row>
    <row r="63" spans="1:15" x14ac:dyDescent="0.35">
      <c r="A63" t="s">
        <v>190</v>
      </c>
      <c r="B63" s="3" t="s">
        <v>191</v>
      </c>
      <c r="C63" s="6" t="s">
        <v>192</v>
      </c>
      <c r="D63" s="4">
        <v>0</v>
      </c>
      <c r="E63" s="4">
        <v>1</v>
      </c>
      <c r="F63">
        <v>0</v>
      </c>
      <c r="G63">
        <v>0</v>
      </c>
    </row>
    <row r="64" spans="1:15" x14ac:dyDescent="0.35">
      <c r="A64" s="3" t="s">
        <v>193</v>
      </c>
      <c r="B64" s="3" t="s">
        <v>194</v>
      </c>
      <c r="C64" s="3" t="s">
        <v>195</v>
      </c>
      <c r="D64" s="4">
        <v>1</v>
      </c>
      <c r="E64" s="4">
        <v>0</v>
      </c>
      <c r="F64">
        <v>1</v>
      </c>
      <c r="G64">
        <v>1</v>
      </c>
      <c r="H64">
        <v>0.2</v>
      </c>
    </row>
    <row r="65" spans="1:15" x14ac:dyDescent="0.35">
      <c r="A65" s="3" t="s">
        <v>196</v>
      </c>
      <c r="B65" s="3" t="s">
        <v>197</v>
      </c>
      <c r="C65" s="3" t="s">
        <v>198</v>
      </c>
      <c r="D65" s="4">
        <v>0</v>
      </c>
      <c r="E65" s="4">
        <v>1</v>
      </c>
      <c r="F65">
        <v>0</v>
      </c>
      <c r="G65">
        <v>0</v>
      </c>
      <c r="N65" s="3"/>
      <c r="O65" s="6"/>
    </row>
    <row r="66" spans="1:15" x14ac:dyDescent="0.35">
      <c r="A66" s="3" t="s">
        <v>199</v>
      </c>
      <c r="B66" s="3" t="s">
        <v>200</v>
      </c>
      <c r="C66" s="3" t="s">
        <v>201</v>
      </c>
      <c r="D66" s="4">
        <v>0</v>
      </c>
      <c r="E66" s="4">
        <v>1</v>
      </c>
      <c r="F66">
        <v>0</v>
      </c>
      <c r="G66">
        <v>0</v>
      </c>
      <c r="N66" s="5"/>
      <c r="O66" s="6"/>
    </row>
    <row r="67" spans="1:15" x14ac:dyDescent="0.35">
      <c r="A67" s="3" t="s">
        <v>202</v>
      </c>
      <c r="B67" s="3" t="s">
        <v>203</v>
      </c>
      <c r="C67" s="3" t="s">
        <v>204</v>
      </c>
      <c r="D67" s="4">
        <v>0</v>
      </c>
      <c r="E67" s="4">
        <v>1</v>
      </c>
      <c r="F67">
        <v>0</v>
      </c>
      <c r="G67">
        <v>0</v>
      </c>
      <c r="N67" s="5"/>
      <c r="O67" s="6"/>
    </row>
    <row r="68" spans="1:15" x14ac:dyDescent="0.35">
      <c r="A68" s="3" t="s">
        <v>205</v>
      </c>
      <c r="B68" s="3" t="s">
        <v>206</v>
      </c>
      <c r="C68" s="3" t="s">
        <v>207</v>
      </c>
      <c r="D68" s="4">
        <v>0</v>
      </c>
      <c r="E68" s="4">
        <v>1</v>
      </c>
      <c r="F68">
        <v>0</v>
      </c>
      <c r="G68">
        <v>0</v>
      </c>
      <c r="N68" s="5"/>
      <c r="O68" s="6"/>
    </row>
    <row r="69" spans="1:15" x14ac:dyDescent="0.35">
      <c r="A69" s="3" t="s">
        <v>208</v>
      </c>
      <c r="B69" s="3" t="s">
        <v>209</v>
      </c>
      <c r="C69" s="3" t="s">
        <v>210</v>
      </c>
      <c r="D69" s="4">
        <v>0</v>
      </c>
      <c r="E69" s="4">
        <v>1</v>
      </c>
      <c r="F69">
        <v>0</v>
      </c>
      <c r="G69">
        <v>0</v>
      </c>
      <c r="N69" s="5"/>
      <c r="O69" s="6"/>
    </row>
    <row r="70" spans="1:15" x14ac:dyDescent="0.35">
      <c r="A70" s="10" t="s">
        <v>211</v>
      </c>
      <c r="B70" s="11"/>
      <c r="C70" s="10" t="s">
        <v>212</v>
      </c>
      <c r="D70" s="8">
        <v>0</v>
      </c>
      <c r="E70" s="8">
        <v>0</v>
      </c>
      <c r="F70" s="11">
        <v>0</v>
      </c>
      <c r="G70" s="11">
        <v>0</v>
      </c>
      <c r="N70" s="3"/>
      <c r="O70" s="6"/>
    </row>
    <row r="71" spans="1:15" x14ac:dyDescent="0.35">
      <c r="A71" s="10" t="s">
        <v>213</v>
      </c>
      <c r="B71" s="11"/>
      <c r="C71" s="10" t="s">
        <v>214</v>
      </c>
      <c r="D71" s="8">
        <v>0</v>
      </c>
      <c r="E71" s="8">
        <v>1</v>
      </c>
      <c r="F71" s="11">
        <v>0</v>
      </c>
      <c r="G71" s="11">
        <v>0</v>
      </c>
      <c r="N71" s="3"/>
      <c r="O71" s="6"/>
    </row>
    <row r="72" spans="1:15" x14ac:dyDescent="0.35">
      <c r="A72" s="10" t="s">
        <v>215</v>
      </c>
      <c r="B72" s="11"/>
      <c r="C72" s="11" t="s">
        <v>216</v>
      </c>
      <c r="D72" s="8">
        <v>0</v>
      </c>
      <c r="E72" s="8">
        <v>0</v>
      </c>
      <c r="F72" s="11">
        <v>0</v>
      </c>
      <c r="G72" s="11">
        <v>0</v>
      </c>
    </row>
  </sheetData>
  <autoFilter ref="A2:H2" xr:uid="{1A6F55B5-D9D3-4A26-AA75-26CCAC53D1C0}"/>
  <mergeCells count="1">
    <mergeCell ref="D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C12B-6C62-4E27-8205-B4F087B78D60}">
  <dimension ref="A1:Y40"/>
  <sheetViews>
    <sheetView tabSelected="1" zoomScale="70" zoomScaleNormal="70" workbookViewId="0">
      <selection activeCell="L32" sqref="L32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0.7</v>
      </c>
      <c r="C2">
        <v>0.3</v>
      </c>
      <c r="D2">
        <v>0.3</v>
      </c>
      <c r="E2">
        <v>0.7</v>
      </c>
      <c r="F2">
        <v>0.7</v>
      </c>
      <c r="G2">
        <v>0.7</v>
      </c>
      <c r="H2">
        <v>1</v>
      </c>
      <c r="I2">
        <v>0</v>
      </c>
      <c r="J2">
        <v>0.7</v>
      </c>
      <c r="K2">
        <v>1</v>
      </c>
      <c r="L2">
        <v>0.2</v>
      </c>
      <c r="M2">
        <v>1</v>
      </c>
      <c r="N2">
        <v>0.7</v>
      </c>
      <c r="O2">
        <v>1</v>
      </c>
      <c r="P2">
        <v>1</v>
      </c>
      <c r="Q2">
        <v>0.3</v>
      </c>
      <c r="R2">
        <v>1</v>
      </c>
      <c r="S2">
        <v>0.7</v>
      </c>
      <c r="T2">
        <v>0.7</v>
      </c>
      <c r="U2">
        <v>1</v>
      </c>
      <c r="V2">
        <v>0.7</v>
      </c>
      <c r="W2">
        <v>0.1</v>
      </c>
      <c r="X2" s="12">
        <v>0.78387258946895599</v>
      </c>
    </row>
    <row r="3" spans="1:24" x14ac:dyDescent="0.35">
      <c r="A3">
        <v>2002</v>
      </c>
      <c r="B3">
        <v>0.7</v>
      </c>
      <c r="C3">
        <v>0.3</v>
      </c>
      <c r="D3">
        <v>0.3</v>
      </c>
      <c r="E3">
        <v>0.7</v>
      </c>
      <c r="F3">
        <v>0.7</v>
      </c>
      <c r="G3">
        <v>0.7</v>
      </c>
      <c r="H3">
        <v>1</v>
      </c>
      <c r="I3">
        <v>0</v>
      </c>
      <c r="J3">
        <v>0.7</v>
      </c>
      <c r="K3">
        <v>1</v>
      </c>
      <c r="L3">
        <v>0.2</v>
      </c>
      <c r="M3">
        <v>1</v>
      </c>
      <c r="N3">
        <v>0.7</v>
      </c>
      <c r="O3">
        <v>1</v>
      </c>
      <c r="P3">
        <v>1</v>
      </c>
      <c r="Q3">
        <v>0.3</v>
      </c>
      <c r="R3">
        <v>1</v>
      </c>
      <c r="S3">
        <v>0.7</v>
      </c>
      <c r="T3">
        <v>0.7</v>
      </c>
      <c r="U3">
        <v>1</v>
      </c>
      <c r="V3">
        <v>0.7</v>
      </c>
      <c r="W3">
        <v>0.1</v>
      </c>
      <c r="X3" s="12">
        <v>0.78040865063667297</v>
      </c>
    </row>
    <row r="4" spans="1:24" x14ac:dyDescent="0.35">
      <c r="A4">
        <v>2003</v>
      </c>
      <c r="B4">
        <v>0.7</v>
      </c>
      <c r="C4">
        <v>0.3</v>
      </c>
      <c r="D4">
        <v>0.3</v>
      </c>
      <c r="E4">
        <v>0.7</v>
      </c>
      <c r="F4">
        <v>0.7</v>
      </c>
      <c r="G4">
        <v>0.7</v>
      </c>
      <c r="H4">
        <v>1</v>
      </c>
      <c r="I4">
        <v>0</v>
      </c>
      <c r="J4">
        <v>0.7</v>
      </c>
      <c r="K4">
        <v>1</v>
      </c>
      <c r="L4">
        <v>0.2</v>
      </c>
      <c r="M4">
        <v>1</v>
      </c>
      <c r="N4">
        <v>0.7</v>
      </c>
      <c r="O4">
        <v>1</v>
      </c>
      <c r="P4">
        <v>1</v>
      </c>
      <c r="Q4">
        <v>0.3</v>
      </c>
      <c r="R4">
        <v>1</v>
      </c>
      <c r="S4">
        <v>0.7</v>
      </c>
      <c r="T4">
        <v>0.7</v>
      </c>
      <c r="U4">
        <v>1</v>
      </c>
      <c r="V4">
        <v>0.7</v>
      </c>
      <c r="W4">
        <v>0.1</v>
      </c>
      <c r="X4" s="12">
        <v>0.84089493751525879</v>
      </c>
    </row>
    <row r="5" spans="1:24" x14ac:dyDescent="0.35">
      <c r="A5">
        <v>2004</v>
      </c>
      <c r="B5">
        <v>0.7</v>
      </c>
      <c r="C5">
        <v>0.3</v>
      </c>
      <c r="D5">
        <v>0.3</v>
      </c>
      <c r="E5">
        <v>0.7</v>
      </c>
      <c r="F5">
        <v>0.7</v>
      </c>
      <c r="G5">
        <v>0.7</v>
      </c>
      <c r="H5">
        <v>1</v>
      </c>
      <c r="I5">
        <v>0</v>
      </c>
      <c r="J5">
        <v>0.7</v>
      </c>
      <c r="K5">
        <v>1</v>
      </c>
      <c r="L5">
        <v>0.2</v>
      </c>
      <c r="M5">
        <v>1</v>
      </c>
      <c r="N5">
        <v>0.7</v>
      </c>
      <c r="O5">
        <v>1</v>
      </c>
      <c r="P5">
        <v>1</v>
      </c>
      <c r="Q5">
        <v>0.3</v>
      </c>
      <c r="R5">
        <v>1</v>
      </c>
      <c r="S5">
        <v>0.7</v>
      </c>
      <c r="T5">
        <v>0.7</v>
      </c>
      <c r="U5">
        <v>1</v>
      </c>
      <c r="V5">
        <v>0.7</v>
      </c>
      <c r="W5">
        <v>0.1</v>
      </c>
      <c r="X5" s="12">
        <v>0.83184534311294556</v>
      </c>
    </row>
    <row r="6" spans="1:24" x14ac:dyDescent="0.35">
      <c r="A6">
        <v>2005</v>
      </c>
      <c r="B6">
        <v>0.7</v>
      </c>
      <c r="C6">
        <v>0.3</v>
      </c>
      <c r="D6">
        <v>0.3</v>
      </c>
      <c r="E6">
        <v>0.7</v>
      </c>
      <c r="F6">
        <v>0.7</v>
      </c>
      <c r="G6">
        <v>0.7</v>
      </c>
      <c r="H6">
        <v>1</v>
      </c>
      <c r="I6">
        <v>0</v>
      </c>
      <c r="J6">
        <v>0.7</v>
      </c>
      <c r="K6">
        <v>1</v>
      </c>
      <c r="L6">
        <v>0.2</v>
      </c>
      <c r="M6">
        <v>1</v>
      </c>
      <c r="N6">
        <v>0.7</v>
      </c>
      <c r="O6">
        <v>1</v>
      </c>
      <c r="P6">
        <v>1</v>
      </c>
      <c r="Q6">
        <v>0.3</v>
      </c>
      <c r="R6">
        <v>1</v>
      </c>
      <c r="S6">
        <v>0.7</v>
      </c>
      <c r="T6">
        <v>0.7</v>
      </c>
      <c r="U6">
        <v>1</v>
      </c>
      <c r="V6">
        <v>0.7</v>
      </c>
      <c r="W6">
        <v>0.1</v>
      </c>
      <c r="X6" s="12">
        <v>0.74730253219604492</v>
      </c>
    </row>
    <row r="7" spans="1:24" x14ac:dyDescent="0.35">
      <c r="A7">
        <v>2006</v>
      </c>
      <c r="B7">
        <v>0.7</v>
      </c>
      <c r="C7">
        <v>0.3</v>
      </c>
      <c r="D7">
        <v>0.3</v>
      </c>
      <c r="E7">
        <v>0.7</v>
      </c>
      <c r="F7">
        <v>0.7</v>
      </c>
      <c r="G7">
        <v>0.7</v>
      </c>
      <c r="H7">
        <v>1</v>
      </c>
      <c r="I7">
        <v>0</v>
      </c>
      <c r="J7">
        <v>0.7</v>
      </c>
      <c r="K7">
        <v>1</v>
      </c>
      <c r="L7">
        <v>0.2</v>
      </c>
      <c r="M7">
        <v>1</v>
      </c>
      <c r="N7">
        <v>0.7</v>
      </c>
      <c r="O7">
        <v>1</v>
      </c>
      <c r="P7">
        <v>1</v>
      </c>
      <c r="Q7">
        <v>0.3</v>
      </c>
      <c r="R7">
        <v>1</v>
      </c>
      <c r="S7">
        <v>0.7</v>
      </c>
      <c r="T7">
        <v>0.7</v>
      </c>
      <c r="U7">
        <v>1</v>
      </c>
      <c r="V7">
        <v>0.7</v>
      </c>
      <c r="W7">
        <v>0.1</v>
      </c>
      <c r="X7" s="12">
        <v>0.75868967175483704</v>
      </c>
    </row>
    <row r="8" spans="1:24" x14ac:dyDescent="0.35">
      <c r="A8">
        <v>2007</v>
      </c>
      <c r="B8">
        <v>0.7</v>
      </c>
      <c r="C8">
        <v>0.3</v>
      </c>
      <c r="D8">
        <v>0.3</v>
      </c>
      <c r="E8">
        <v>0.7</v>
      </c>
      <c r="F8">
        <v>0.7</v>
      </c>
      <c r="G8">
        <v>0.7</v>
      </c>
      <c r="H8">
        <v>1</v>
      </c>
      <c r="I8">
        <v>0</v>
      </c>
      <c r="J8">
        <v>0.7</v>
      </c>
      <c r="K8">
        <v>1</v>
      </c>
      <c r="L8">
        <v>0.2</v>
      </c>
      <c r="M8">
        <v>1</v>
      </c>
      <c r="N8">
        <v>0.7</v>
      </c>
      <c r="O8">
        <v>1</v>
      </c>
      <c r="P8">
        <v>1</v>
      </c>
      <c r="Q8">
        <v>0.3</v>
      </c>
      <c r="R8">
        <v>1</v>
      </c>
      <c r="S8">
        <v>0.7</v>
      </c>
      <c r="T8">
        <v>0.7</v>
      </c>
      <c r="U8">
        <v>1</v>
      </c>
      <c r="V8">
        <v>0.7</v>
      </c>
      <c r="W8">
        <v>0.1</v>
      </c>
      <c r="X8" s="12">
        <v>0.68545055389404297</v>
      </c>
    </row>
    <row r="9" spans="1:24" x14ac:dyDescent="0.35">
      <c r="A9">
        <v>2008</v>
      </c>
      <c r="B9">
        <v>0.7</v>
      </c>
      <c r="C9">
        <v>0.2</v>
      </c>
      <c r="D9">
        <v>0.2</v>
      </c>
      <c r="E9">
        <v>0.7</v>
      </c>
      <c r="F9">
        <v>0.7</v>
      </c>
      <c r="G9">
        <v>0.7</v>
      </c>
      <c r="H9">
        <v>1</v>
      </c>
      <c r="I9">
        <v>0</v>
      </c>
      <c r="J9">
        <v>0.7</v>
      </c>
      <c r="K9">
        <v>1</v>
      </c>
      <c r="L9">
        <v>0.2</v>
      </c>
      <c r="M9">
        <v>1</v>
      </c>
      <c r="N9">
        <v>0.7</v>
      </c>
      <c r="O9">
        <v>1</v>
      </c>
      <c r="P9">
        <v>1</v>
      </c>
      <c r="Q9">
        <v>0.3</v>
      </c>
      <c r="R9">
        <v>1</v>
      </c>
      <c r="S9">
        <v>0.7</v>
      </c>
      <c r="T9">
        <v>0.7</v>
      </c>
      <c r="U9">
        <v>1</v>
      </c>
      <c r="V9">
        <v>0.7</v>
      </c>
      <c r="W9">
        <v>0.1</v>
      </c>
      <c r="X9" s="12">
        <v>0.7344992458820343</v>
      </c>
    </row>
    <row r="10" spans="1:24" x14ac:dyDescent="0.35">
      <c r="A10">
        <v>2009</v>
      </c>
      <c r="B10">
        <v>0.7</v>
      </c>
      <c r="C10">
        <v>0.15</v>
      </c>
      <c r="D10">
        <v>0.15</v>
      </c>
      <c r="E10">
        <v>0.7</v>
      </c>
      <c r="F10">
        <v>0.7</v>
      </c>
      <c r="G10">
        <v>0.7</v>
      </c>
      <c r="H10">
        <v>1</v>
      </c>
      <c r="I10">
        <v>0</v>
      </c>
      <c r="J10">
        <v>0.7</v>
      </c>
      <c r="K10">
        <v>1</v>
      </c>
      <c r="L10">
        <v>0.2</v>
      </c>
      <c r="M10">
        <v>0.95</v>
      </c>
      <c r="N10">
        <v>0.7</v>
      </c>
      <c r="O10">
        <v>0.95</v>
      </c>
      <c r="P10">
        <v>0.95</v>
      </c>
      <c r="Q10">
        <v>0.3</v>
      </c>
      <c r="R10">
        <v>1</v>
      </c>
      <c r="S10">
        <v>0.7</v>
      </c>
      <c r="T10">
        <v>0.7</v>
      </c>
      <c r="U10">
        <v>1</v>
      </c>
      <c r="V10">
        <v>0.7</v>
      </c>
      <c r="W10">
        <v>0.1</v>
      </c>
      <c r="X10" s="12">
        <v>0.49356585741043091</v>
      </c>
    </row>
    <row r="11" spans="1:24" x14ac:dyDescent="0.35">
      <c r="A11">
        <v>2010</v>
      </c>
      <c r="B11">
        <v>0.7</v>
      </c>
      <c r="C11">
        <v>0.1</v>
      </c>
      <c r="D11">
        <v>0.1</v>
      </c>
      <c r="E11">
        <v>0.7</v>
      </c>
      <c r="F11">
        <v>0.7</v>
      </c>
      <c r="G11">
        <v>0.7</v>
      </c>
      <c r="H11">
        <v>1</v>
      </c>
      <c r="I11">
        <v>0</v>
      </c>
      <c r="J11">
        <v>0.7</v>
      </c>
      <c r="K11">
        <v>1</v>
      </c>
      <c r="L11">
        <v>0.2</v>
      </c>
      <c r="M11">
        <v>0.9</v>
      </c>
      <c r="N11">
        <v>0.7</v>
      </c>
      <c r="O11">
        <v>0.9</v>
      </c>
      <c r="P11">
        <v>0.9</v>
      </c>
      <c r="Q11">
        <v>0.3</v>
      </c>
      <c r="R11">
        <v>1</v>
      </c>
      <c r="S11">
        <v>0.7</v>
      </c>
      <c r="T11">
        <v>0.7</v>
      </c>
      <c r="U11">
        <v>1</v>
      </c>
      <c r="V11">
        <v>0.7</v>
      </c>
      <c r="W11">
        <v>0.1</v>
      </c>
      <c r="X11" s="12">
        <v>0.54089219868183136</v>
      </c>
    </row>
    <row r="12" spans="1:24" x14ac:dyDescent="0.35">
      <c r="A12">
        <v>2011</v>
      </c>
      <c r="B12">
        <v>0.7</v>
      </c>
      <c r="C12">
        <v>0.05</v>
      </c>
      <c r="D12">
        <v>0.05</v>
      </c>
      <c r="E12">
        <v>0.7</v>
      </c>
      <c r="F12">
        <v>0.7</v>
      </c>
      <c r="G12">
        <v>0.7</v>
      </c>
      <c r="H12">
        <v>1</v>
      </c>
      <c r="I12">
        <v>0</v>
      </c>
      <c r="J12">
        <v>0.7</v>
      </c>
      <c r="K12">
        <v>1</v>
      </c>
      <c r="L12">
        <v>0.2</v>
      </c>
      <c r="M12">
        <v>0.85</v>
      </c>
      <c r="N12">
        <v>0.7</v>
      </c>
      <c r="O12">
        <v>0.85</v>
      </c>
      <c r="P12">
        <v>0.85</v>
      </c>
      <c r="Q12">
        <v>0.3</v>
      </c>
      <c r="R12">
        <v>1</v>
      </c>
      <c r="S12">
        <v>0.7</v>
      </c>
      <c r="T12">
        <v>0.7</v>
      </c>
      <c r="U12">
        <v>1</v>
      </c>
      <c r="V12">
        <v>0.7</v>
      </c>
      <c r="W12">
        <v>0.1</v>
      </c>
      <c r="X12" s="12">
        <v>0.60131469368934631</v>
      </c>
    </row>
    <row r="13" spans="1:24" x14ac:dyDescent="0.35">
      <c r="A13">
        <v>2012</v>
      </c>
      <c r="B13">
        <v>0.7</v>
      </c>
      <c r="C13">
        <v>0.05</v>
      </c>
      <c r="D13">
        <v>0.05</v>
      </c>
      <c r="E13">
        <v>0.7</v>
      </c>
      <c r="F13">
        <v>0.7</v>
      </c>
      <c r="G13">
        <v>0.7</v>
      </c>
      <c r="H13">
        <v>1</v>
      </c>
      <c r="I13">
        <v>0</v>
      </c>
      <c r="J13">
        <v>0.7</v>
      </c>
      <c r="K13">
        <v>1</v>
      </c>
      <c r="L13">
        <v>0.2</v>
      </c>
      <c r="M13">
        <v>0.8</v>
      </c>
      <c r="N13">
        <v>0.7</v>
      </c>
      <c r="O13">
        <v>0.8</v>
      </c>
      <c r="P13">
        <v>0.8</v>
      </c>
      <c r="Q13">
        <v>0.3</v>
      </c>
      <c r="R13">
        <v>1</v>
      </c>
      <c r="S13">
        <v>0.7</v>
      </c>
      <c r="T13">
        <v>0.7</v>
      </c>
      <c r="U13">
        <v>1</v>
      </c>
      <c r="V13">
        <v>0.7</v>
      </c>
      <c r="W13">
        <v>0.1</v>
      </c>
      <c r="X13" s="12">
        <v>0.5737786591053009</v>
      </c>
    </row>
    <row r="14" spans="1:24" x14ac:dyDescent="0.35">
      <c r="A14">
        <v>2013</v>
      </c>
      <c r="B14">
        <v>0.7</v>
      </c>
      <c r="C14">
        <v>0.05</v>
      </c>
      <c r="D14">
        <v>0.05</v>
      </c>
      <c r="E14">
        <v>0.7</v>
      </c>
      <c r="F14">
        <v>0.7</v>
      </c>
      <c r="G14">
        <v>0.7</v>
      </c>
      <c r="H14">
        <v>1</v>
      </c>
      <c r="I14">
        <v>0</v>
      </c>
      <c r="J14">
        <v>0.7</v>
      </c>
      <c r="K14">
        <v>1</v>
      </c>
      <c r="L14">
        <v>0.2</v>
      </c>
      <c r="M14">
        <v>0.75</v>
      </c>
      <c r="N14">
        <v>0.7</v>
      </c>
      <c r="O14">
        <v>0.75</v>
      </c>
      <c r="P14">
        <v>0.75</v>
      </c>
      <c r="Q14">
        <v>0.3</v>
      </c>
      <c r="R14">
        <v>1</v>
      </c>
      <c r="S14">
        <v>0.7</v>
      </c>
      <c r="T14">
        <v>0.7</v>
      </c>
      <c r="U14">
        <v>1</v>
      </c>
      <c r="V14">
        <v>0.7</v>
      </c>
      <c r="W14">
        <v>0.1</v>
      </c>
      <c r="X14" s="12">
        <v>0.64158472418785095</v>
      </c>
    </row>
    <row r="15" spans="1:24" x14ac:dyDescent="0.35">
      <c r="A15">
        <v>2014</v>
      </c>
      <c r="B15">
        <v>0.7</v>
      </c>
      <c r="C15">
        <v>0.05</v>
      </c>
      <c r="D15">
        <v>0.05</v>
      </c>
      <c r="E15">
        <v>0.7</v>
      </c>
      <c r="F15">
        <v>0.7</v>
      </c>
      <c r="G15">
        <v>0.7</v>
      </c>
      <c r="H15">
        <v>1</v>
      </c>
      <c r="I15">
        <v>0</v>
      </c>
      <c r="J15">
        <v>0.7</v>
      </c>
      <c r="K15">
        <v>1</v>
      </c>
      <c r="L15">
        <v>0.2</v>
      </c>
      <c r="M15">
        <v>0.7</v>
      </c>
      <c r="N15">
        <v>0.7</v>
      </c>
      <c r="O15">
        <v>0.7</v>
      </c>
      <c r="P15">
        <v>0.7</v>
      </c>
      <c r="Q15">
        <v>0.3</v>
      </c>
      <c r="R15">
        <v>1</v>
      </c>
      <c r="S15">
        <v>0.7</v>
      </c>
      <c r="T15">
        <v>0.7</v>
      </c>
      <c r="U15">
        <v>1</v>
      </c>
      <c r="V15">
        <v>0.7</v>
      </c>
      <c r="W15">
        <v>0.1</v>
      </c>
      <c r="X15" s="12">
        <v>0.61322280764579773</v>
      </c>
    </row>
    <row r="16" spans="1:24" x14ac:dyDescent="0.35">
      <c r="A16">
        <v>2015</v>
      </c>
      <c r="B16">
        <v>0.7</v>
      </c>
      <c r="C16" s="13">
        <f>C15-$C$15/4</f>
        <v>3.7500000000000006E-2</v>
      </c>
      <c r="D16" s="13">
        <f>D15-$D$15/3</f>
        <v>3.333333333333334E-2</v>
      </c>
      <c r="E16">
        <v>0.7</v>
      </c>
      <c r="F16">
        <v>0.7</v>
      </c>
      <c r="G16">
        <v>0.7</v>
      </c>
      <c r="H16">
        <v>1</v>
      </c>
      <c r="I16">
        <v>0</v>
      </c>
      <c r="J16">
        <v>0.7</v>
      </c>
      <c r="K16">
        <v>1</v>
      </c>
      <c r="L16">
        <v>0.2</v>
      </c>
      <c r="M16">
        <v>0.65</v>
      </c>
      <c r="N16">
        <v>0.7</v>
      </c>
      <c r="O16">
        <v>0.65</v>
      </c>
      <c r="P16">
        <v>0.65</v>
      </c>
      <c r="Q16">
        <v>0.3</v>
      </c>
      <c r="R16">
        <v>1</v>
      </c>
      <c r="S16">
        <v>0.7</v>
      </c>
      <c r="T16">
        <v>0.7</v>
      </c>
      <c r="U16">
        <v>1</v>
      </c>
      <c r="V16">
        <v>0.7</v>
      </c>
      <c r="W16">
        <v>0.1</v>
      </c>
      <c r="X16" s="12">
        <v>0.58486109972000122</v>
      </c>
    </row>
    <row r="17" spans="1:25" x14ac:dyDescent="0.35">
      <c r="A17">
        <v>2016</v>
      </c>
      <c r="B17">
        <v>0.7</v>
      </c>
      <c r="C17" s="13">
        <f t="shared" ref="C17:C19" si="0">C16-$C$15/4</f>
        <v>2.5000000000000005E-2</v>
      </c>
      <c r="D17" s="13">
        <f t="shared" ref="D17:D18" si="1">D16-$D$15/4</f>
        <v>2.0833333333333339E-2</v>
      </c>
      <c r="E17">
        <v>0.7</v>
      </c>
      <c r="F17">
        <v>0.7</v>
      </c>
      <c r="G17">
        <v>0.7</v>
      </c>
      <c r="H17">
        <v>1</v>
      </c>
      <c r="I17">
        <v>0</v>
      </c>
      <c r="J17">
        <v>0.7</v>
      </c>
      <c r="K17">
        <v>1</v>
      </c>
      <c r="L17">
        <v>0.2</v>
      </c>
      <c r="M17">
        <v>0.65</v>
      </c>
      <c r="N17">
        <v>0.7</v>
      </c>
      <c r="O17">
        <v>0.65</v>
      </c>
      <c r="P17">
        <v>0.65</v>
      </c>
      <c r="Q17">
        <v>0.3</v>
      </c>
      <c r="R17">
        <v>0.9</v>
      </c>
      <c r="S17">
        <v>0.5</v>
      </c>
      <c r="T17">
        <v>0.5</v>
      </c>
      <c r="U17">
        <v>1</v>
      </c>
      <c r="V17">
        <v>0.7</v>
      </c>
      <c r="W17">
        <v>0.1</v>
      </c>
      <c r="X17" s="12">
        <v>0.58495855331420898</v>
      </c>
    </row>
    <row r="18" spans="1:25" x14ac:dyDescent="0.35">
      <c r="A18">
        <v>2017</v>
      </c>
      <c r="B18">
        <v>0.7</v>
      </c>
      <c r="C18" s="13">
        <f t="shared" si="0"/>
        <v>1.2500000000000004E-2</v>
      </c>
      <c r="D18" s="13">
        <f t="shared" si="1"/>
        <v>8.3333333333333384E-3</v>
      </c>
      <c r="E18">
        <v>0.7</v>
      </c>
      <c r="F18">
        <v>0.7</v>
      </c>
      <c r="G18">
        <v>0.7</v>
      </c>
      <c r="H18">
        <v>1</v>
      </c>
      <c r="I18">
        <v>0</v>
      </c>
      <c r="J18">
        <v>0.7</v>
      </c>
      <c r="K18">
        <v>1</v>
      </c>
      <c r="L18">
        <v>0.2</v>
      </c>
      <c r="M18">
        <v>0.65</v>
      </c>
      <c r="N18">
        <v>0.7</v>
      </c>
      <c r="O18">
        <v>0.65</v>
      </c>
      <c r="P18">
        <v>0.65</v>
      </c>
      <c r="Q18">
        <v>0.3</v>
      </c>
      <c r="R18">
        <v>0.8</v>
      </c>
      <c r="S18">
        <v>0.5</v>
      </c>
      <c r="T18">
        <v>0.5</v>
      </c>
      <c r="U18">
        <v>1</v>
      </c>
      <c r="V18">
        <v>0.7</v>
      </c>
      <c r="W18">
        <v>0.1</v>
      </c>
      <c r="X18" s="12">
        <v>0.5989607572555542</v>
      </c>
    </row>
    <row r="19" spans="1:25" x14ac:dyDescent="0.35">
      <c r="A19">
        <v>2018</v>
      </c>
      <c r="B19">
        <v>0.7</v>
      </c>
      <c r="C19">
        <f t="shared" si="0"/>
        <v>0</v>
      </c>
      <c r="D19">
        <v>0</v>
      </c>
      <c r="E19">
        <v>0.7</v>
      </c>
      <c r="F19">
        <v>0.7</v>
      </c>
      <c r="G19">
        <v>0.7</v>
      </c>
      <c r="H19">
        <v>1</v>
      </c>
      <c r="I19">
        <v>0</v>
      </c>
      <c r="J19">
        <v>0.7</v>
      </c>
      <c r="K19">
        <v>1</v>
      </c>
      <c r="L19">
        <v>0.2</v>
      </c>
      <c r="M19">
        <v>0.65</v>
      </c>
      <c r="N19">
        <v>0.7</v>
      </c>
      <c r="O19">
        <v>0.65</v>
      </c>
      <c r="P19">
        <v>0.65</v>
      </c>
      <c r="Q19">
        <v>0.3</v>
      </c>
      <c r="R19">
        <v>0.7</v>
      </c>
      <c r="S19">
        <v>0.5</v>
      </c>
      <c r="T19">
        <v>0.5</v>
      </c>
      <c r="U19">
        <v>1</v>
      </c>
      <c r="V19">
        <v>0.7</v>
      </c>
      <c r="W19">
        <v>0.1</v>
      </c>
      <c r="X19" s="12">
        <v>0.55207974463701248</v>
      </c>
    </row>
    <row r="20" spans="1:25" x14ac:dyDescent="0.35">
      <c r="A20">
        <v>2019</v>
      </c>
      <c r="B20">
        <v>0.7</v>
      </c>
      <c r="C20">
        <v>0</v>
      </c>
      <c r="D20">
        <v>0</v>
      </c>
      <c r="E20">
        <v>0.7</v>
      </c>
      <c r="F20">
        <v>0.7</v>
      </c>
      <c r="G20">
        <v>0.7</v>
      </c>
      <c r="H20">
        <v>1</v>
      </c>
      <c r="I20">
        <v>0</v>
      </c>
      <c r="J20">
        <v>0.7</v>
      </c>
      <c r="K20">
        <v>1</v>
      </c>
      <c r="L20">
        <v>0.2</v>
      </c>
      <c r="M20">
        <v>0.65</v>
      </c>
      <c r="N20">
        <v>0.7</v>
      </c>
      <c r="O20">
        <v>0.65</v>
      </c>
      <c r="P20">
        <v>0.65</v>
      </c>
      <c r="Q20">
        <v>0.3</v>
      </c>
      <c r="R20">
        <v>0.6</v>
      </c>
      <c r="S20">
        <v>0.5</v>
      </c>
      <c r="T20">
        <v>0.5</v>
      </c>
      <c r="U20">
        <v>1</v>
      </c>
      <c r="V20">
        <v>0.7</v>
      </c>
      <c r="W20">
        <v>0.1</v>
      </c>
      <c r="X20" s="12">
        <v>0.5096895769238472</v>
      </c>
    </row>
    <row r="21" spans="1:25" x14ac:dyDescent="0.35">
      <c r="A21">
        <v>2020</v>
      </c>
      <c r="B21">
        <v>0.7</v>
      </c>
      <c r="C21">
        <v>0</v>
      </c>
      <c r="D21">
        <v>0</v>
      </c>
      <c r="E21">
        <v>0.7</v>
      </c>
      <c r="F21">
        <v>0.7</v>
      </c>
      <c r="G21">
        <v>0.7</v>
      </c>
      <c r="H21">
        <v>1</v>
      </c>
      <c r="I21">
        <v>0</v>
      </c>
      <c r="J21">
        <v>0.7</v>
      </c>
      <c r="K21">
        <v>1</v>
      </c>
      <c r="L21">
        <v>0.2</v>
      </c>
      <c r="M21">
        <v>0.65</v>
      </c>
      <c r="N21">
        <v>0.7</v>
      </c>
      <c r="O21">
        <v>0.65</v>
      </c>
      <c r="P21">
        <v>0.65</v>
      </c>
      <c r="Q21">
        <v>0.3</v>
      </c>
      <c r="R21">
        <v>0.5</v>
      </c>
      <c r="S21">
        <v>0.5</v>
      </c>
      <c r="T21">
        <v>0.5</v>
      </c>
      <c r="U21">
        <v>1</v>
      </c>
      <c r="V21">
        <v>0.7</v>
      </c>
      <c r="W21">
        <v>0.1</v>
      </c>
      <c r="X21" s="12">
        <v>0.47842603176832199</v>
      </c>
    </row>
    <row r="22" spans="1:25" x14ac:dyDescent="0.35">
      <c r="A22">
        <v>2021</v>
      </c>
      <c r="B22">
        <v>0.7</v>
      </c>
      <c r="C22">
        <v>0</v>
      </c>
      <c r="D22">
        <v>0</v>
      </c>
      <c r="E22">
        <v>0.7</v>
      </c>
      <c r="F22">
        <v>0.7</v>
      </c>
      <c r="G22">
        <v>0.7</v>
      </c>
      <c r="H22">
        <v>1</v>
      </c>
      <c r="I22">
        <v>0</v>
      </c>
      <c r="J22">
        <v>0.7</v>
      </c>
      <c r="K22">
        <v>1</v>
      </c>
      <c r="L22">
        <v>0.2</v>
      </c>
      <c r="M22">
        <v>0.65</v>
      </c>
      <c r="N22">
        <v>0.7</v>
      </c>
      <c r="O22">
        <v>0.65</v>
      </c>
      <c r="P22">
        <v>0.65</v>
      </c>
      <c r="Q22">
        <v>0.3</v>
      </c>
      <c r="R22">
        <v>0.4</v>
      </c>
      <c r="S22">
        <v>0.5</v>
      </c>
      <c r="T22">
        <v>0.5</v>
      </c>
      <c r="U22">
        <v>1</v>
      </c>
      <c r="V22">
        <v>0.7</v>
      </c>
      <c r="W22">
        <v>0.1</v>
      </c>
      <c r="X22" s="12">
        <v>0.46941046416759491</v>
      </c>
    </row>
    <row r="23" spans="1:25" x14ac:dyDescent="0.35">
      <c r="A23">
        <v>2022</v>
      </c>
      <c r="B23">
        <v>0.7</v>
      </c>
      <c r="C23">
        <v>0</v>
      </c>
      <c r="D23">
        <v>0</v>
      </c>
      <c r="E23">
        <v>0.7</v>
      </c>
      <c r="F23">
        <v>0.7</v>
      </c>
      <c r="G23">
        <v>0.7</v>
      </c>
      <c r="H23">
        <v>1</v>
      </c>
      <c r="I23">
        <v>0</v>
      </c>
      <c r="J23">
        <v>0.7</v>
      </c>
      <c r="K23">
        <v>1</v>
      </c>
      <c r="L23">
        <v>0.2</v>
      </c>
      <c r="M23">
        <v>0.65</v>
      </c>
      <c r="N23">
        <v>0.7</v>
      </c>
      <c r="O23">
        <v>0.65</v>
      </c>
      <c r="P23">
        <v>0.65</v>
      </c>
      <c r="Q23">
        <v>0.3</v>
      </c>
      <c r="R23">
        <v>0.4</v>
      </c>
      <c r="S23">
        <v>0.5</v>
      </c>
      <c r="T23">
        <v>0.5</v>
      </c>
      <c r="U23">
        <v>1</v>
      </c>
      <c r="V23">
        <v>0.7</v>
      </c>
      <c r="W23">
        <v>0.1</v>
      </c>
      <c r="X23" s="12">
        <v>0.64261986315250397</v>
      </c>
    </row>
    <row r="24" spans="1:25" x14ac:dyDescent="0.35">
      <c r="A24">
        <v>2023</v>
      </c>
      <c r="B24">
        <v>0.7</v>
      </c>
      <c r="C24">
        <v>0</v>
      </c>
      <c r="D24">
        <v>0</v>
      </c>
      <c r="E24">
        <v>0.7</v>
      </c>
      <c r="F24">
        <v>0.7</v>
      </c>
      <c r="G24">
        <v>0.7</v>
      </c>
      <c r="H24">
        <v>1</v>
      </c>
      <c r="I24">
        <v>0</v>
      </c>
      <c r="J24">
        <v>0.7</v>
      </c>
      <c r="K24">
        <v>1</v>
      </c>
      <c r="L24">
        <v>0.2</v>
      </c>
      <c r="M24">
        <v>0.65</v>
      </c>
      <c r="N24">
        <v>0.7</v>
      </c>
      <c r="O24">
        <v>0.65</v>
      </c>
      <c r="P24">
        <v>0.65</v>
      </c>
      <c r="Q24">
        <v>0.3</v>
      </c>
      <c r="R24">
        <v>0.4</v>
      </c>
      <c r="S24">
        <v>0.5</v>
      </c>
      <c r="T24">
        <v>0.5</v>
      </c>
      <c r="U24">
        <v>1</v>
      </c>
      <c r="V24">
        <v>0.7</v>
      </c>
      <c r="W24">
        <v>0.1</v>
      </c>
      <c r="X24" s="12">
        <v>0.73916962742805481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ofc_list</vt:lpstr>
      <vt:lpstr>sharehouseholddep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Moura</dc:creator>
  <cp:lastModifiedBy>Godar, Sarah</cp:lastModifiedBy>
  <dcterms:created xsi:type="dcterms:W3CDTF">2025-05-21T13:27:29Z</dcterms:created>
  <dcterms:modified xsi:type="dcterms:W3CDTF">2025-06-30T15:31:13Z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2025-06-22T22:29:12Z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cf05a92c-a03e-4198-a4b9-c54fe0078953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