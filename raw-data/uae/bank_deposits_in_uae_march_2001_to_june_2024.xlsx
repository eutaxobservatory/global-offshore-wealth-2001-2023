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.moura\Dropbox\Carolina\paper_gabriel\uae\uae_cbuae\"/>
    </mc:Choice>
  </mc:AlternateContent>
  <xr:revisionPtr revIDLastSave="4" documentId="13_ncr:1_{60A5241A-13CD-4DEA-AF19-6EA9097564FA}" xr6:coauthVersionLast="47" xr6:coauthVersionMax="47" xr10:uidLastSave="{3CE775CF-C639-451F-A68D-F2F7E6821AA2}"/>
  <bookViews>
    <workbookView xWindow="0" yWindow="0" windowWidth="17256" windowHeight="5556" firstSheet="5" activeTab="5" xr2:uid="{C328628D-98D3-486B-A9FA-7B67B28E8C73}"/>
  </bookViews>
  <sheets>
    <sheet name="read_me" sheetId="4" r:id="rId1"/>
    <sheet name="new_category" sheetId="2" r:id="rId2"/>
    <sheet name="old_category" sheetId="3" r:id="rId3"/>
    <sheet name="merge" sheetId="6" state="hidden" r:id="rId4"/>
    <sheet name="merge_without_formula" sheetId="7" state="hidden" r:id="rId5"/>
    <sheet name="merge_pivot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" l="1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B15" i="7"/>
  <c r="AM16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AN4" i="6"/>
  <c r="AN5" i="6"/>
  <c r="AN6" i="6"/>
  <c r="AN7" i="6"/>
  <c r="CZ16" i="6" l="1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CE2" i="6"/>
  <c r="CF2" i="6"/>
  <c r="CG2" i="6"/>
  <c r="CH2" i="6"/>
  <c r="CI2" i="6"/>
  <c r="CJ2" i="6"/>
  <c r="CK2" i="6"/>
  <c r="CL2" i="6"/>
  <c r="CM2" i="6"/>
  <c r="CN2" i="6"/>
  <c r="CO2" i="6"/>
  <c r="CP2" i="6"/>
  <c r="CQ2" i="6"/>
  <c r="CR2" i="6"/>
  <c r="CS2" i="6"/>
  <c r="CT2" i="6"/>
  <c r="CU2" i="6"/>
  <c r="CV2" i="6"/>
  <c r="CW2" i="6"/>
  <c r="CX2" i="6"/>
  <c r="CY2" i="6"/>
  <c r="CZ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AN12" i="6"/>
  <c r="AN3" i="6"/>
  <c r="AN16" i="6" s="1"/>
  <c r="AN2" i="6"/>
  <c r="AN1" i="6"/>
  <c r="AJ1" i="6"/>
  <c r="AK1" i="6"/>
  <c r="AL1" i="6"/>
  <c r="AJ2" i="6"/>
  <c r="AK2" i="6"/>
  <c r="AL2" i="6"/>
  <c r="AJ3" i="6"/>
  <c r="AK3" i="6"/>
  <c r="AL3" i="6"/>
  <c r="AJ8" i="6"/>
  <c r="AK8" i="6"/>
  <c r="AL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B1" i="6"/>
  <c r="AC1" i="6"/>
  <c r="AD1" i="6"/>
  <c r="AE1" i="6"/>
  <c r="AF1" i="6"/>
  <c r="AG1" i="6"/>
  <c r="AH1" i="6"/>
  <c r="AI1" i="6"/>
  <c r="AB2" i="6"/>
  <c r="AC2" i="6"/>
  <c r="AD2" i="6"/>
  <c r="AE2" i="6"/>
  <c r="AF2" i="6"/>
  <c r="AG2" i="6"/>
  <c r="AH2" i="6"/>
  <c r="AI2" i="6"/>
  <c r="AB3" i="6"/>
  <c r="AC3" i="6"/>
  <c r="AD3" i="6"/>
  <c r="AE3" i="6"/>
  <c r="AF3" i="6"/>
  <c r="AG3" i="6"/>
  <c r="AH3" i="6"/>
  <c r="AI3" i="6"/>
  <c r="AB8" i="6"/>
  <c r="AC8" i="6"/>
  <c r="AD8" i="6"/>
  <c r="AE8" i="6"/>
  <c r="AF8" i="6"/>
  <c r="AG8" i="6"/>
  <c r="AH8" i="6"/>
  <c r="AI8" i="6"/>
  <c r="AB9" i="6"/>
  <c r="AC9" i="6"/>
  <c r="AD9" i="6"/>
  <c r="AE9" i="6"/>
  <c r="AF9" i="6"/>
  <c r="AG9" i="6"/>
  <c r="AH9" i="6"/>
  <c r="AI9" i="6"/>
  <c r="AB10" i="6"/>
  <c r="AC10" i="6"/>
  <c r="AD10" i="6"/>
  <c r="AE10" i="6"/>
  <c r="AF10" i="6"/>
  <c r="AG10" i="6"/>
  <c r="AH10" i="6"/>
  <c r="AI10" i="6"/>
  <c r="AB11" i="6"/>
  <c r="AC11" i="6"/>
  <c r="AD11" i="6"/>
  <c r="AE11" i="6"/>
  <c r="AF11" i="6"/>
  <c r="AG11" i="6"/>
  <c r="AH11" i="6"/>
  <c r="AI11" i="6"/>
  <c r="AB12" i="6"/>
  <c r="AC12" i="6"/>
  <c r="AD12" i="6"/>
  <c r="AE12" i="6"/>
  <c r="AF12" i="6"/>
  <c r="AG12" i="6"/>
  <c r="AH12" i="6"/>
  <c r="AI12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B12" i="6"/>
  <c r="B9" i="6"/>
  <c r="B10" i="6"/>
  <c r="B11" i="6"/>
  <c r="B8" i="6"/>
  <c r="B3" i="6"/>
  <c r="B2" i="6"/>
  <c r="B1" i="6"/>
  <c r="K30" i="3"/>
  <c r="K29" i="3"/>
  <c r="K31" i="3"/>
  <c r="K32" i="3"/>
  <c r="G29" i="3"/>
  <c r="H29" i="3"/>
  <c r="I29" i="3"/>
  <c r="J29" i="3"/>
  <c r="G30" i="3"/>
  <c r="H30" i="3"/>
  <c r="I30" i="3"/>
  <c r="J30" i="3"/>
  <c r="G31" i="3"/>
  <c r="H31" i="3"/>
  <c r="I31" i="3"/>
  <c r="J31" i="3"/>
  <c r="G32" i="3"/>
  <c r="H32" i="3"/>
  <c r="I32" i="3"/>
  <c r="J32" i="3"/>
  <c r="L29" i="3"/>
  <c r="M29" i="3"/>
  <c r="N29" i="3"/>
  <c r="O29" i="3"/>
  <c r="L30" i="3"/>
  <c r="M30" i="3"/>
  <c r="N30" i="3"/>
  <c r="O30" i="3"/>
  <c r="L31" i="3"/>
  <c r="M31" i="3"/>
  <c r="N31" i="3"/>
  <c r="O31" i="3"/>
  <c r="L32" i="3"/>
  <c r="M32" i="3"/>
  <c r="N32" i="3"/>
  <c r="O32" i="3"/>
  <c r="Q29" i="3"/>
  <c r="R29" i="3"/>
  <c r="S29" i="3"/>
  <c r="Q30" i="3"/>
  <c r="R30" i="3"/>
  <c r="S30" i="3"/>
  <c r="Q31" i="3"/>
  <c r="R31" i="3"/>
  <c r="S31" i="3"/>
  <c r="Q32" i="3"/>
  <c r="R32" i="3"/>
  <c r="S32" i="3"/>
  <c r="Z29" i="3"/>
  <c r="Z30" i="3"/>
  <c r="Y29" i="3"/>
  <c r="Y30" i="3"/>
  <c r="Y31" i="3"/>
  <c r="Y32" i="3"/>
  <c r="U29" i="3"/>
  <c r="V29" i="3"/>
  <c r="W29" i="3"/>
  <c r="U30" i="3"/>
  <c r="V30" i="3"/>
  <c r="W30" i="3"/>
  <c r="U31" i="3"/>
  <c r="V31" i="3"/>
  <c r="W31" i="3"/>
  <c r="U32" i="3"/>
  <c r="V32" i="3"/>
  <c r="W32" i="3"/>
  <c r="AA29" i="3"/>
  <c r="AA30" i="3"/>
  <c r="Z31" i="3"/>
  <c r="AA31" i="3"/>
  <c r="Z32" i="3"/>
  <c r="AA32" i="3"/>
  <c r="X29" i="3"/>
  <c r="AB29" i="3"/>
  <c r="AC29" i="3"/>
  <c r="AD29" i="3"/>
  <c r="X30" i="3"/>
  <c r="AB30" i="3"/>
  <c r="AC30" i="3"/>
  <c r="AD30" i="3"/>
  <c r="X31" i="3"/>
  <c r="AB31" i="3"/>
  <c r="AC31" i="3"/>
  <c r="AD31" i="3"/>
  <c r="X32" i="3"/>
  <c r="AB32" i="3"/>
  <c r="AC32" i="3"/>
  <c r="AD32" i="3"/>
  <c r="AE29" i="3"/>
  <c r="AF29" i="3"/>
  <c r="AG29" i="3"/>
  <c r="AE30" i="3"/>
  <c r="AF30" i="3"/>
  <c r="AG30" i="3"/>
  <c r="AE31" i="3"/>
  <c r="AF31" i="3"/>
  <c r="AG31" i="3"/>
  <c r="AE32" i="3"/>
  <c r="AF32" i="3"/>
  <c r="AG32" i="3"/>
  <c r="AH29" i="3"/>
  <c r="AH30" i="3"/>
  <c r="AH31" i="3"/>
  <c r="AH32" i="3"/>
  <c r="B16" i="6" l="1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I16" i="6"/>
  <c r="AH16" i="6"/>
  <c r="AG16" i="6"/>
  <c r="AF16" i="6"/>
  <c r="AE16" i="6"/>
  <c r="AD16" i="6"/>
  <c r="AC16" i="6"/>
  <c r="AB16" i="6"/>
  <c r="AL16" i="6"/>
  <c r="AK16" i="6"/>
  <c r="AJ16" i="6"/>
  <c r="AI29" i="3"/>
  <c r="AI30" i="3"/>
  <c r="AI31" i="3"/>
  <c r="AI32" i="3"/>
  <c r="E29" i="3"/>
  <c r="F29" i="3"/>
  <c r="P29" i="3"/>
  <c r="T29" i="3"/>
  <c r="AJ29" i="3"/>
  <c r="AK29" i="3"/>
  <c r="AL29" i="3"/>
  <c r="AM29" i="3"/>
  <c r="AN29" i="3"/>
  <c r="E30" i="3"/>
  <c r="F30" i="3"/>
  <c r="P30" i="3"/>
  <c r="T30" i="3"/>
  <c r="AJ30" i="3"/>
  <c r="AK30" i="3"/>
  <c r="AL30" i="3"/>
  <c r="AM30" i="3"/>
  <c r="AN30" i="3"/>
  <c r="AO29" i="3"/>
  <c r="AO30" i="3"/>
  <c r="AJ32" i="3"/>
  <c r="AK32" i="3"/>
  <c r="AO32" i="3"/>
  <c r="AN32" i="3"/>
  <c r="AM32" i="3"/>
  <c r="AL32" i="3"/>
  <c r="T32" i="3"/>
  <c r="P32" i="3"/>
  <c r="F32" i="3"/>
  <c r="E32" i="3"/>
  <c r="AO31" i="3"/>
  <c r="AN31" i="3"/>
  <c r="AM31" i="3"/>
  <c r="AL31" i="3"/>
  <c r="AK31" i="3"/>
  <c r="AJ31" i="3"/>
  <c r="T31" i="3"/>
  <c r="P31" i="3"/>
  <c r="F31" i="3"/>
  <c r="E31" i="3"/>
</calcChain>
</file>

<file path=xl/sharedStrings.xml><?xml version="1.0" encoding="utf-8"?>
<sst xmlns="http://schemas.openxmlformats.org/spreadsheetml/2006/main" count="1168" uniqueCount="168">
  <si>
    <t>year</t>
  </si>
  <si>
    <t>variable</t>
  </si>
  <si>
    <t>granularity</t>
  </si>
  <si>
    <t>granularity_category</t>
  </si>
  <si>
    <t>periodicity</t>
  </si>
  <si>
    <t>source</t>
  </si>
  <si>
    <t>unity</t>
  </si>
  <si>
    <t>non-resident deposits</t>
  </si>
  <si>
    <t>yes</t>
  </si>
  <si>
    <t>old</t>
  </si>
  <si>
    <t>quartely</t>
  </si>
  <si>
    <t>cbuae_statistical_bulletin</t>
  </si>
  <si>
    <t>millions_of_aed</t>
  </si>
  <si>
    <t>yearly</t>
  </si>
  <si>
    <t>cbuae_annual_report</t>
  </si>
  <si>
    <t>no</t>
  </si>
  <si>
    <t>NA</t>
  </si>
  <si>
    <t>new</t>
  </si>
  <si>
    <t>quartely+1</t>
  </si>
  <si>
    <t>yearly-1</t>
  </si>
  <si>
    <t>monthly</t>
  </si>
  <si>
    <t>monthly-6</t>
  </si>
  <si>
    <r>
      <t xml:space="preserve">Table 30 : Deposits distributed Residents / Non Residents ( All Banks ) </t>
    </r>
    <r>
      <rPr>
        <b/>
        <i/>
        <vertAlign val="superscript"/>
        <sz val="11"/>
        <rFont val="Arial"/>
        <family val="2"/>
      </rPr>
      <t>1</t>
    </r>
  </si>
  <si>
    <t>(In Millions of AED)</t>
  </si>
  <si>
    <t>month</t>
  </si>
  <si>
    <t>Item</t>
  </si>
  <si>
    <t>Dec 2015</t>
  </si>
  <si>
    <t>Dec 2016</t>
  </si>
  <si>
    <t>Dec 2017</t>
  </si>
  <si>
    <t>Mar 2018</t>
  </si>
  <si>
    <t>Jun 2018</t>
  </si>
  <si>
    <t>Sep 2018</t>
  </si>
  <si>
    <t>Dec 2018</t>
  </si>
  <si>
    <t>Jun 2019</t>
  </si>
  <si>
    <t>Sep 2019</t>
  </si>
  <si>
    <t>Nov 2019</t>
  </si>
  <si>
    <t>Dec 2019</t>
  </si>
  <si>
    <t>Jan 2020*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</si>
  <si>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</si>
  <si>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</si>
  <si>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</si>
  <si>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</si>
  <si>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</si>
  <si>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</si>
  <si>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</si>
  <si>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</si>
  <si>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</si>
  <si>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</si>
  <si>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</si>
  <si>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</si>
  <si>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</si>
  <si>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</si>
  <si>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</si>
  <si>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</si>
  <si>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</si>
  <si>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</si>
  <si>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</si>
  <si>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</si>
  <si>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</si>
  <si>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</si>
  <si>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</si>
  <si>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</si>
  <si>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</si>
  <si>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</si>
  <si>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</si>
  <si>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</si>
  <si>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</si>
  <si>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</si>
  <si>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</si>
  <si>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</si>
  <si>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</si>
  <si>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</si>
  <si>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Feb 2023</t>
  </si>
  <si>
    <t>Jan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</si>
  <si>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</si>
  <si>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</si>
  <si>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</si>
  <si>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</si>
  <si>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</si>
  <si>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</si>
  <si>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</si>
  <si>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</si>
  <si>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</si>
  <si>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</si>
  <si>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</si>
  <si>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</si>
  <si>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</si>
  <si>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</si>
  <si>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</si>
  <si>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 *</t>
  </si>
  <si>
    <t>(1)</t>
  </si>
  <si>
    <t>Residents</t>
  </si>
  <si>
    <t>Corporate</t>
  </si>
  <si>
    <t>Individuals</t>
  </si>
  <si>
    <t xml:space="preserve">Government </t>
  </si>
  <si>
    <t>GREs</t>
  </si>
  <si>
    <t>Non Banking Financial Institutions</t>
  </si>
  <si>
    <t>(2)</t>
  </si>
  <si>
    <t>Non-Residents</t>
  </si>
  <si>
    <t xml:space="preserve">Individuals </t>
  </si>
  <si>
    <t>Government and Non Commercial Entities</t>
  </si>
  <si>
    <t>Total Deposits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</si>
  <si>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&amp; Borrowings under repurchase agreements</t>
    </r>
  </si>
  <si>
    <t xml:space="preserve"> * Preliminary</t>
  </si>
  <si>
    <r>
      <t xml:space="preserve">Table A-10 : Deposits distributed Residents / Non Residents </t>
    </r>
    <r>
      <rPr>
        <b/>
        <i/>
        <vertAlign val="superscript"/>
        <sz val="11"/>
        <rFont val="Arial"/>
        <family val="2"/>
      </rPr>
      <t>1</t>
    </r>
  </si>
  <si>
    <t>Marc 2001</t>
  </si>
  <si>
    <t>Ju 2001</t>
  </si>
  <si>
    <t>Se 2001</t>
  </si>
  <si>
    <t>Dec 2001</t>
  </si>
  <si>
    <t>Marc 2002</t>
  </si>
  <si>
    <t>Ju 2002</t>
  </si>
  <si>
    <t>Se 2002</t>
  </si>
  <si>
    <t>Dec 2002</t>
  </si>
  <si>
    <t>Marc 2003</t>
  </si>
  <si>
    <t>Ju 2003</t>
  </si>
  <si>
    <t>Se 2003**</t>
  </si>
  <si>
    <t>Dec 2003</t>
  </si>
  <si>
    <t>Marc 2004</t>
  </si>
  <si>
    <t>Ju 2004</t>
  </si>
  <si>
    <t>Se 2004</t>
  </si>
  <si>
    <t>Dec 2004</t>
  </si>
  <si>
    <t>Marc 2005</t>
  </si>
  <si>
    <t>Ju 2005</t>
  </si>
  <si>
    <t>Se 2005</t>
  </si>
  <si>
    <t>Dec 2005</t>
  </si>
  <si>
    <t>Marc 2006</t>
  </si>
  <si>
    <t>Ju 2006</t>
  </si>
  <si>
    <t>Se 2006</t>
  </si>
  <si>
    <t>Dec 2006</t>
  </si>
  <si>
    <t>Marc 2007</t>
  </si>
  <si>
    <t>Ju 2007</t>
  </si>
  <si>
    <t>Se 2007</t>
  </si>
  <si>
    <t>Dec 2007</t>
  </si>
  <si>
    <t>Marc 2008</t>
  </si>
  <si>
    <t>Ju 2008</t>
  </si>
  <si>
    <t>Se 2008</t>
  </si>
  <si>
    <t>Dec 2008</t>
  </si>
  <si>
    <t>Dec 2009</t>
  </si>
  <si>
    <t>Dec 2010</t>
  </si>
  <si>
    <t>Dec 2011</t>
  </si>
  <si>
    <t>Dec 2012</t>
  </si>
  <si>
    <t>Dec 2013*</t>
  </si>
  <si>
    <t>Public sector</t>
  </si>
  <si>
    <t>Private sector</t>
  </si>
  <si>
    <t>Others</t>
  </si>
  <si>
    <t>Government and Diplomatic Missions</t>
  </si>
  <si>
    <t>Financial Institutions</t>
  </si>
  <si>
    <t>Business and Industry</t>
  </si>
  <si>
    <t>Individuals and Others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</si>
  <si>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Excluding Inter-Bank Deposits and Bank Drafts but Including Commercial Prepayments </t>
    </r>
  </si>
  <si>
    <r>
      <rPr>
        <i/>
        <vertAlign val="superscript"/>
        <sz val="10"/>
        <rFont val="Arial"/>
        <family val="2"/>
      </rPr>
      <t xml:space="preserve">**  Only for Residents: </t>
    </r>
    <r>
      <rPr>
        <i/>
        <sz val="10"/>
        <rFont val="Arial"/>
        <family val="2"/>
      </rPr>
      <t xml:space="preserve"> Excluding Inter-Bank Deposits and Bank Drafts but Including Commercial Prepayments and Deposits of UAE Residents Booked in Overseas Branches (Including Offshore Units) and Subsidiaries of National Banks Abroad.</t>
    </r>
  </si>
  <si>
    <t>non_residents</t>
  </si>
  <si>
    <t>non_res_corporate</t>
  </si>
  <si>
    <t>non_res_non_banking_fin_insti</t>
  </si>
  <si>
    <t xml:space="preserve">non_res_individuals </t>
  </si>
  <si>
    <t>non_res_gov_and_non_comm_ent</t>
  </si>
  <si>
    <t>non_res_old_gov_and_dipl_missions</t>
  </si>
  <si>
    <t>non_res_old_financial_institutions</t>
  </si>
  <si>
    <t>non_res_old_business_industry</t>
  </si>
  <si>
    <t>non_res_old_individuals_others</t>
  </si>
  <si>
    <t>total_deposits</t>
  </si>
  <si>
    <t>old_category</t>
  </si>
  <si>
    <t>non_res_nonbankfininsti</t>
  </si>
  <si>
    <t>non_res_govnoncom</t>
  </si>
  <si>
    <t>non_res_old_govdipl</t>
  </si>
  <si>
    <t>non_res_old_fininst</t>
  </si>
  <si>
    <t>non_res_old_busiind</t>
  </si>
  <si>
    <t>non_res_old_indivothers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</si>
</sst>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i/>
      <sz val="11"/>
      <name val="Arial"/>
      <family val="2"/>
    </font>
    <font>
      <b/>
      <i/>
      <vertAlign val="superscript"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7">
    <xf numFmtId="0" fontId="0" fillId="0" borderId="0"/>
    <xf numFmtId="0" fontId="3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 applyNumberFormat="0">
      <alignment horizontal="right"/>
    </xf>
    <xf numFmtId="0" fontId="1" fillId="0" borderId="0"/>
    <xf numFmtId="0" fontId="4" fillId="0" borderId="0"/>
    <xf numFmtId="0" fontId="4" fillId="0" borderId="0"/>
    <xf numFmtId="0" fontId="4" fillId="0" borderId="0">
      <alignment horizontal="left" wrapText="1"/>
    </xf>
    <xf numFmtId="0" fontId="4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4" fillId="0" borderId="0">
      <alignment horizontal="left" wrapText="1"/>
    </xf>
    <xf numFmtId="0" fontId="1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horizontal="left" wrapText="1"/>
    </xf>
    <xf numFmtId="0" fontId="1" fillId="0" borderId="0"/>
  </cellStyleXfs>
  <cellXfs count="89">
    <xf numFmtId="0" fontId="0" fillId="0" borderId="0" xfId="0"/>
    <xf numFmtId="0" fontId="3" fillId="0" borderId="1" xfId="1" applyFill="1" applyBorder="1"/>
    <xf numFmtId="0" fontId="3" fillId="0" borderId="2" xfId="1" applyFill="1" applyBorder="1"/>
    <xf numFmtId="0" fontId="4" fillId="0" borderId="2" xfId="1" applyFont="1" applyFill="1" applyBorder="1" applyAlignment="1">
      <alignment horizontal="left" vertical="top"/>
    </xf>
    <xf numFmtId="0" fontId="3" fillId="0" borderId="3" xfId="1" applyFill="1" applyBorder="1"/>
    <xf numFmtId="0" fontId="3" fillId="0" borderId="0" xfId="1" applyFill="1"/>
    <xf numFmtId="0" fontId="3" fillId="0" borderId="4" xfId="1" applyFill="1" applyBorder="1"/>
    <xf numFmtId="0" fontId="3" fillId="0" borderId="0" xfId="1" applyFill="1" applyBorder="1"/>
    <xf numFmtId="0" fontId="4" fillId="0" borderId="0" xfId="1" applyFont="1" applyFill="1" applyBorder="1" applyAlignment="1">
      <alignment horizontal="left" vertical="top"/>
    </xf>
    <xf numFmtId="0" fontId="3" fillId="0" borderId="5" xfId="1" applyFill="1" applyBorder="1"/>
    <xf numFmtId="0" fontId="7" fillId="0" borderId="6" xfId="1" applyFont="1" applyFill="1" applyBorder="1"/>
    <xf numFmtId="0" fontId="4" fillId="0" borderId="7" xfId="1" applyFont="1" applyFill="1" applyBorder="1" applyAlignment="1">
      <alignment horizontal="left" vertical="top"/>
    </xf>
    <xf numFmtId="0" fontId="3" fillId="0" borderId="7" xfId="1" applyFill="1" applyBorder="1"/>
    <xf numFmtId="0" fontId="4" fillId="0" borderId="8" xfId="1" applyFont="1" applyFill="1" applyBorder="1"/>
    <xf numFmtId="0" fontId="7" fillId="0" borderId="6" xfId="1" applyFont="1" applyFill="1" applyBorder="1" applyAlignment="1"/>
    <xf numFmtId="0" fontId="7" fillId="0" borderId="7" xfId="1" applyFont="1" applyFill="1" applyBorder="1" applyAlignment="1"/>
    <xf numFmtId="0" fontId="7" fillId="0" borderId="8" xfId="1" applyFont="1" applyFill="1" applyBorder="1" applyAlignment="1"/>
    <xf numFmtId="0" fontId="7" fillId="0" borderId="9" xfId="1" applyFont="1" applyFill="1" applyBorder="1" applyAlignment="1">
      <alignment horizontal="left"/>
    </xf>
    <xf numFmtId="0" fontId="3" fillId="0" borderId="9" xfId="1" applyFill="1" applyBorder="1" applyAlignment="1">
      <alignment horizontal="left"/>
    </xf>
    <xf numFmtId="0" fontId="4" fillId="0" borderId="5" xfId="1" applyFont="1" applyFill="1" applyBorder="1"/>
    <xf numFmtId="0" fontId="9" fillId="0" borderId="9" xfId="1" applyFont="1" applyFill="1" applyBorder="1" applyAlignment="1">
      <alignment horizontal="left"/>
    </xf>
    <xf numFmtId="0" fontId="4" fillId="0" borderId="9" xfId="1" applyFont="1" applyFill="1" applyBorder="1" applyAlignment="1">
      <alignment horizontal="left"/>
    </xf>
    <xf numFmtId="0" fontId="8" fillId="0" borderId="6" xfId="1" applyFont="1" applyFill="1" applyBorder="1"/>
    <xf numFmtId="0" fontId="9" fillId="0" borderId="7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vertical="center"/>
    </xf>
    <xf numFmtId="0" fontId="7" fillId="0" borderId="7" xfId="1" applyFont="1" applyFill="1" applyBorder="1" applyAlignment="1">
      <alignment horizontal="left" vertical="top"/>
    </xf>
    <xf numFmtId="0" fontId="4" fillId="0" borderId="8" xfId="1" applyFont="1" applyFill="1" applyBorder="1" applyAlignment="1">
      <alignment horizontal="center"/>
    </xf>
    <xf numFmtId="0" fontId="7" fillId="0" borderId="9" xfId="1" applyFont="1" applyFill="1" applyBorder="1"/>
    <xf numFmtId="0" fontId="4" fillId="0" borderId="9" xfId="1" applyFont="1" applyFill="1" applyBorder="1" applyAlignment="1">
      <alignment horizontal="left" vertical="top"/>
    </xf>
    <xf numFmtId="0" fontId="10" fillId="0" borderId="0" xfId="1" applyFont="1" applyFill="1" applyBorder="1" applyAlignment="1">
      <alignment horizontal="left"/>
    </xf>
    <xf numFmtId="0" fontId="3" fillId="0" borderId="0" xfId="1" applyFill="1" applyBorder="1" applyAlignment="1">
      <alignment horizontal="left"/>
    </xf>
    <xf numFmtId="0" fontId="3" fillId="0" borderId="13" xfId="1" applyFill="1" applyBorder="1"/>
    <xf numFmtId="0" fontId="3" fillId="0" borderId="14" xfId="1" applyFill="1" applyBorder="1"/>
    <xf numFmtId="0" fontId="4" fillId="0" borderId="14" xfId="1" applyFont="1" applyFill="1" applyBorder="1" applyAlignment="1">
      <alignment horizontal="left" vertical="top"/>
    </xf>
    <xf numFmtId="0" fontId="3" fillId="0" borderId="15" xfId="1" applyFill="1" applyBorder="1"/>
    <xf numFmtId="0" fontId="4" fillId="0" borderId="0" xfId="1" applyFont="1" applyFill="1" applyAlignment="1">
      <alignment horizontal="left" vertical="top"/>
    </xf>
    <xf numFmtId="0" fontId="4" fillId="0" borderId="0" xfId="1" applyFont="1" applyFill="1"/>
    <xf numFmtId="0" fontId="0" fillId="0" borderId="9" xfId="0" applyBorder="1"/>
    <xf numFmtId="0" fontId="2" fillId="0" borderId="9" xfId="0" applyFont="1" applyBorder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0" fontId="4" fillId="0" borderId="0" xfId="1" applyFont="1" applyFill="1"/>
    <xf numFmtId="3" fontId="4" fillId="0" borderId="0" xfId="1" applyNumberFormat="1" applyFont="1" applyFill="1" applyBorder="1"/>
    <xf numFmtId="0" fontId="4" fillId="0" borderId="2" xfId="1" applyFont="1" applyFill="1" applyBorder="1"/>
    <xf numFmtId="3" fontId="4" fillId="0" borderId="14" xfId="1" applyNumberFormat="1" applyFont="1" applyFill="1" applyBorder="1"/>
    <xf numFmtId="0" fontId="4" fillId="0" borderId="7" xfId="1" applyFont="1" applyFill="1" applyBorder="1"/>
    <xf numFmtId="3" fontId="4" fillId="0" borderId="9" xfId="1" applyNumberFormat="1" applyFont="1" applyFill="1" applyBorder="1" applyAlignment="1">
      <alignment horizontal="center"/>
    </xf>
    <xf numFmtId="3" fontId="7" fillId="0" borderId="9" xfId="1" applyNumberFormat="1" applyFont="1" applyFill="1" applyBorder="1" applyAlignment="1">
      <alignment horizontal="center"/>
    </xf>
    <xf numFmtId="3" fontId="4" fillId="0" borderId="8" xfId="1" applyNumberFormat="1" applyFont="1" applyFill="1" applyBorder="1" applyAlignment="1">
      <alignment horizontal="center"/>
    </xf>
    <xf numFmtId="3" fontId="7" fillId="0" borderId="8" xfId="1" applyNumberFormat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0" borderId="0" xfId="1" applyFont="1" applyFill="1" applyBorder="1"/>
    <xf numFmtId="0" fontId="4" fillId="0" borderId="9" xfId="1" applyFont="1" applyFill="1" applyBorder="1" applyAlignment="1">
      <alignment horizontal="center"/>
    </xf>
    <xf numFmtId="3" fontId="4" fillId="0" borderId="7" xfId="1" applyNumberFormat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3" fontId="3" fillId="0" borderId="0" xfId="1" applyNumberFormat="1" applyFill="1"/>
    <xf numFmtId="17" fontId="7" fillId="0" borderId="9" xfId="1" applyNumberFormat="1" applyFont="1" applyFill="1" applyBorder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0" fontId="7" fillId="0" borderId="9" xfId="1" applyNumberFormat="1" applyFont="1" applyFill="1" applyBorder="1" applyAlignment="1">
      <alignment horizontal="center"/>
    </xf>
    <xf numFmtId="0" fontId="3" fillId="0" borderId="5" xfId="1" applyNumberFormat="1" applyFill="1" applyBorder="1"/>
    <xf numFmtId="0" fontId="3" fillId="0" borderId="0" xfId="1" applyNumberFormat="1" applyFill="1" applyBorder="1"/>
    <xf numFmtId="0" fontId="4" fillId="0" borderId="9" xfId="1" applyFont="1" applyFill="1" applyBorder="1"/>
    <xf numFmtId="0" fontId="4" fillId="0" borderId="0" xfId="1" applyFont="1" applyFill="1" applyBorder="1" applyAlignment="1">
      <alignment horizontal="center"/>
    </xf>
    <xf numFmtId="3" fontId="7" fillId="0" borderId="7" xfId="1" applyNumberFormat="1" applyFont="1" applyFill="1" applyBorder="1" applyAlignment="1">
      <alignment horizontal="center"/>
    </xf>
    <xf numFmtId="3" fontId="0" fillId="0" borderId="0" xfId="0" applyNumberFormat="1"/>
    <xf numFmtId="0" fontId="2" fillId="0" borderId="0" xfId="0" applyFont="1"/>
    <xf numFmtId="0" fontId="5" fillId="0" borderId="0" xfId="1" applyFont="1" applyFill="1" applyBorder="1" applyAlignment="1">
      <alignment horizontal="left"/>
    </xf>
    <xf numFmtId="0" fontId="8" fillId="0" borderId="10" xfId="1" quotePrefix="1" applyFont="1" applyFill="1" applyBorder="1" applyAlignment="1">
      <alignment horizontal="center" vertical="center"/>
    </xf>
    <xf numFmtId="0" fontId="8" fillId="0" borderId="11" xfId="1" quotePrefix="1" applyFont="1" applyFill="1" applyBorder="1" applyAlignment="1">
      <alignment horizontal="center" vertical="center"/>
    </xf>
    <xf numFmtId="0" fontId="8" fillId="0" borderId="12" xfId="1" quotePrefix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/>
    </xf>
    <xf numFmtId="0" fontId="7" fillId="0" borderId="7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</cellXfs>
  <cellStyles count="27">
    <cellStyle name="Comma 2" xfId="3" xr:uid="{00000000-0005-0000-0000-000001000000}"/>
    <cellStyle name="Comma 2 2" xfId="4" xr:uid="{00000000-0005-0000-0000-000002000000}"/>
    <cellStyle name="Comma 3" xfId="5" xr:uid="{00000000-0005-0000-0000-000003000000}"/>
    <cellStyle name="Comma 4" xfId="6" xr:uid="{00000000-0005-0000-0000-000004000000}"/>
    <cellStyle name="Comma 4 2" xfId="7" xr:uid="{00000000-0005-0000-0000-000005000000}"/>
    <cellStyle name="Comma 5" xfId="8" xr:uid="{00000000-0005-0000-0000-000006000000}"/>
    <cellStyle name="Comma 6" xfId="9" xr:uid="{00000000-0005-0000-0000-000007000000}"/>
    <cellStyle name="Milliers 2" xfId="2" xr:uid="{00000000-0005-0000-0000-000037000000}"/>
    <cellStyle name="MS_Arabic" xfId="10" xr:uid="{00000000-0005-0000-0000-000008000000}"/>
    <cellStyle name="Normal" xfId="0" builtinId="0"/>
    <cellStyle name="Normal 2" xfId="1" xr:uid="{4A699D13-04DD-49ED-A665-8967CF7A3773}"/>
    <cellStyle name="Normal 2 2" xfId="12" xr:uid="{00000000-0005-0000-0000-00000B000000}"/>
    <cellStyle name="Normal 2 2 2" xfId="13" xr:uid="{00000000-0005-0000-0000-00000C000000}"/>
    <cellStyle name="Normal 2 3" xfId="14" xr:uid="{00000000-0005-0000-0000-00000D000000}"/>
    <cellStyle name="Normal 2 4" xfId="11" xr:uid="{00000000-0005-0000-0000-00000A000000}"/>
    <cellStyle name="Normal 3" xfId="15" xr:uid="{00000000-0005-0000-0000-00000E000000}"/>
    <cellStyle name="Normal 3 2" xfId="16" xr:uid="{00000000-0005-0000-0000-00000F000000}"/>
    <cellStyle name="Normal 3 3" xfId="17" xr:uid="{00000000-0005-0000-0000-000010000000}"/>
    <cellStyle name="Normal 37" xfId="18" xr:uid="{00000000-0005-0000-0000-000011000000}"/>
    <cellStyle name="Normal 4" xfId="19" xr:uid="{00000000-0005-0000-0000-000012000000}"/>
    <cellStyle name="Normal 4 2" xfId="20" xr:uid="{00000000-0005-0000-0000-000013000000}"/>
    <cellStyle name="Normal 5" xfId="21" xr:uid="{00000000-0005-0000-0000-000014000000}"/>
    <cellStyle name="Normal 6" xfId="26" xr:uid="{00000000-0005-0000-0000-000015000000}"/>
    <cellStyle name="Percent 2" xfId="23" xr:uid="{00000000-0005-0000-0000-000016000000}"/>
    <cellStyle name="Percent 3" xfId="24" xr:uid="{00000000-0005-0000-0000-000017000000}"/>
    <cellStyle name="Pourcentage 2" xfId="22" xr:uid="{00000000-0005-0000-0000-000046000000}"/>
    <cellStyle name="Style 1" xfId="25" xr:uid="{00000000-0005-0000-0000-000018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85AD-8CDB-42F8-AD7E-C70D858536FE}">
  <dimension ref="A1:G25"/>
  <sheetViews>
    <sheetView workbookViewId="0">
      <selection activeCell="P22" sqref="P22"/>
    </sheetView>
  </sheetViews>
  <sheetFormatPr defaultColWidth="11.42578125" defaultRowHeight="14.45"/>
  <cols>
    <col min="1" max="1" width="6.28515625" customWidth="1"/>
    <col min="2" max="2" width="29.28515625" customWidth="1"/>
    <col min="3" max="3" width="10" customWidth="1"/>
    <col min="4" max="4" width="18.5703125" bestFit="1" customWidth="1"/>
    <col min="6" max="6" width="34.85546875" customWidth="1"/>
    <col min="7" max="7" width="13.85546875" customWidth="1"/>
  </cols>
  <sheetData>
    <row r="1" spans="1:7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</row>
    <row r="2" spans="1:7">
      <c r="A2">
        <v>2001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2002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>
        <v>2003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>
      <c r="A5">
        <v>2004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>
        <v>2005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>
        <v>2006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>
      <c r="A8">
        <v>2007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>
      <c r="A9">
        <v>2008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7">
      <c r="A10">
        <v>2009</v>
      </c>
      <c r="B10" t="s">
        <v>7</v>
      </c>
      <c r="C10" t="s">
        <v>8</v>
      </c>
      <c r="D10" t="s">
        <v>9</v>
      </c>
      <c r="E10" t="s">
        <v>13</v>
      </c>
      <c r="F10" t="s">
        <v>14</v>
      </c>
      <c r="G10" t="s">
        <v>12</v>
      </c>
    </row>
    <row r="11" spans="1:7">
      <c r="A11">
        <v>2010</v>
      </c>
      <c r="B11" t="s">
        <v>7</v>
      </c>
      <c r="C11" t="s">
        <v>8</v>
      </c>
      <c r="D11" t="s">
        <v>9</v>
      </c>
      <c r="E11" t="s">
        <v>13</v>
      </c>
      <c r="F11" t="s">
        <v>14</v>
      </c>
      <c r="G11" t="s">
        <v>12</v>
      </c>
    </row>
    <row r="12" spans="1:7">
      <c r="A12">
        <v>2011</v>
      </c>
      <c r="B12" t="s">
        <v>7</v>
      </c>
      <c r="C12" t="s">
        <v>8</v>
      </c>
      <c r="D12" t="s">
        <v>9</v>
      </c>
      <c r="E12" t="s">
        <v>13</v>
      </c>
      <c r="F12" t="s">
        <v>14</v>
      </c>
      <c r="G12" t="s">
        <v>12</v>
      </c>
    </row>
    <row r="13" spans="1:7">
      <c r="A13">
        <v>2012</v>
      </c>
      <c r="B13" t="s">
        <v>7</v>
      </c>
      <c r="C13" t="s">
        <v>8</v>
      </c>
      <c r="D13" t="s">
        <v>9</v>
      </c>
      <c r="E13" t="s">
        <v>13</v>
      </c>
      <c r="F13" t="s">
        <v>14</v>
      </c>
      <c r="G13" t="s">
        <v>12</v>
      </c>
    </row>
    <row r="14" spans="1:7">
      <c r="A14">
        <v>2013</v>
      </c>
      <c r="B14" t="s">
        <v>7</v>
      </c>
      <c r="C14" t="s">
        <v>8</v>
      </c>
      <c r="D14" t="s">
        <v>9</v>
      </c>
      <c r="E14" t="s">
        <v>13</v>
      </c>
      <c r="F14" t="s">
        <v>14</v>
      </c>
      <c r="G14" t="s">
        <v>12</v>
      </c>
    </row>
    <row r="15" spans="1:7">
      <c r="A15">
        <v>2014</v>
      </c>
      <c r="B15" t="s">
        <v>7</v>
      </c>
      <c r="C15" t="s">
        <v>15</v>
      </c>
      <c r="D15" t="s">
        <v>16</v>
      </c>
      <c r="E15" t="s">
        <v>13</v>
      </c>
      <c r="F15" t="s">
        <v>14</v>
      </c>
      <c r="G15" t="s">
        <v>12</v>
      </c>
    </row>
    <row r="16" spans="1:7">
      <c r="A16">
        <v>2015</v>
      </c>
      <c r="B16" t="s">
        <v>7</v>
      </c>
      <c r="C16" t="s">
        <v>8</v>
      </c>
      <c r="D16" t="s">
        <v>17</v>
      </c>
      <c r="E16" t="s">
        <v>13</v>
      </c>
      <c r="F16" t="s">
        <v>11</v>
      </c>
      <c r="G16" t="s">
        <v>12</v>
      </c>
    </row>
    <row r="17" spans="1:7">
      <c r="A17">
        <v>2016</v>
      </c>
      <c r="B17" t="s">
        <v>7</v>
      </c>
      <c r="C17" t="s">
        <v>8</v>
      </c>
      <c r="D17" t="s">
        <v>17</v>
      </c>
      <c r="E17" t="s">
        <v>13</v>
      </c>
      <c r="F17" t="s">
        <v>11</v>
      </c>
      <c r="G17" t="s">
        <v>12</v>
      </c>
    </row>
    <row r="18" spans="1:7">
      <c r="A18">
        <v>2017</v>
      </c>
      <c r="B18" t="s">
        <v>7</v>
      </c>
      <c r="C18" t="s">
        <v>8</v>
      </c>
      <c r="D18" t="s">
        <v>17</v>
      </c>
      <c r="E18" t="s">
        <v>13</v>
      </c>
      <c r="F18" t="s">
        <v>11</v>
      </c>
      <c r="G18" t="s">
        <v>12</v>
      </c>
    </row>
    <row r="19" spans="1:7">
      <c r="A19">
        <v>2018</v>
      </c>
      <c r="B19" t="s">
        <v>7</v>
      </c>
      <c r="C19" t="s">
        <v>8</v>
      </c>
      <c r="D19" t="s">
        <v>17</v>
      </c>
      <c r="E19" t="s">
        <v>10</v>
      </c>
      <c r="F19" t="s">
        <v>11</v>
      </c>
      <c r="G19" t="s">
        <v>12</v>
      </c>
    </row>
    <row r="20" spans="1:7">
      <c r="A20">
        <v>2019</v>
      </c>
      <c r="B20" t="s">
        <v>7</v>
      </c>
      <c r="C20" t="s">
        <v>8</v>
      </c>
      <c r="D20" t="s">
        <v>17</v>
      </c>
      <c r="E20" t="s">
        <v>18</v>
      </c>
      <c r="F20" t="s">
        <v>11</v>
      </c>
      <c r="G20" t="s">
        <v>12</v>
      </c>
    </row>
    <row r="21" spans="1:7">
      <c r="A21">
        <v>2020</v>
      </c>
      <c r="B21" t="s">
        <v>7</v>
      </c>
      <c r="C21" t="s">
        <v>8</v>
      </c>
      <c r="D21" t="s">
        <v>17</v>
      </c>
      <c r="E21" t="s">
        <v>19</v>
      </c>
      <c r="F21" t="s">
        <v>11</v>
      </c>
      <c r="G21" t="s">
        <v>12</v>
      </c>
    </row>
    <row r="22" spans="1:7">
      <c r="A22">
        <v>2021</v>
      </c>
      <c r="B22" t="s">
        <v>7</v>
      </c>
      <c r="C22" t="s">
        <v>8</v>
      </c>
      <c r="D22" t="s">
        <v>17</v>
      </c>
      <c r="E22" t="s">
        <v>20</v>
      </c>
      <c r="F22" t="s">
        <v>11</v>
      </c>
      <c r="G22" t="s">
        <v>12</v>
      </c>
    </row>
    <row r="23" spans="1:7">
      <c r="A23">
        <v>2022</v>
      </c>
      <c r="B23" t="s">
        <v>7</v>
      </c>
      <c r="C23" t="s">
        <v>8</v>
      </c>
      <c r="D23" t="s">
        <v>17</v>
      </c>
      <c r="E23" t="s">
        <v>20</v>
      </c>
      <c r="F23" t="s">
        <v>11</v>
      </c>
      <c r="G23" t="s">
        <v>12</v>
      </c>
    </row>
    <row r="24" spans="1:7">
      <c r="A24">
        <v>2023</v>
      </c>
      <c r="B24" t="s">
        <v>7</v>
      </c>
      <c r="C24" t="s">
        <v>8</v>
      </c>
      <c r="D24" t="s">
        <v>17</v>
      </c>
      <c r="E24" t="s">
        <v>20</v>
      </c>
      <c r="F24" t="s">
        <v>11</v>
      </c>
      <c r="G24" t="s">
        <v>12</v>
      </c>
    </row>
    <row r="25" spans="1:7">
      <c r="A25">
        <v>2024</v>
      </c>
      <c r="B25" t="s">
        <v>7</v>
      </c>
      <c r="C25" t="s">
        <v>8</v>
      </c>
      <c r="D25" t="s">
        <v>17</v>
      </c>
      <c r="E25" t="s">
        <v>21</v>
      </c>
      <c r="F25" t="s">
        <v>11</v>
      </c>
      <c r="G25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C376-3AF0-4814-AA48-8341BB6EBF06}">
  <sheetPr>
    <pageSetUpPr fitToPage="1"/>
  </sheetPr>
  <dimension ref="A1:EC27"/>
  <sheetViews>
    <sheetView zoomScale="60" zoomScaleNormal="60" workbookViewId="0">
      <pane xSplit="4" ySplit="5" topLeftCell="E6" activePane="bottomRight" state="frozen"/>
      <selection pane="bottomRight" activeCell="D18" sqref="D18"/>
      <selection pane="bottomLeft" activeCell="A6" sqref="A6"/>
      <selection pane="topRight" activeCell="E1" sqref="E1"/>
    </sheetView>
  </sheetViews>
  <sheetFormatPr defaultColWidth="9.140625" defaultRowHeight="13.15"/>
  <cols>
    <col min="1" max="1" width="1.7109375" style="5" customWidth="1" collapsed="1"/>
    <col min="2" max="2" width="3" style="5" customWidth="1" collapsed="1"/>
    <col min="3" max="3" width="4" style="35" customWidth="1" collapsed="1"/>
    <col min="4" max="4" width="38.7109375" style="5" customWidth="1" collapsed="1"/>
    <col min="5" max="6" width="10.7109375" style="56" customWidth="1"/>
    <col min="7" max="10" width="10.7109375" style="55" customWidth="1"/>
    <col min="11" max="16" width="10.7109375" style="53" customWidth="1"/>
    <col min="17" max="26" width="10.7109375" style="54" customWidth="1"/>
    <col min="27" max="27" width="10.7109375" style="40" customWidth="1"/>
    <col min="28" max="29" width="10.7109375" style="54" customWidth="1"/>
    <col min="30" max="30" width="10.7109375" style="50" customWidth="1"/>
    <col min="31" max="32" width="10.7109375" style="54" customWidth="1"/>
    <col min="33" max="33" width="10.7109375" style="47" customWidth="1"/>
    <col min="34" max="35" width="10.7109375" style="54" customWidth="1"/>
    <col min="36" max="36" width="10.7109375" style="44" customWidth="1"/>
    <col min="37" max="38" width="10.7109375" style="54" customWidth="1"/>
    <col min="39" max="39" width="10.7109375" style="36" customWidth="1" collapsed="1"/>
    <col min="40" max="41" width="10.7109375" style="54" customWidth="1"/>
    <col min="42" max="42" width="10.7109375" style="36" customWidth="1"/>
    <col min="43" max="44" width="10.7109375" style="54" customWidth="1"/>
    <col min="45" max="45" width="10.7109375" style="36" customWidth="1" collapsed="1"/>
    <col min="46" max="47" width="10.7109375" style="54" customWidth="1"/>
    <col min="48" max="48" width="10.7109375" style="36" customWidth="1" collapsed="1"/>
    <col min="49" max="50" width="10.7109375" style="54" customWidth="1"/>
    <col min="51" max="51" width="10.7109375" style="36" customWidth="1" collapsed="1"/>
    <col min="52" max="52" width="10.7109375" style="51" customWidth="1"/>
    <col min="53" max="53" width="10.7109375" style="52" customWidth="1"/>
    <col min="54" max="54" width="10.7109375" style="36" customWidth="1" collapsed="1"/>
    <col min="55" max="55" width="10.7109375" style="49" customWidth="1"/>
    <col min="56" max="56" width="10.7109375" style="48" customWidth="1"/>
    <col min="57" max="57" width="10.7109375" style="36" customWidth="1" collapsed="1"/>
    <col min="58" max="58" width="10.7109375" style="46" customWidth="1"/>
    <col min="59" max="59" width="10.7109375" style="45" customWidth="1"/>
    <col min="60" max="60" width="10.7109375" style="36" customWidth="1" collapsed="1"/>
    <col min="61" max="61" width="10.7109375" style="43" customWidth="1"/>
    <col min="62" max="62" width="10.7109375" style="42" customWidth="1"/>
    <col min="63" max="63" width="10.7109375" style="36" customWidth="1" collapsed="1"/>
    <col min="64" max="64" width="10.7109375" style="41" customWidth="1"/>
    <col min="65" max="65" width="10.7109375" style="39" customWidth="1"/>
    <col min="66" max="69" width="10.7109375" style="36" customWidth="1" collapsed="1"/>
    <col min="70" max="70" width="3" style="36" customWidth="1" collapsed="1"/>
    <col min="71" max="78" width="9.140625" style="5" collapsed="1"/>
    <col min="79" max="133" width="9.140625" style="5"/>
    <col min="134" max="16384" width="9.140625" style="5" collapsed="1"/>
  </cols>
  <sheetData>
    <row r="1" spans="1:78" ht="11.25" customHeight="1" thickTop="1">
      <c r="A1" s="1"/>
      <c r="B1" s="2"/>
      <c r="C1" s="3"/>
      <c r="D1" s="2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4"/>
    </row>
    <row r="2" spans="1:78">
      <c r="A2" s="6"/>
      <c r="B2" s="7"/>
      <c r="C2" s="8"/>
      <c r="D2" s="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9"/>
    </row>
    <row r="3" spans="1:78" ht="16.149999999999999">
      <c r="A3" s="6"/>
      <c r="B3" s="82" t="s">
        <v>22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9"/>
    </row>
    <row r="4" spans="1:78">
      <c r="A4" s="6"/>
      <c r="B4" s="7"/>
      <c r="C4" s="8"/>
      <c r="D4" s="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9"/>
    </row>
    <row r="5" spans="1:78" ht="19.5" customHeight="1">
      <c r="A5" s="6"/>
      <c r="B5" s="10" t="s">
        <v>23</v>
      </c>
      <c r="C5" s="11"/>
      <c r="D5" s="12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13"/>
      <c r="BR5" s="9"/>
    </row>
    <row r="6" spans="1:78" ht="19.5" customHeight="1">
      <c r="A6" s="6"/>
      <c r="B6" s="86" t="s">
        <v>24</v>
      </c>
      <c r="C6" s="87"/>
      <c r="D6" s="87"/>
      <c r="E6" s="60">
        <v>12</v>
      </c>
      <c r="F6" s="60">
        <v>12</v>
      </c>
      <c r="G6" s="60">
        <v>12</v>
      </c>
      <c r="H6" s="60">
        <v>3</v>
      </c>
      <c r="I6" s="60">
        <v>6</v>
      </c>
      <c r="J6" s="60">
        <v>9</v>
      </c>
      <c r="K6" s="60">
        <v>12</v>
      </c>
      <c r="L6" s="60">
        <v>3</v>
      </c>
      <c r="M6" s="60">
        <v>6</v>
      </c>
      <c r="N6" s="60">
        <v>9</v>
      </c>
      <c r="O6" s="60">
        <v>11</v>
      </c>
      <c r="P6" s="60">
        <v>12</v>
      </c>
      <c r="Q6" s="60">
        <v>1</v>
      </c>
      <c r="R6" s="60">
        <v>3</v>
      </c>
      <c r="S6" s="60">
        <v>4</v>
      </c>
      <c r="T6" s="60">
        <v>5</v>
      </c>
      <c r="U6" s="60">
        <v>6</v>
      </c>
      <c r="V6" s="60">
        <v>7</v>
      </c>
      <c r="W6" s="60">
        <v>8</v>
      </c>
      <c r="X6" s="60">
        <v>9</v>
      </c>
      <c r="Y6" s="60">
        <v>10</v>
      </c>
      <c r="Z6" s="60">
        <v>11</v>
      </c>
      <c r="AA6" s="60">
        <v>12</v>
      </c>
      <c r="AB6" s="60">
        <v>1</v>
      </c>
      <c r="AC6" s="60">
        <v>2</v>
      </c>
      <c r="AD6" s="60">
        <v>3</v>
      </c>
      <c r="AE6" s="60">
        <v>4</v>
      </c>
      <c r="AF6" s="60">
        <v>5</v>
      </c>
      <c r="AG6" s="60">
        <v>6</v>
      </c>
      <c r="AH6" s="60">
        <v>7</v>
      </c>
      <c r="AI6" s="60">
        <v>8</v>
      </c>
      <c r="AJ6" s="60">
        <v>9</v>
      </c>
      <c r="AK6" s="60">
        <v>10</v>
      </c>
      <c r="AL6" s="60">
        <v>11</v>
      </c>
      <c r="AM6" s="60">
        <v>12</v>
      </c>
      <c r="AN6" s="60">
        <v>1</v>
      </c>
      <c r="AO6" s="60">
        <v>2</v>
      </c>
      <c r="AP6" s="60">
        <v>3</v>
      </c>
      <c r="AQ6" s="60">
        <v>4</v>
      </c>
      <c r="AR6" s="60">
        <v>5</v>
      </c>
      <c r="AS6" s="60">
        <v>6</v>
      </c>
      <c r="AT6" s="60">
        <v>7</v>
      </c>
      <c r="AU6" s="60">
        <v>8</v>
      </c>
      <c r="AV6" s="60">
        <v>9</v>
      </c>
      <c r="AW6" s="60">
        <v>10</v>
      </c>
      <c r="AX6" s="60">
        <v>11</v>
      </c>
      <c r="AY6" s="60">
        <v>12</v>
      </c>
      <c r="AZ6" s="60">
        <v>1</v>
      </c>
      <c r="BA6" s="60">
        <v>2</v>
      </c>
      <c r="BB6" s="60">
        <v>3</v>
      </c>
      <c r="BC6" s="60">
        <v>4</v>
      </c>
      <c r="BD6" s="60">
        <v>5</v>
      </c>
      <c r="BE6" s="60">
        <v>6</v>
      </c>
      <c r="BF6" s="60">
        <v>7</v>
      </c>
      <c r="BG6" s="60">
        <v>8</v>
      </c>
      <c r="BH6" s="60">
        <v>9</v>
      </c>
      <c r="BI6" s="60">
        <v>10</v>
      </c>
      <c r="BJ6" s="60">
        <v>11</v>
      </c>
      <c r="BK6" s="60">
        <v>12</v>
      </c>
      <c r="BL6" s="60">
        <v>1</v>
      </c>
      <c r="BM6" s="60">
        <v>2</v>
      </c>
      <c r="BN6" s="60">
        <v>3</v>
      </c>
      <c r="BO6" s="60">
        <v>4</v>
      </c>
      <c r="BP6" s="60">
        <v>5</v>
      </c>
      <c r="BQ6" s="13">
        <v>6</v>
      </c>
      <c r="BR6" s="9"/>
    </row>
    <row r="7" spans="1:78" ht="19.5" customHeight="1">
      <c r="A7" s="6"/>
      <c r="B7" s="86" t="s">
        <v>0</v>
      </c>
      <c r="C7" s="87"/>
      <c r="D7" s="87"/>
      <c r="E7" s="60">
        <v>2015</v>
      </c>
      <c r="F7" s="60">
        <v>2016</v>
      </c>
      <c r="G7" s="60">
        <v>2017</v>
      </c>
      <c r="H7" s="60">
        <v>2018</v>
      </c>
      <c r="I7" s="60">
        <v>2018</v>
      </c>
      <c r="J7" s="60">
        <v>2018</v>
      </c>
      <c r="K7" s="60">
        <v>2018</v>
      </c>
      <c r="L7" s="60">
        <v>2019</v>
      </c>
      <c r="M7" s="60">
        <v>2019</v>
      </c>
      <c r="N7" s="60">
        <v>2019</v>
      </c>
      <c r="O7" s="60">
        <v>2019</v>
      </c>
      <c r="P7" s="60">
        <v>2019</v>
      </c>
      <c r="Q7" s="60">
        <v>2020</v>
      </c>
      <c r="R7" s="60">
        <v>2020</v>
      </c>
      <c r="S7" s="60">
        <v>2020</v>
      </c>
      <c r="T7" s="60">
        <v>2020</v>
      </c>
      <c r="U7" s="60">
        <v>2020</v>
      </c>
      <c r="V7" s="60">
        <v>2020</v>
      </c>
      <c r="W7" s="60">
        <v>2020</v>
      </c>
      <c r="X7" s="60">
        <v>2020</v>
      </c>
      <c r="Y7" s="60">
        <v>2020</v>
      </c>
      <c r="Z7" s="60">
        <v>2020</v>
      </c>
      <c r="AA7" s="60">
        <v>2020</v>
      </c>
      <c r="AB7" s="60">
        <v>2021</v>
      </c>
      <c r="AC7" s="60">
        <v>2021</v>
      </c>
      <c r="AD7" s="60">
        <v>2021</v>
      </c>
      <c r="AE7" s="60">
        <v>2021</v>
      </c>
      <c r="AF7" s="60">
        <v>2021</v>
      </c>
      <c r="AG7" s="60">
        <v>2021</v>
      </c>
      <c r="AH7" s="60">
        <v>2021</v>
      </c>
      <c r="AI7" s="60">
        <v>2021</v>
      </c>
      <c r="AJ7" s="60">
        <v>2021</v>
      </c>
      <c r="AK7" s="60">
        <v>2021</v>
      </c>
      <c r="AL7" s="60">
        <v>2021</v>
      </c>
      <c r="AM7" s="60">
        <v>2021</v>
      </c>
      <c r="AN7" s="60">
        <v>2022</v>
      </c>
      <c r="AO7" s="60">
        <v>2022</v>
      </c>
      <c r="AP7" s="60">
        <v>2022</v>
      </c>
      <c r="AQ7" s="60">
        <v>2022</v>
      </c>
      <c r="AR7" s="60">
        <v>2022</v>
      </c>
      <c r="AS7" s="60">
        <v>2022</v>
      </c>
      <c r="AT7" s="60">
        <v>2022</v>
      </c>
      <c r="AU7" s="60">
        <v>2022</v>
      </c>
      <c r="AV7" s="60">
        <v>2022</v>
      </c>
      <c r="AW7" s="60">
        <v>2022</v>
      </c>
      <c r="AX7" s="60">
        <v>2022</v>
      </c>
      <c r="AY7" s="60">
        <v>2022</v>
      </c>
      <c r="AZ7" s="60">
        <v>2023</v>
      </c>
      <c r="BA7" s="60">
        <v>2023</v>
      </c>
      <c r="BB7" s="60">
        <v>2023</v>
      </c>
      <c r="BC7" s="60">
        <v>2023</v>
      </c>
      <c r="BD7" s="60">
        <v>2023</v>
      </c>
      <c r="BE7" s="60">
        <v>2023</v>
      </c>
      <c r="BF7" s="60">
        <v>2023</v>
      </c>
      <c r="BG7" s="60">
        <v>2023</v>
      </c>
      <c r="BH7" s="60">
        <v>2023</v>
      </c>
      <c r="BI7" s="60">
        <v>2023</v>
      </c>
      <c r="BJ7" s="60">
        <v>2023</v>
      </c>
      <c r="BK7" s="60">
        <v>2023</v>
      </c>
      <c r="BL7" s="60">
        <v>2024</v>
      </c>
      <c r="BM7" s="60">
        <v>2024</v>
      </c>
      <c r="BN7" s="60">
        <v>2024</v>
      </c>
      <c r="BO7" s="60">
        <v>2024</v>
      </c>
      <c r="BP7" s="60">
        <v>2024</v>
      </c>
      <c r="BQ7" s="60">
        <v>2024</v>
      </c>
      <c r="BR7" s="9"/>
    </row>
    <row r="8" spans="1:78" ht="20.25" customHeight="1">
      <c r="A8" s="6"/>
      <c r="B8" s="14" t="s">
        <v>25</v>
      </c>
      <c r="C8" s="15"/>
      <c r="D8" s="16"/>
      <c r="E8" s="70" t="s">
        <v>26</v>
      </c>
      <c r="F8" s="70" t="s">
        <v>27</v>
      </c>
      <c r="G8" s="70" t="s">
        <v>28</v>
      </c>
      <c r="H8" s="70" t="s">
        <v>29</v>
      </c>
      <c r="I8" s="70" t="s">
        <v>30</v>
      </c>
      <c r="J8" s="70" t="s">
        <v>31</v>
      </c>
      <c r="K8" s="70" t="s">
        <v>32</v>
      </c>
      <c r="L8" s="72">
        <v>43525</v>
      </c>
      <c r="M8" s="70" t="s">
        <v>33</v>
      </c>
      <c r="N8" s="70" t="s">
        <v>34</v>
      </c>
      <c r="O8" s="70" t="s">
        <v>35</v>
      </c>
      <c r="P8" s="70" t="s">
        <v>36</v>
      </c>
      <c r="Q8" s="70" t="s">
        <v>37</v>
      </c>
      <c r="R8" s="70" t="s">
        <v>38</v>
      </c>
      <c r="S8" s="70" t="s">
        <v>39</v>
      </c>
      <c r="T8" s="70" t="s">
        <v>40</v>
      </c>
      <c r="U8" s="70" t="s">
        <v>41</v>
      </c>
      <c r="V8" s="70" t="s">
        <v>42</v>
      </c>
      <c r="W8" s="70" t="s">
        <v>43</v>
      </c>
      <c r="X8" s="70" t="s">
        <v>44</v>
      </c>
      <c r="Y8" s="70" t="s">
        <v>45</v>
      </c>
      <c r="Z8" s="70" t="s">
        <v>46</v>
      </c>
      <c r="AA8" s="65" t="s">
        <v>47</v>
      </c>
      <c r="AB8" s="70" t="s">
        <v>48</v>
      </c>
      <c r="AC8" s="70" t="s">
        <v>49</v>
      </c>
      <c r="AD8" s="70" t="s">
        <v>50</v>
      </c>
      <c r="AE8" s="70" t="s">
        <v>51</v>
      </c>
      <c r="AF8" s="70" t="s">
        <v>52</v>
      </c>
      <c r="AG8" s="70" t="s">
        <v>53</v>
      </c>
      <c r="AH8" s="70" t="s">
        <v>54</v>
      </c>
      <c r="AI8" s="70" t="s">
        <v>55</v>
      </c>
      <c r="AJ8" s="70" t="s">
        <v>56</v>
      </c>
      <c r="AK8" s="70" t="s">
        <v>57</v>
      </c>
      <c r="AL8" s="70" t="s">
        <v>58</v>
      </c>
      <c r="AM8" s="70" t="s">
        <v>59</v>
      </c>
      <c r="AN8" s="70" t="s">
        <v>60</v>
      </c>
      <c r="AO8" s="70" t="s">
        <v>61</v>
      </c>
      <c r="AP8" s="70" t="s">
        <v>62</v>
      </c>
      <c r="AQ8" s="70" t="s">
        <v>63</v>
      </c>
      <c r="AR8" s="70" t="s">
        <v>64</v>
      </c>
      <c r="AS8" s="70" t="s">
        <v>65</v>
      </c>
      <c r="AT8" s="70" t="s">
        <v>66</v>
      </c>
      <c r="AU8" s="70" t="s">
        <v>67</v>
      </c>
      <c r="AV8" s="70" t="s">
        <v>68</v>
      </c>
      <c r="AW8" s="70" t="s">
        <v>69</v>
      </c>
      <c r="AX8" s="70" t="s">
        <v>70</v>
      </c>
      <c r="AY8" s="70" t="s">
        <v>71</v>
      </c>
      <c r="AZ8" s="70" t="s">
        <v>72</v>
      </c>
      <c r="BA8" s="70" t="s">
        <v>73</v>
      </c>
      <c r="BB8" s="70" t="s">
        <v>74</v>
      </c>
      <c r="BC8" s="70" t="s">
        <v>75</v>
      </c>
      <c r="BD8" s="70" t="s">
        <v>76</v>
      </c>
      <c r="BE8" s="70" t="s">
        <v>77</v>
      </c>
      <c r="BF8" s="70" t="s">
        <v>78</v>
      </c>
      <c r="BG8" s="70" t="s">
        <v>79</v>
      </c>
      <c r="BH8" s="70" t="s">
        <v>80</v>
      </c>
      <c r="BI8" s="70" t="s">
        <v>81</v>
      </c>
      <c r="BJ8" s="70" t="s">
        <v>82</v>
      </c>
      <c r="BK8" s="70" t="s">
        <v>83</v>
      </c>
      <c r="BL8" s="70" t="s">
        <v>84</v>
      </c>
      <c r="BM8" s="70" t="s">
        <v>85</v>
      </c>
      <c r="BN8" s="70" t="s">
        <v>86</v>
      </c>
      <c r="BO8" s="70" t="s">
        <v>87</v>
      </c>
      <c r="BP8" s="70" t="s">
        <v>88</v>
      </c>
      <c r="BQ8" s="70" t="s">
        <v>89</v>
      </c>
      <c r="BR8" s="9"/>
      <c r="BS8" s="7"/>
      <c r="BT8" s="7"/>
      <c r="BU8" s="7"/>
      <c r="BV8" s="7"/>
      <c r="BW8" s="7"/>
      <c r="BX8" s="7"/>
      <c r="BY8" s="7"/>
      <c r="BZ8" s="7"/>
    </row>
    <row r="9" spans="1:78" ht="25.5" customHeight="1">
      <c r="A9" s="6"/>
      <c r="B9" s="83" t="s">
        <v>90</v>
      </c>
      <c r="C9" s="17" t="s">
        <v>91</v>
      </c>
      <c r="D9" s="18"/>
      <c r="E9" s="62">
        <v>1300126</v>
      </c>
      <c r="F9" s="62">
        <v>1363899</v>
      </c>
      <c r="G9" s="62">
        <v>1435600</v>
      </c>
      <c r="H9" s="62">
        <v>1472992</v>
      </c>
      <c r="I9" s="62">
        <v>1494193</v>
      </c>
      <c r="J9" s="62">
        <v>1522861</v>
      </c>
      <c r="K9" s="62">
        <v>1542237</v>
      </c>
      <c r="L9" s="62">
        <v>1539879</v>
      </c>
      <c r="M9" s="62">
        <v>1577608</v>
      </c>
      <c r="N9" s="62">
        <v>1612162</v>
      </c>
      <c r="O9" s="62">
        <v>1615217</v>
      </c>
      <c r="P9" s="62">
        <v>1648812</v>
      </c>
      <c r="Q9" s="62">
        <v>1615938</v>
      </c>
      <c r="R9" s="62">
        <v>1635166</v>
      </c>
      <c r="S9" s="62">
        <v>1661768</v>
      </c>
      <c r="T9" s="62">
        <v>1662534</v>
      </c>
      <c r="U9" s="62">
        <v>1665764</v>
      </c>
      <c r="V9" s="62">
        <v>1690300</v>
      </c>
      <c r="W9" s="62">
        <v>1708931</v>
      </c>
      <c r="X9" s="62">
        <v>1715805</v>
      </c>
      <c r="Y9" s="38">
        <v>1713598</v>
      </c>
      <c r="Z9" s="62">
        <v>1679669</v>
      </c>
      <c r="AA9" s="64">
        <v>1682102</v>
      </c>
      <c r="AB9" s="62">
        <v>1678010</v>
      </c>
      <c r="AC9" s="62">
        <v>1677106</v>
      </c>
      <c r="AD9" s="62">
        <v>1677754</v>
      </c>
      <c r="AE9" s="62">
        <v>1666107</v>
      </c>
      <c r="AF9" s="62">
        <v>1660155</v>
      </c>
      <c r="AG9" s="62">
        <v>1682944</v>
      </c>
      <c r="AH9" s="62">
        <v>1684120</v>
      </c>
      <c r="AI9" s="62">
        <v>1694190</v>
      </c>
      <c r="AJ9" s="62">
        <v>1699170</v>
      </c>
      <c r="AK9" s="62">
        <v>1728290</v>
      </c>
      <c r="AL9" s="62">
        <v>1737238</v>
      </c>
      <c r="AM9" s="62">
        <v>1765533</v>
      </c>
      <c r="AN9" s="62">
        <v>1761904</v>
      </c>
      <c r="AO9" s="62">
        <v>1770864</v>
      </c>
      <c r="AP9" s="62">
        <v>1791435</v>
      </c>
      <c r="AQ9" s="62">
        <v>1761816</v>
      </c>
      <c r="AR9" s="62">
        <v>1797031</v>
      </c>
      <c r="AS9" s="62">
        <v>1843449</v>
      </c>
      <c r="AT9" s="62">
        <v>1876621</v>
      </c>
      <c r="AU9" s="62">
        <v>1928360</v>
      </c>
      <c r="AV9" s="62">
        <v>1958348</v>
      </c>
      <c r="AW9" s="62">
        <v>1966397</v>
      </c>
      <c r="AX9" s="62">
        <v>2015760</v>
      </c>
      <c r="AY9" s="62">
        <v>2009696</v>
      </c>
      <c r="AZ9" s="62">
        <v>2029531</v>
      </c>
      <c r="BA9" s="62">
        <v>2024379</v>
      </c>
      <c r="BB9" s="62">
        <v>2092554</v>
      </c>
      <c r="BC9" s="62">
        <v>2135494</v>
      </c>
      <c r="BD9" s="62">
        <v>2166482</v>
      </c>
      <c r="BE9" s="62">
        <v>2170851</v>
      </c>
      <c r="BF9" s="62">
        <v>2190015</v>
      </c>
      <c r="BG9" s="62">
        <v>2191954</v>
      </c>
      <c r="BH9" s="62">
        <v>2230771</v>
      </c>
      <c r="BI9" s="62">
        <v>2251216</v>
      </c>
      <c r="BJ9" s="62">
        <v>2259333</v>
      </c>
      <c r="BK9" s="62">
        <v>2319855</v>
      </c>
      <c r="BL9" s="62">
        <v>2341988</v>
      </c>
      <c r="BM9" s="62">
        <v>2400404</v>
      </c>
      <c r="BN9" s="62">
        <v>2436348</v>
      </c>
      <c r="BO9" s="62">
        <v>2503004</v>
      </c>
      <c r="BP9" s="62">
        <v>2473639</v>
      </c>
      <c r="BQ9" s="62">
        <v>2470748.3000000003</v>
      </c>
      <c r="BR9" s="19"/>
    </row>
    <row r="10" spans="1:78" ht="36.75" customHeight="1">
      <c r="A10" s="6"/>
      <c r="B10" s="84"/>
      <c r="C10" s="20">
        <v>1.1000000000000001</v>
      </c>
      <c r="D10" s="21" t="s">
        <v>92</v>
      </c>
      <c r="E10" s="61">
        <v>563100</v>
      </c>
      <c r="F10" s="61">
        <v>592181</v>
      </c>
      <c r="G10" s="61">
        <v>604435</v>
      </c>
      <c r="H10" s="61">
        <v>600333</v>
      </c>
      <c r="I10" s="61">
        <v>613799</v>
      </c>
      <c r="J10" s="61">
        <v>592195</v>
      </c>
      <c r="K10" s="61">
        <v>590877</v>
      </c>
      <c r="L10" s="61">
        <v>594280</v>
      </c>
      <c r="M10" s="61">
        <v>589875</v>
      </c>
      <c r="N10" s="61">
        <v>586660</v>
      </c>
      <c r="O10" s="61">
        <v>592308</v>
      </c>
      <c r="P10" s="61">
        <v>607023</v>
      </c>
      <c r="Q10" s="61">
        <v>631853</v>
      </c>
      <c r="R10" s="61">
        <v>621853</v>
      </c>
      <c r="S10" s="61">
        <v>618278</v>
      </c>
      <c r="T10" s="61">
        <v>617047</v>
      </c>
      <c r="U10" s="61">
        <v>615665</v>
      </c>
      <c r="V10" s="61">
        <v>612847</v>
      </c>
      <c r="W10" s="61">
        <v>627700</v>
      </c>
      <c r="X10" s="61">
        <v>613759</v>
      </c>
      <c r="Y10" s="37">
        <v>606944</v>
      </c>
      <c r="Z10" s="61">
        <v>592637</v>
      </c>
      <c r="AA10" s="63">
        <v>606207</v>
      </c>
      <c r="AB10" s="61">
        <v>612802</v>
      </c>
      <c r="AC10" s="61">
        <v>614896</v>
      </c>
      <c r="AD10" s="61">
        <v>611256</v>
      </c>
      <c r="AE10" s="61">
        <v>616341</v>
      </c>
      <c r="AF10" s="61">
        <v>613585</v>
      </c>
      <c r="AG10" s="61">
        <v>623640</v>
      </c>
      <c r="AH10" s="61">
        <v>623339</v>
      </c>
      <c r="AI10" s="61">
        <v>633521</v>
      </c>
      <c r="AJ10" s="61">
        <v>638529</v>
      </c>
      <c r="AK10" s="61">
        <v>647904</v>
      </c>
      <c r="AL10" s="61">
        <v>646695</v>
      </c>
      <c r="AM10" s="61">
        <v>671422</v>
      </c>
      <c r="AN10" s="61">
        <v>673711</v>
      </c>
      <c r="AO10" s="61">
        <v>678487</v>
      </c>
      <c r="AP10" s="61">
        <v>697966</v>
      </c>
      <c r="AQ10" s="61">
        <v>690470</v>
      </c>
      <c r="AR10" s="61">
        <v>698910</v>
      </c>
      <c r="AS10" s="61">
        <v>735980</v>
      </c>
      <c r="AT10" s="61">
        <v>723989</v>
      </c>
      <c r="AU10" s="61">
        <v>741377</v>
      </c>
      <c r="AV10" s="61">
        <v>738143</v>
      </c>
      <c r="AW10" s="61">
        <v>749928</v>
      </c>
      <c r="AX10" s="61">
        <v>763149</v>
      </c>
      <c r="AY10" s="61">
        <v>790086</v>
      </c>
      <c r="AZ10" s="61">
        <v>806586</v>
      </c>
      <c r="BA10" s="61">
        <v>791038</v>
      </c>
      <c r="BB10" s="61">
        <v>821786</v>
      </c>
      <c r="BC10" s="61">
        <v>834669</v>
      </c>
      <c r="BD10" s="61">
        <v>847771</v>
      </c>
      <c r="BE10" s="61">
        <v>863558</v>
      </c>
      <c r="BF10" s="61">
        <v>871646</v>
      </c>
      <c r="BG10" s="61">
        <v>879443</v>
      </c>
      <c r="BH10" s="61">
        <v>896382</v>
      </c>
      <c r="BI10" s="61">
        <v>903971</v>
      </c>
      <c r="BJ10" s="61">
        <v>923510</v>
      </c>
      <c r="BK10" s="61">
        <v>976967</v>
      </c>
      <c r="BL10" s="61">
        <v>984756</v>
      </c>
      <c r="BM10" s="61">
        <v>1000767</v>
      </c>
      <c r="BN10" s="61">
        <v>1020461</v>
      </c>
      <c r="BO10" s="61">
        <v>1036526</v>
      </c>
      <c r="BP10" s="61">
        <v>1043436</v>
      </c>
      <c r="BQ10" s="61">
        <v>1046617.3</v>
      </c>
      <c r="BR10" s="19"/>
    </row>
    <row r="11" spans="1:78" ht="36.75" customHeight="1">
      <c r="A11" s="6"/>
      <c r="B11" s="84"/>
      <c r="C11" s="20">
        <v>1.2</v>
      </c>
      <c r="D11" s="21" t="s">
        <v>93</v>
      </c>
      <c r="E11" s="61">
        <v>360741</v>
      </c>
      <c r="F11" s="61">
        <v>388271</v>
      </c>
      <c r="G11" s="61">
        <v>396550</v>
      </c>
      <c r="H11" s="61">
        <v>407410</v>
      </c>
      <c r="I11" s="61">
        <v>406631</v>
      </c>
      <c r="J11" s="61">
        <v>417930</v>
      </c>
      <c r="K11" s="61">
        <v>418408</v>
      </c>
      <c r="L11" s="61">
        <v>436683</v>
      </c>
      <c r="M11" s="61">
        <v>439815</v>
      </c>
      <c r="N11" s="61">
        <v>447510</v>
      </c>
      <c r="O11" s="61">
        <v>449418</v>
      </c>
      <c r="P11" s="61">
        <v>450866</v>
      </c>
      <c r="Q11" s="61">
        <v>450084</v>
      </c>
      <c r="R11" s="61">
        <v>454381</v>
      </c>
      <c r="S11" s="61">
        <v>465609</v>
      </c>
      <c r="T11" s="61">
        <v>470704</v>
      </c>
      <c r="U11" s="61">
        <v>476108</v>
      </c>
      <c r="V11" s="61">
        <v>478644</v>
      </c>
      <c r="W11" s="61">
        <v>478616</v>
      </c>
      <c r="X11" s="61">
        <v>480907</v>
      </c>
      <c r="Y11" s="37">
        <v>482321</v>
      </c>
      <c r="Z11" s="61">
        <v>485528</v>
      </c>
      <c r="AA11" s="63">
        <v>493901</v>
      </c>
      <c r="AB11" s="61">
        <v>496582</v>
      </c>
      <c r="AC11" s="61">
        <v>502138</v>
      </c>
      <c r="AD11" s="61">
        <v>505599</v>
      </c>
      <c r="AE11" s="61">
        <v>507970</v>
      </c>
      <c r="AF11" s="61">
        <v>509027</v>
      </c>
      <c r="AG11" s="61">
        <v>509865</v>
      </c>
      <c r="AH11" s="61">
        <v>507801</v>
      </c>
      <c r="AI11" s="61">
        <v>504903</v>
      </c>
      <c r="AJ11" s="61">
        <v>507643</v>
      </c>
      <c r="AK11" s="61">
        <v>505000</v>
      </c>
      <c r="AL11" s="61">
        <v>517055</v>
      </c>
      <c r="AM11" s="61">
        <v>519917</v>
      </c>
      <c r="AN11" s="61">
        <v>517223</v>
      </c>
      <c r="AO11" s="61">
        <v>528556</v>
      </c>
      <c r="AP11" s="61">
        <v>521801</v>
      </c>
      <c r="AQ11" s="61">
        <v>527388</v>
      </c>
      <c r="AR11" s="61">
        <v>519314</v>
      </c>
      <c r="AS11" s="61">
        <v>529383</v>
      </c>
      <c r="AT11" s="61">
        <v>532692</v>
      </c>
      <c r="AU11" s="61">
        <v>533847</v>
      </c>
      <c r="AV11" s="61">
        <v>536581</v>
      </c>
      <c r="AW11" s="61">
        <v>540706</v>
      </c>
      <c r="AX11" s="61">
        <v>553187</v>
      </c>
      <c r="AY11" s="61">
        <v>559456</v>
      </c>
      <c r="AZ11" s="61">
        <v>587549</v>
      </c>
      <c r="BA11" s="61">
        <v>574749</v>
      </c>
      <c r="BB11" s="61">
        <v>600694</v>
      </c>
      <c r="BC11" s="61">
        <v>607728</v>
      </c>
      <c r="BD11" s="61">
        <v>627908</v>
      </c>
      <c r="BE11" s="61">
        <v>617997</v>
      </c>
      <c r="BF11" s="61">
        <v>622804</v>
      </c>
      <c r="BG11" s="61">
        <v>625236</v>
      </c>
      <c r="BH11" s="61">
        <v>628424</v>
      </c>
      <c r="BI11" s="61">
        <v>631121</v>
      </c>
      <c r="BJ11" s="61">
        <v>640617</v>
      </c>
      <c r="BK11" s="61">
        <v>653122</v>
      </c>
      <c r="BL11" s="61">
        <v>661471</v>
      </c>
      <c r="BM11" s="61">
        <v>678251</v>
      </c>
      <c r="BN11" s="61">
        <v>692674</v>
      </c>
      <c r="BO11" s="61">
        <v>700340</v>
      </c>
      <c r="BP11" s="61">
        <v>714307</v>
      </c>
      <c r="BQ11" s="61">
        <v>718392.8</v>
      </c>
      <c r="BR11" s="19"/>
    </row>
    <row r="12" spans="1:78" ht="36.75" customHeight="1">
      <c r="A12" s="6"/>
      <c r="B12" s="84"/>
      <c r="C12" s="20">
        <v>1.3</v>
      </c>
      <c r="D12" s="21" t="s">
        <v>94</v>
      </c>
      <c r="E12" s="61">
        <v>157438</v>
      </c>
      <c r="F12" s="61">
        <v>186847</v>
      </c>
      <c r="G12" s="61">
        <v>211977</v>
      </c>
      <c r="H12" s="61">
        <v>233226</v>
      </c>
      <c r="I12" s="61">
        <v>250615</v>
      </c>
      <c r="J12" s="61">
        <v>285912</v>
      </c>
      <c r="K12" s="61">
        <v>290321</v>
      </c>
      <c r="L12" s="61">
        <v>273033</v>
      </c>
      <c r="M12" s="61">
        <v>291432</v>
      </c>
      <c r="N12" s="61">
        <v>316634</v>
      </c>
      <c r="O12" s="61">
        <v>299918</v>
      </c>
      <c r="P12" s="61">
        <v>301309</v>
      </c>
      <c r="Q12" s="61">
        <v>258494</v>
      </c>
      <c r="R12" s="61">
        <v>255127</v>
      </c>
      <c r="S12" s="61">
        <v>276828</v>
      </c>
      <c r="T12" s="61">
        <v>291981</v>
      </c>
      <c r="U12" s="61">
        <v>289028</v>
      </c>
      <c r="V12" s="61">
        <v>282953</v>
      </c>
      <c r="W12" s="61">
        <v>280457</v>
      </c>
      <c r="X12" s="61">
        <v>333554</v>
      </c>
      <c r="Y12" s="37">
        <v>316010</v>
      </c>
      <c r="Z12" s="61">
        <v>315512</v>
      </c>
      <c r="AA12" s="63">
        <v>287270</v>
      </c>
      <c r="AB12" s="61">
        <v>274260</v>
      </c>
      <c r="AC12" s="61">
        <v>266958</v>
      </c>
      <c r="AD12" s="61">
        <v>277317</v>
      </c>
      <c r="AE12" s="61">
        <v>291345</v>
      </c>
      <c r="AF12" s="61">
        <v>287899</v>
      </c>
      <c r="AG12" s="61">
        <v>281634</v>
      </c>
      <c r="AH12" s="61">
        <v>291525</v>
      </c>
      <c r="AI12" s="61">
        <v>288691</v>
      </c>
      <c r="AJ12" s="61">
        <v>297042</v>
      </c>
      <c r="AK12" s="61">
        <v>313184</v>
      </c>
      <c r="AL12" s="61">
        <v>308612</v>
      </c>
      <c r="AM12" s="61">
        <v>288156</v>
      </c>
      <c r="AN12" s="61">
        <v>286854</v>
      </c>
      <c r="AO12" s="61">
        <v>291940</v>
      </c>
      <c r="AP12" s="61">
        <v>291390</v>
      </c>
      <c r="AQ12" s="61">
        <v>290951</v>
      </c>
      <c r="AR12" s="61">
        <v>321901</v>
      </c>
      <c r="AS12" s="61">
        <v>317257</v>
      </c>
      <c r="AT12" s="61">
        <v>362133</v>
      </c>
      <c r="AU12" s="61">
        <v>387737</v>
      </c>
      <c r="AV12" s="61">
        <v>401836</v>
      </c>
      <c r="AW12" s="61">
        <v>428670</v>
      </c>
      <c r="AX12" s="61">
        <v>431192</v>
      </c>
      <c r="AY12" s="61">
        <v>396771</v>
      </c>
      <c r="AZ12" s="61">
        <v>379943</v>
      </c>
      <c r="BA12" s="61">
        <v>403571</v>
      </c>
      <c r="BB12" s="61">
        <v>406365</v>
      </c>
      <c r="BC12" s="61">
        <v>417468</v>
      </c>
      <c r="BD12" s="61">
        <v>415352</v>
      </c>
      <c r="BE12" s="61">
        <v>425662</v>
      </c>
      <c r="BF12" s="61">
        <v>437278</v>
      </c>
      <c r="BG12" s="61">
        <v>432364</v>
      </c>
      <c r="BH12" s="61">
        <v>423354</v>
      </c>
      <c r="BI12" s="61">
        <v>432983</v>
      </c>
      <c r="BJ12" s="61">
        <v>430919</v>
      </c>
      <c r="BK12" s="61">
        <v>401670</v>
      </c>
      <c r="BL12" s="61">
        <v>420638</v>
      </c>
      <c r="BM12" s="61">
        <v>406249</v>
      </c>
      <c r="BN12" s="61">
        <v>419849</v>
      </c>
      <c r="BO12" s="61">
        <v>474295</v>
      </c>
      <c r="BP12" s="61">
        <v>432926</v>
      </c>
      <c r="BQ12" s="61">
        <v>419907.2</v>
      </c>
      <c r="BR12" s="19"/>
    </row>
    <row r="13" spans="1:78" ht="36.75" customHeight="1">
      <c r="A13" s="6"/>
      <c r="B13" s="84"/>
      <c r="C13" s="20">
        <v>1.4</v>
      </c>
      <c r="D13" s="21" t="s">
        <v>95</v>
      </c>
      <c r="E13" s="61">
        <v>190755</v>
      </c>
      <c r="F13" s="61">
        <v>168365</v>
      </c>
      <c r="G13" s="61">
        <v>191530</v>
      </c>
      <c r="H13" s="61">
        <v>201342</v>
      </c>
      <c r="I13" s="61">
        <v>191767</v>
      </c>
      <c r="J13" s="61">
        <v>192709</v>
      </c>
      <c r="K13" s="61">
        <v>207145</v>
      </c>
      <c r="L13" s="61">
        <v>194661</v>
      </c>
      <c r="M13" s="61">
        <v>217384</v>
      </c>
      <c r="N13" s="61">
        <v>217958</v>
      </c>
      <c r="O13" s="61">
        <v>231397</v>
      </c>
      <c r="P13" s="61">
        <v>245329</v>
      </c>
      <c r="Q13" s="61">
        <v>232102</v>
      </c>
      <c r="R13" s="61">
        <v>260083</v>
      </c>
      <c r="S13" s="61">
        <v>257593</v>
      </c>
      <c r="T13" s="61">
        <v>237912</v>
      </c>
      <c r="U13" s="61">
        <v>240503</v>
      </c>
      <c r="V13" s="61">
        <v>273812</v>
      </c>
      <c r="W13" s="61">
        <v>279089</v>
      </c>
      <c r="X13" s="61">
        <v>245460</v>
      </c>
      <c r="Y13" s="37">
        <v>266748</v>
      </c>
      <c r="Z13" s="61">
        <v>245091</v>
      </c>
      <c r="AA13" s="63">
        <v>254805</v>
      </c>
      <c r="AB13" s="61">
        <v>254097</v>
      </c>
      <c r="AC13" s="61">
        <v>255452</v>
      </c>
      <c r="AD13" s="61">
        <v>246151</v>
      </c>
      <c r="AE13" s="61">
        <v>215452</v>
      </c>
      <c r="AF13" s="61">
        <v>215260</v>
      </c>
      <c r="AG13" s="61">
        <v>227171</v>
      </c>
      <c r="AH13" s="61">
        <v>222687</v>
      </c>
      <c r="AI13" s="61">
        <v>233002</v>
      </c>
      <c r="AJ13" s="61">
        <v>220212</v>
      </c>
      <c r="AK13" s="61">
        <v>226885</v>
      </c>
      <c r="AL13" s="61">
        <v>228629</v>
      </c>
      <c r="AM13" s="61">
        <v>247908</v>
      </c>
      <c r="AN13" s="61">
        <v>245785</v>
      </c>
      <c r="AO13" s="61">
        <v>230145</v>
      </c>
      <c r="AP13" s="61">
        <v>239336</v>
      </c>
      <c r="AQ13" s="61">
        <v>205095</v>
      </c>
      <c r="AR13" s="61">
        <v>217623</v>
      </c>
      <c r="AS13" s="61">
        <v>212593</v>
      </c>
      <c r="AT13" s="61">
        <v>221100</v>
      </c>
      <c r="AU13" s="61">
        <v>228423</v>
      </c>
      <c r="AV13" s="61">
        <v>232294</v>
      </c>
      <c r="AW13" s="61">
        <v>209488</v>
      </c>
      <c r="AX13" s="61">
        <v>230127</v>
      </c>
      <c r="AY13" s="61">
        <v>216854</v>
      </c>
      <c r="AZ13" s="61">
        <v>213346</v>
      </c>
      <c r="BA13" s="61">
        <v>208952</v>
      </c>
      <c r="BB13" s="61">
        <v>214291</v>
      </c>
      <c r="BC13" s="61">
        <v>234309</v>
      </c>
      <c r="BD13" s="61">
        <v>233387</v>
      </c>
      <c r="BE13" s="61">
        <v>213977</v>
      </c>
      <c r="BF13" s="61">
        <v>216550</v>
      </c>
      <c r="BG13" s="61">
        <v>212160</v>
      </c>
      <c r="BH13" s="61">
        <v>231162</v>
      </c>
      <c r="BI13" s="61">
        <v>239091</v>
      </c>
      <c r="BJ13" s="61">
        <v>220148</v>
      </c>
      <c r="BK13" s="61">
        <v>224165</v>
      </c>
      <c r="BL13" s="61">
        <v>227163</v>
      </c>
      <c r="BM13" s="61">
        <v>269007</v>
      </c>
      <c r="BN13" s="61">
        <v>249042</v>
      </c>
      <c r="BO13" s="61">
        <v>247780</v>
      </c>
      <c r="BP13" s="61">
        <v>237709</v>
      </c>
      <c r="BQ13" s="61">
        <v>237487.4</v>
      </c>
      <c r="BR13" s="19"/>
    </row>
    <row r="14" spans="1:78" ht="36.75" customHeight="1">
      <c r="A14" s="6"/>
      <c r="B14" s="85"/>
      <c r="C14" s="20">
        <v>1.5</v>
      </c>
      <c r="D14" s="21" t="s">
        <v>96</v>
      </c>
      <c r="E14" s="61">
        <v>28092</v>
      </c>
      <c r="F14" s="61">
        <v>28235</v>
      </c>
      <c r="G14" s="61">
        <v>31108</v>
      </c>
      <c r="H14" s="61">
        <v>30681</v>
      </c>
      <c r="I14" s="61">
        <v>31381</v>
      </c>
      <c r="J14" s="61">
        <v>34115</v>
      </c>
      <c r="K14" s="61">
        <v>35486</v>
      </c>
      <c r="L14" s="61">
        <v>41222</v>
      </c>
      <c r="M14" s="61">
        <v>39102</v>
      </c>
      <c r="N14" s="61">
        <v>43400</v>
      </c>
      <c r="O14" s="61">
        <v>42176</v>
      </c>
      <c r="P14" s="61">
        <v>44285</v>
      </c>
      <c r="Q14" s="61">
        <v>43405</v>
      </c>
      <c r="R14" s="61">
        <v>43722</v>
      </c>
      <c r="S14" s="61">
        <v>43460</v>
      </c>
      <c r="T14" s="61">
        <v>44890</v>
      </c>
      <c r="U14" s="61">
        <v>44460</v>
      </c>
      <c r="V14" s="61">
        <v>42044</v>
      </c>
      <c r="W14" s="61">
        <v>43069</v>
      </c>
      <c r="X14" s="61">
        <v>42125</v>
      </c>
      <c r="Y14" s="37">
        <v>41575</v>
      </c>
      <c r="Z14" s="61">
        <v>40901</v>
      </c>
      <c r="AA14" s="63">
        <v>39919</v>
      </c>
      <c r="AB14" s="61">
        <v>40269</v>
      </c>
      <c r="AC14" s="61">
        <v>37662</v>
      </c>
      <c r="AD14" s="61">
        <v>37431</v>
      </c>
      <c r="AE14" s="61">
        <v>34999</v>
      </c>
      <c r="AF14" s="61">
        <v>34384</v>
      </c>
      <c r="AG14" s="61">
        <v>40634</v>
      </c>
      <c r="AH14" s="61">
        <v>38768</v>
      </c>
      <c r="AI14" s="61">
        <v>34073</v>
      </c>
      <c r="AJ14" s="61">
        <v>35744</v>
      </c>
      <c r="AK14" s="61">
        <v>35317</v>
      </c>
      <c r="AL14" s="61">
        <v>36247</v>
      </c>
      <c r="AM14" s="61">
        <v>38130</v>
      </c>
      <c r="AN14" s="61">
        <v>38331</v>
      </c>
      <c r="AO14" s="61">
        <v>41736</v>
      </c>
      <c r="AP14" s="61">
        <v>40942</v>
      </c>
      <c r="AQ14" s="61">
        <v>47912</v>
      </c>
      <c r="AR14" s="61">
        <v>39283</v>
      </c>
      <c r="AS14" s="61">
        <v>48236</v>
      </c>
      <c r="AT14" s="61">
        <v>36707</v>
      </c>
      <c r="AU14" s="61">
        <v>36976</v>
      </c>
      <c r="AV14" s="61">
        <v>49494</v>
      </c>
      <c r="AW14" s="61">
        <v>37605</v>
      </c>
      <c r="AX14" s="61">
        <v>38105</v>
      </c>
      <c r="AY14" s="61">
        <v>46529</v>
      </c>
      <c r="AZ14" s="61">
        <v>42107</v>
      </c>
      <c r="BA14" s="61">
        <v>46069</v>
      </c>
      <c r="BB14" s="61">
        <v>49418</v>
      </c>
      <c r="BC14" s="61">
        <v>41320</v>
      </c>
      <c r="BD14" s="61">
        <v>42064</v>
      </c>
      <c r="BE14" s="61">
        <v>49657</v>
      </c>
      <c r="BF14" s="61">
        <v>41737</v>
      </c>
      <c r="BG14" s="61">
        <v>42751</v>
      </c>
      <c r="BH14" s="61">
        <v>51449</v>
      </c>
      <c r="BI14" s="61">
        <v>44050</v>
      </c>
      <c r="BJ14" s="61">
        <v>44139</v>
      </c>
      <c r="BK14" s="61">
        <v>63931</v>
      </c>
      <c r="BL14" s="61">
        <v>47960</v>
      </c>
      <c r="BM14" s="61">
        <v>46130</v>
      </c>
      <c r="BN14" s="61">
        <v>54322</v>
      </c>
      <c r="BO14" s="61">
        <v>44063</v>
      </c>
      <c r="BP14" s="61">
        <v>45261</v>
      </c>
      <c r="BQ14" s="61">
        <v>48343.6</v>
      </c>
      <c r="BR14" s="19"/>
    </row>
    <row r="15" spans="1:78" ht="18.75" customHeight="1">
      <c r="A15" s="6"/>
      <c r="B15" s="22"/>
      <c r="C15" s="23"/>
      <c r="D15" s="24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1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3"/>
      <c r="BR15" s="9"/>
    </row>
    <row r="16" spans="1:78" ht="25.5" customHeight="1">
      <c r="A16" s="6"/>
      <c r="B16" s="83" t="s">
        <v>97</v>
      </c>
      <c r="C16" s="17" t="s">
        <v>98</v>
      </c>
      <c r="D16" s="18"/>
      <c r="E16" s="62">
        <v>171492</v>
      </c>
      <c r="F16" s="62">
        <v>199050</v>
      </c>
      <c r="G16" s="62">
        <v>191677</v>
      </c>
      <c r="H16" s="62">
        <v>189451</v>
      </c>
      <c r="I16" s="62">
        <v>190121</v>
      </c>
      <c r="J16" s="62">
        <v>205439</v>
      </c>
      <c r="K16" s="62">
        <v>213413</v>
      </c>
      <c r="L16" s="62">
        <v>208168</v>
      </c>
      <c r="M16" s="62">
        <v>196709</v>
      </c>
      <c r="N16" s="62">
        <v>189771</v>
      </c>
      <c r="O16" s="62">
        <v>204399</v>
      </c>
      <c r="P16" s="62">
        <v>221372</v>
      </c>
      <c r="Q16" s="62">
        <v>210355</v>
      </c>
      <c r="R16" s="62">
        <v>216751</v>
      </c>
      <c r="S16" s="62">
        <v>210355</v>
      </c>
      <c r="T16" s="62">
        <v>202881</v>
      </c>
      <c r="U16" s="62">
        <v>200368</v>
      </c>
      <c r="V16" s="62">
        <v>197001</v>
      </c>
      <c r="W16" s="62">
        <v>189966</v>
      </c>
      <c r="X16" s="62">
        <v>191347</v>
      </c>
      <c r="Y16" s="38">
        <v>197025</v>
      </c>
      <c r="Z16" s="62">
        <v>196457</v>
      </c>
      <c r="AA16" s="64">
        <v>202443</v>
      </c>
      <c r="AB16" s="62">
        <v>198152</v>
      </c>
      <c r="AC16" s="62">
        <v>201164</v>
      </c>
      <c r="AD16" s="62">
        <v>203514</v>
      </c>
      <c r="AE16" s="62">
        <v>211178</v>
      </c>
      <c r="AF16" s="62">
        <v>214440</v>
      </c>
      <c r="AG16" s="62">
        <v>225711</v>
      </c>
      <c r="AH16" s="62">
        <v>230997</v>
      </c>
      <c r="AI16" s="62">
        <v>234491</v>
      </c>
      <c r="AJ16" s="62">
        <v>243156</v>
      </c>
      <c r="AK16" s="62">
        <v>238979</v>
      </c>
      <c r="AL16" s="62">
        <v>229747</v>
      </c>
      <c r="AM16" s="62">
        <v>230994</v>
      </c>
      <c r="AN16" s="62">
        <v>220481</v>
      </c>
      <c r="AO16" s="62">
        <v>217490</v>
      </c>
      <c r="AP16" s="62">
        <v>214802</v>
      </c>
      <c r="AQ16" s="62">
        <v>246536</v>
      </c>
      <c r="AR16" s="62">
        <v>243500</v>
      </c>
      <c r="AS16" s="62">
        <v>248384</v>
      </c>
      <c r="AT16" s="62">
        <v>256283</v>
      </c>
      <c r="AU16" s="62">
        <v>238251</v>
      </c>
      <c r="AV16" s="62">
        <v>228614</v>
      </c>
      <c r="AW16" s="62">
        <v>238313</v>
      </c>
      <c r="AX16" s="62">
        <v>223537</v>
      </c>
      <c r="AY16" s="62">
        <v>212530</v>
      </c>
      <c r="AZ16" s="62">
        <v>212859</v>
      </c>
      <c r="BA16" s="62">
        <v>208716</v>
      </c>
      <c r="BB16" s="62">
        <v>213355</v>
      </c>
      <c r="BC16" s="62">
        <v>215440</v>
      </c>
      <c r="BD16" s="62">
        <v>239303</v>
      </c>
      <c r="BE16" s="62">
        <v>211148</v>
      </c>
      <c r="BF16" s="62">
        <v>202966</v>
      </c>
      <c r="BG16" s="62">
        <v>211360</v>
      </c>
      <c r="BH16" s="62">
        <v>190100</v>
      </c>
      <c r="BI16" s="62">
        <v>204134</v>
      </c>
      <c r="BJ16" s="62">
        <v>185134</v>
      </c>
      <c r="BK16" s="62">
        <v>202047</v>
      </c>
      <c r="BL16" s="62">
        <v>197897</v>
      </c>
      <c r="BM16" s="62">
        <v>207669</v>
      </c>
      <c r="BN16" s="62">
        <v>220931</v>
      </c>
      <c r="BO16" s="62">
        <v>214424</v>
      </c>
      <c r="BP16" s="62">
        <v>204650</v>
      </c>
      <c r="BQ16" s="62">
        <v>221821.5</v>
      </c>
      <c r="BR16" s="9"/>
    </row>
    <row r="17" spans="1:70" ht="36.75" customHeight="1">
      <c r="A17" s="6"/>
      <c r="B17" s="84"/>
      <c r="C17" s="20">
        <v>2.1</v>
      </c>
      <c r="D17" s="18" t="s">
        <v>92</v>
      </c>
      <c r="E17" s="61">
        <v>72807</v>
      </c>
      <c r="F17" s="61">
        <v>88352</v>
      </c>
      <c r="G17" s="61">
        <v>88310</v>
      </c>
      <c r="H17" s="61">
        <v>79909</v>
      </c>
      <c r="I17" s="61">
        <v>80202</v>
      </c>
      <c r="J17" s="61">
        <v>86543</v>
      </c>
      <c r="K17" s="61">
        <v>91889</v>
      </c>
      <c r="L17" s="61">
        <v>85899</v>
      </c>
      <c r="M17" s="61">
        <v>88662</v>
      </c>
      <c r="N17" s="61">
        <v>85012</v>
      </c>
      <c r="O17" s="61">
        <v>84337</v>
      </c>
      <c r="P17" s="61">
        <v>87964</v>
      </c>
      <c r="Q17" s="61">
        <v>83172</v>
      </c>
      <c r="R17" s="61">
        <v>91844</v>
      </c>
      <c r="S17" s="61">
        <v>85242</v>
      </c>
      <c r="T17" s="61">
        <v>83790</v>
      </c>
      <c r="U17" s="61">
        <v>73495</v>
      </c>
      <c r="V17" s="61">
        <v>73140</v>
      </c>
      <c r="W17" s="61">
        <v>74433</v>
      </c>
      <c r="X17" s="61">
        <v>73341</v>
      </c>
      <c r="Y17" s="37">
        <v>70632</v>
      </c>
      <c r="Z17" s="61">
        <v>71651</v>
      </c>
      <c r="AA17" s="63">
        <v>72250</v>
      </c>
      <c r="AB17" s="61">
        <v>69773</v>
      </c>
      <c r="AC17" s="61">
        <v>69780</v>
      </c>
      <c r="AD17" s="61">
        <v>69533</v>
      </c>
      <c r="AE17" s="61">
        <v>72724</v>
      </c>
      <c r="AF17" s="61">
        <v>78506</v>
      </c>
      <c r="AG17" s="61">
        <v>80330</v>
      </c>
      <c r="AH17" s="61">
        <v>79866</v>
      </c>
      <c r="AI17" s="61">
        <v>82086</v>
      </c>
      <c r="AJ17" s="61">
        <v>82932</v>
      </c>
      <c r="AK17" s="61">
        <v>83026</v>
      </c>
      <c r="AL17" s="61">
        <v>81287</v>
      </c>
      <c r="AM17" s="61">
        <v>82170</v>
      </c>
      <c r="AN17" s="61">
        <v>88124</v>
      </c>
      <c r="AO17" s="61">
        <v>86540</v>
      </c>
      <c r="AP17" s="61">
        <v>92340</v>
      </c>
      <c r="AQ17" s="61">
        <v>120726</v>
      </c>
      <c r="AR17" s="61">
        <v>123118</v>
      </c>
      <c r="AS17" s="61">
        <v>138302</v>
      </c>
      <c r="AT17" s="61">
        <v>138693</v>
      </c>
      <c r="AU17" s="61">
        <v>122263</v>
      </c>
      <c r="AV17" s="61">
        <v>119744</v>
      </c>
      <c r="AW17" s="61">
        <v>132719</v>
      </c>
      <c r="AX17" s="61">
        <v>116203</v>
      </c>
      <c r="AY17" s="61">
        <v>103101</v>
      </c>
      <c r="AZ17" s="61">
        <v>103291</v>
      </c>
      <c r="BA17" s="61">
        <v>101881</v>
      </c>
      <c r="BB17" s="61">
        <v>107722</v>
      </c>
      <c r="BC17" s="61">
        <v>104053</v>
      </c>
      <c r="BD17" s="61">
        <v>137011</v>
      </c>
      <c r="BE17" s="61">
        <v>111929</v>
      </c>
      <c r="BF17" s="61">
        <v>95515</v>
      </c>
      <c r="BG17" s="61">
        <v>103479</v>
      </c>
      <c r="BH17" s="61">
        <v>105083</v>
      </c>
      <c r="BI17" s="61">
        <v>119142</v>
      </c>
      <c r="BJ17" s="61">
        <v>109572</v>
      </c>
      <c r="BK17" s="61">
        <v>110387</v>
      </c>
      <c r="BL17" s="61">
        <v>103281</v>
      </c>
      <c r="BM17" s="61">
        <v>106829</v>
      </c>
      <c r="BN17" s="61">
        <v>117576</v>
      </c>
      <c r="BO17" s="61">
        <v>108766</v>
      </c>
      <c r="BP17" s="61">
        <v>103087</v>
      </c>
      <c r="BQ17" s="61">
        <v>112305.8</v>
      </c>
      <c r="BR17" s="19"/>
    </row>
    <row r="18" spans="1:70" ht="36.75" customHeight="1">
      <c r="A18" s="6"/>
      <c r="B18" s="84"/>
      <c r="C18" s="20">
        <v>2.2000000000000002</v>
      </c>
      <c r="D18" s="18" t="s">
        <v>96</v>
      </c>
      <c r="E18" s="61">
        <v>57606</v>
      </c>
      <c r="F18" s="61">
        <v>70150</v>
      </c>
      <c r="G18" s="61">
        <v>66096</v>
      </c>
      <c r="H18" s="61">
        <v>70078</v>
      </c>
      <c r="I18" s="61">
        <v>64645</v>
      </c>
      <c r="J18" s="61">
        <v>71618</v>
      </c>
      <c r="K18" s="61">
        <v>68637</v>
      </c>
      <c r="L18" s="61">
        <v>67963</v>
      </c>
      <c r="M18" s="61">
        <v>63053</v>
      </c>
      <c r="N18" s="61">
        <v>61608</v>
      </c>
      <c r="O18" s="61">
        <v>75532</v>
      </c>
      <c r="P18" s="61">
        <v>84026</v>
      </c>
      <c r="Q18" s="61">
        <v>76157</v>
      </c>
      <c r="R18" s="61">
        <v>79707</v>
      </c>
      <c r="S18" s="61">
        <v>80699</v>
      </c>
      <c r="T18" s="61">
        <v>78314</v>
      </c>
      <c r="U18" s="61">
        <v>75382</v>
      </c>
      <c r="V18" s="61">
        <v>71597</v>
      </c>
      <c r="W18" s="61">
        <v>73210</v>
      </c>
      <c r="X18" s="61">
        <v>71676</v>
      </c>
      <c r="Y18" s="37">
        <v>82847</v>
      </c>
      <c r="Z18" s="61">
        <v>80767</v>
      </c>
      <c r="AA18" s="63">
        <v>84421</v>
      </c>
      <c r="AB18" s="61">
        <v>79678</v>
      </c>
      <c r="AC18" s="61">
        <v>78332</v>
      </c>
      <c r="AD18" s="61">
        <v>86340</v>
      </c>
      <c r="AE18" s="61">
        <v>83376</v>
      </c>
      <c r="AF18" s="61">
        <v>83623</v>
      </c>
      <c r="AG18" s="61">
        <v>81501</v>
      </c>
      <c r="AH18" s="61">
        <v>86415</v>
      </c>
      <c r="AI18" s="61">
        <v>91963</v>
      </c>
      <c r="AJ18" s="61">
        <v>97606</v>
      </c>
      <c r="AK18" s="61">
        <v>94926</v>
      </c>
      <c r="AL18" s="61">
        <v>90043</v>
      </c>
      <c r="AM18" s="61">
        <v>86020</v>
      </c>
      <c r="AN18" s="61">
        <v>71720</v>
      </c>
      <c r="AO18" s="61">
        <v>64537</v>
      </c>
      <c r="AP18" s="61">
        <v>63642</v>
      </c>
      <c r="AQ18" s="61">
        <v>58035</v>
      </c>
      <c r="AR18" s="61">
        <v>52110</v>
      </c>
      <c r="AS18" s="61">
        <v>49497</v>
      </c>
      <c r="AT18" s="61">
        <v>49635</v>
      </c>
      <c r="AU18" s="61">
        <v>44690</v>
      </c>
      <c r="AV18" s="61">
        <v>40588</v>
      </c>
      <c r="AW18" s="61">
        <v>41779</v>
      </c>
      <c r="AX18" s="61">
        <v>40565</v>
      </c>
      <c r="AY18" s="61">
        <v>41171</v>
      </c>
      <c r="AZ18" s="61">
        <v>39496</v>
      </c>
      <c r="BA18" s="61">
        <v>38922</v>
      </c>
      <c r="BB18" s="61">
        <v>37317</v>
      </c>
      <c r="BC18" s="61">
        <v>39912</v>
      </c>
      <c r="BD18" s="61">
        <v>36666</v>
      </c>
      <c r="BE18" s="61">
        <v>35833</v>
      </c>
      <c r="BF18" s="61">
        <v>39800</v>
      </c>
      <c r="BG18" s="61">
        <v>38551</v>
      </c>
      <c r="BH18" s="61">
        <v>30326</v>
      </c>
      <c r="BI18" s="61">
        <v>28249</v>
      </c>
      <c r="BJ18" s="61">
        <v>22889</v>
      </c>
      <c r="BK18" s="61">
        <v>23766</v>
      </c>
      <c r="BL18" s="61">
        <v>24220</v>
      </c>
      <c r="BM18" s="61">
        <v>24065</v>
      </c>
      <c r="BN18" s="61">
        <v>27514</v>
      </c>
      <c r="BO18" s="61">
        <v>27724</v>
      </c>
      <c r="BP18" s="61">
        <v>33250</v>
      </c>
      <c r="BQ18" s="61">
        <v>36024.800000000003</v>
      </c>
      <c r="BR18" s="19"/>
    </row>
    <row r="19" spans="1:70" ht="36.75" customHeight="1">
      <c r="A19" s="6"/>
      <c r="B19" s="84"/>
      <c r="C19" s="20">
        <v>2.2999999999999998</v>
      </c>
      <c r="D19" s="18" t="s">
        <v>99</v>
      </c>
      <c r="E19" s="61">
        <v>27492</v>
      </c>
      <c r="F19" s="61">
        <v>28084</v>
      </c>
      <c r="G19" s="61">
        <v>26497</v>
      </c>
      <c r="H19" s="61">
        <v>25680</v>
      </c>
      <c r="I19" s="61">
        <v>24937</v>
      </c>
      <c r="J19" s="61">
        <v>24951</v>
      </c>
      <c r="K19" s="61">
        <v>25932</v>
      </c>
      <c r="L19" s="61">
        <v>25920</v>
      </c>
      <c r="M19" s="61">
        <v>25413</v>
      </c>
      <c r="N19" s="61">
        <v>24876</v>
      </c>
      <c r="O19" s="61">
        <v>25187</v>
      </c>
      <c r="P19" s="61">
        <v>24867</v>
      </c>
      <c r="Q19" s="61">
        <v>24547</v>
      </c>
      <c r="R19" s="61">
        <v>23952</v>
      </c>
      <c r="S19" s="61">
        <v>23631</v>
      </c>
      <c r="T19" s="61">
        <v>23880</v>
      </c>
      <c r="U19" s="61">
        <v>23781</v>
      </c>
      <c r="V19" s="61">
        <v>24188</v>
      </c>
      <c r="W19" s="61">
        <v>24347</v>
      </c>
      <c r="X19" s="61">
        <v>24382</v>
      </c>
      <c r="Y19" s="37">
        <v>24454</v>
      </c>
      <c r="Z19" s="61">
        <v>24417</v>
      </c>
      <c r="AA19" s="63">
        <v>24604</v>
      </c>
      <c r="AB19" s="61">
        <v>24754</v>
      </c>
      <c r="AC19" s="61">
        <v>25097</v>
      </c>
      <c r="AD19" s="61">
        <v>24881</v>
      </c>
      <c r="AE19" s="61">
        <v>24990</v>
      </c>
      <c r="AF19" s="61">
        <v>25056</v>
      </c>
      <c r="AG19" s="61">
        <v>24638</v>
      </c>
      <c r="AH19" s="61">
        <v>24814</v>
      </c>
      <c r="AI19" s="61">
        <v>24899</v>
      </c>
      <c r="AJ19" s="61">
        <v>25665</v>
      </c>
      <c r="AK19" s="61">
        <v>25273</v>
      </c>
      <c r="AL19" s="61">
        <v>26656</v>
      </c>
      <c r="AM19" s="61">
        <v>26261</v>
      </c>
      <c r="AN19" s="61">
        <v>26067</v>
      </c>
      <c r="AO19" s="61">
        <v>26624</v>
      </c>
      <c r="AP19" s="61">
        <v>27377</v>
      </c>
      <c r="AQ19" s="61">
        <v>28121</v>
      </c>
      <c r="AR19" s="61">
        <v>29340</v>
      </c>
      <c r="AS19" s="61">
        <v>29372</v>
      </c>
      <c r="AT19" s="61">
        <v>30136</v>
      </c>
      <c r="AU19" s="61">
        <v>30543</v>
      </c>
      <c r="AV19" s="61">
        <v>31077</v>
      </c>
      <c r="AW19" s="61">
        <v>32008</v>
      </c>
      <c r="AX19" s="61">
        <v>33110</v>
      </c>
      <c r="AY19" s="61">
        <v>33475</v>
      </c>
      <c r="AZ19" s="61">
        <v>34226</v>
      </c>
      <c r="BA19" s="61">
        <v>33627</v>
      </c>
      <c r="BB19" s="61">
        <v>35104</v>
      </c>
      <c r="BC19" s="61">
        <v>37019</v>
      </c>
      <c r="BD19" s="61">
        <v>36873</v>
      </c>
      <c r="BE19" s="61">
        <v>37930</v>
      </c>
      <c r="BF19" s="61">
        <v>37255</v>
      </c>
      <c r="BG19" s="61">
        <v>37275</v>
      </c>
      <c r="BH19" s="61">
        <v>37683</v>
      </c>
      <c r="BI19" s="61">
        <v>39027</v>
      </c>
      <c r="BJ19" s="61">
        <v>38450</v>
      </c>
      <c r="BK19" s="61">
        <v>38960</v>
      </c>
      <c r="BL19" s="61">
        <v>39446</v>
      </c>
      <c r="BM19" s="61">
        <v>39093</v>
      </c>
      <c r="BN19" s="61">
        <v>39130</v>
      </c>
      <c r="BO19" s="61">
        <v>38880</v>
      </c>
      <c r="BP19" s="61">
        <v>39488</v>
      </c>
      <c r="BQ19" s="61">
        <v>40392.199999999997</v>
      </c>
      <c r="BR19" s="19"/>
    </row>
    <row r="20" spans="1:70" ht="36.75" customHeight="1">
      <c r="A20" s="6"/>
      <c r="B20" s="85"/>
      <c r="C20" s="20">
        <v>2.4</v>
      </c>
      <c r="D20" s="18" t="s">
        <v>100</v>
      </c>
      <c r="E20" s="61">
        <v>13587</v>
      </c>
      <c r="F20" s="61">
        <v>12464</v>
      </c>
      <c r="G20" s="61">
        <v>10774</v>
      </c>
      <c r="H20" s="61">
        <v>13784</v>
      </c>
      <c r="I20" s="61">
        <v>20337</v>
      </c>
      <c r="J20" s="61">
        <v>22327</v>
      </c>
      <c r="K20" s="61">
        <v>26955</v>
      </c>
      <c r="L20" s="61">
        <v>28386</v>
      </c>
      <c r="M20" s="61">
        <v>19581</v>
      </c>
      <c r="N20" s="61">
        <v>18275</v>
      </c>
      <c r="O20" s="61">
        <v>19343</v>
      </c>
      <c r="P20" s="61">
        <v>24515</v>
      </c>
      <c r="Q20" s="61">
        <v>26479</v>
      </c>
      <c r="R20" s="61">
        <v>21248</v>
      </c>
      <c r="S20" s="61">
        <v>20783</v>
      </c>
      <c r="T20" s="61">
        <v>16897</v>
      </c>
      <c r="U20" s="61">
        <v>27710</v>
      </c>
      <c r="V20" s="61">
        <v>28076</v>
      </c>
      <c r="W20" s="61">
        <v>17976</v>
      </c>
      <c r="X20" s="61">
        <v>21948</v>
      </c>
      <c r="Y20" s="37">
        <v>19092</v>
      </c>
      <c r="Z20" s="61">
        <v>19622</v>
      </c>
      <c r="AA20" s="63">
        <v>21168</v>
      </c>
      <c r="AB20" s="61">
        <v>23947</v>
      </c>
      <c r="AC20" s="61">
        <v>27955</v>
      </c>
      <c r="AD20" s="61">
        <v>22760</v>
      </c>
      <c r="AE20" s="61">
        <v>30088</v>
      </c>
      <c r="AF20" s="61">
        <v>27255</v>
      </c>
      <c r="AG20" s="61">
        <v>39242</v>
      </c>
      <c r="AH20" s="61">
        <v>39902</v>
      </c>
      <c r="AI20" s="61">
        <v>35543</v>
      </c>
      <c r="AJ20" s="61">
        <v>36953</v>
      </c>
      <c r="AK20" s="61">
        <v>35754</v>
      </c>
      <c r="AL20" s="61">
        <v>31761</v>
      </c>
      <c r="AM20" s="61">
        <v>36543</v>
      </c>
      <c r="AN20" s="61">
        <v>34570</v>
      </c>
      <c r="AO20" s="61">
        <v>39789</v>
      </c>
      <c r="AP20" s="61">
        <v>31443</v>
      </c>
      <c r="AQ20" s="61">
        <v>39654</v>
      </c>
      <c r="AR20" s="61">
        <v>38932</v>
      </c>
      <c r="AS20" s="61">
        <v>31213</v>
      </c>
      <c r="AT20" s="61">
        <v>37819</v>
      </c>
      <c r="AU20" s="61">
        <v>40755</v>
      </c>
      <c r="AV20" s="61">
        <v>37205</v>
      </c>
      <c r="AW20" s="61">
        <v>31807</v>
      </c>
      <c r="AX20" s="61">
        <v>33659</v>
      </c>
      <c r="AY20" s="61">
        <v>34783</v>
      </c>
      <c r="AZ20" s="61">
        <v>35846</v>
      </c>
      <c r="BA20" s="61">
        <v>34286</v>
      </c>
      <c r="BB20" s="61">
        <v>33212</v>
      </c>
      <c r="BC20" s="61">
        <v>34456</v>
      </c>
      <c r="BD20" s="61">
        <v>28753</v>
      </c>
      <c r="BE20" s="61">
        <v>25456</v>
      </c>
      <c r="BF20" s="61">
        <v>30396</v>
      </c>
      <c r="BG20" s="61">
        <v>32055</v>
      </c>
      <c r="BH20" s="61">
        <v>17008</v>
      </c>
      <c r="BI20" s="61">
        <v>17716</v>
      </c>
      <c r="BJ20" s="61">
        <v>14223</v>
      </c>
      <c r="BK20" s="61">
        <v>28934</v>
      </c>
      <c r="BL20" s="61">
        <v>30950</v>
      </c>
      <c r="BM20" s="61">
        <v>37682</v>
      </c>
      <c r="BN20" s="61">
        <v>36711</v>
      </c>
      <c r="BO20" s="61">
        <v>39054</v>
      </c>
      <c r="BP20" s="61">
        <v>28825</v>
      </c>
      <c r="BQ20" s="61">
        <v>33098.699999999997</v>
      </c>
      <c r="BR20" s="19"/>
    </row>
    <row r="21" spans="1:70" ht="12.75" customHeight="1">
      <c r="A21" s="6"/>
      <c r="B21" s="10"/>
      <c r="C21" s="25"/>
      <c r="D21" s="12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8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26"/>
      <c r="BR21" s="9"/>
    </row>
    <row r="22" spans="1:70" ht="27" customHeight="1">
      <c r="A22" s="6"/>
      <c r="B22" s="27" t="s">
        <v>101</v>
      </c>
      <c r="C22" s="28"/>
      <c r="D22" s="27"/>
      <c r="E22" s="62">
        <v>1471618</v>
      </c>
      <c r="F22" s="62">
        <v>1562949</v>
      </c>
      <c r="G22" s="62">
        <v>1627277</v>
      </c>
      <c r="H22" s="62">
        <v>1662443</v>
      </c>
      <c r="I22" s="62">
        <v>1684314</v>
      </c>
      <c r="J22" s="62">
        <v>1728300</v>
      </c>
      <c r="K22" s="62">
        <v>1755650</v>
      </c>
      <c r="L22" s="62">
        <v>1748047</v>
      </c>
      <c r="M22" s="62">
        <v>1774317</v>
      </c>
      <c r="N22" s="62">
        <v>1801933</v>
      </c>
      <c r="O22" s="62">
        <v>1819616</v>
      </c>
      <c r="P22" s="62">
        <v>1870184</v>
      </c>
      <c r="Q22" s="62">
        <v>1826293</v>
      </c>
      <c r="R22" s="62">
        <v>1851917</v>
      </c>
      <c r="S22" s="62">
        <v>1872123</v>
      </c>
      <c r="T22" s="62">
        <v>1865415</v>
      </c>
      <c r="U22" s="62">
        <v>1866132</v>
      </c>
      <c r="V22" s="62">
        <v>1887301</v>
      </c>
      <c r="W22" s="62">
        <v>1898897</v>
      </c>
      <c r="X22" s="62">
        <v>1907152</v>
      </c>
      <c r="Y22" s="38">
        <v>1910623</v>
      </c>
      <c r="Z22" s="62">
        <v>1876126</v>
      </c>
      <c r="AA22" s="64">
        <v>1884545</v>
      </c>
      <c r="AB22" s="62">
        <v>1876162</v>
      </c>
      <c r="AC22" s="62">
        <v>1878270</v>
      </c>
      <c r="AD22" s="62">
        <v>1881268</v>
      </c>
      <c r="AE22" s="62">
        <v>1877285</v>
      </c>
      <c r="AF22" s="62">
        <v>1874595</v>
      </c>
      <c r="AG22" s="62">
        <v>1908655</v>
      </c>
      <c r="AH22" s="62">
        <v>1915117</v>
      </c>
      <c r="AI22" s="62">
        <v>1928681</v>
      </c>
      <c r="AJ22" s="62">
        <v>1942326</v>
      </c>
      <c r="AK22" s="62">
        <v>1967269</v>
      </c>
      <c r="AL22" s="62">
        <v>1966985</v>
      </c>
      <c r="AM22" s="62">
        <v>1996527</v>
      </c>
      <c r="AN22" s="62">
        <v>1982385</v>
      </c>
      <c r="AO22" s="62">
        <v>1988354</v>
      </c>
      <c r="AP22" s="62">
        <v>2006237</v>
      </c>
      <c r="AQ22" s="62">
        <v>2008352</v>
      </c>
      <c r="AR22" s="62">
        <v>2040531</v>
      </c>
      <c r="AS22" s="62">
        <v>2091833</v>
      </c>
      <c r="AT22" s="62">
        <v>2132904</v>
      </c>
      <c r="AU22" s="62">
        <v>2166611</v>
      </c>
      <c r="AV22" s="62">
        <v>2186962</v>
      </c>
      <c r="AW22" s="62">
        <v>2204710</v>
      </c>
      <c r="AX22" s="62">
        <v>2239297</v>
      </c>
      <c r="AY22" s="62">
        <v>2222226</v>
      </c>
      <c r="AZ22" s="62">
        <v>2242390</v>
      </c>
      <c r="BA22" s="62">
        <v>2233095</v>
      </c>
      <c r="BB22" s="62">
        <v>2305909</v>
      </c>
      <c r="BC22" s="62">
        <v>2350934</v>
      </c>
      <c r="BD22" s="62">
        <v>2405785</v>
      </c>
      <c r="BE22" s="62">
        <v>2381999</v>
      </c>
      <c r="BF22" s="62">
        <v>2392981</v>
      </c>
      <c r="BG22" s="62">
        <v>2403314</v>
      </c>
      <c r="BH22" s="62">
        <v>2420871</v>
      </c>
      <c r="BI22" s="62">
        <v>2455350</v>
      </c>
      <c r="BJ22" s="62">
        <v>2444467</v>
      </c>
      <c r="BK22" s="62">
        <v>2521902</v>
      </c>
      <c r="BL22" s="62">
        <v>2539885</v>
      </c>
      <c r="BM22" s="62">
        <v>2608073</v>
      </c>
      <c r="BN22" s="62">
        <v>2657279</v>
      </c>
      <c r="BO22" s="62">
        <v>2717428</v>
      </c>
      <c r="BP22" s="62">
        <v>2678289</v>
      </c>
      <c r="BQ22" s="62">
        <v>2692569.8000000003</v>
      </c>
      <c r="BR22" s="9"/>
    </row>
    <row r="23" spans="1:70" ht="22.5" customHeight="1">
      <c r="A23" s="6"/>
      <c r="B23" s="29"/>
      <c r="C23" s="30"/>
      <c r="D23" s="30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9"/>
    </row>
    <row r="24" spans="1:70" ht="18.75" customHeight="1">
      <c r="A24" s="6"/>
      <c r="B24" s="29" t="s">
        <v>102</v>
      </c>
      <c r="C24" s="8"/>
      <c r="D24" s="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9"/>
    </row>
    <row r="25" spans="1:70" ht="18.75" customHeight="1">
      <c r="A25" s="6"/>
      <c r="B25" s="29" t="s">
        <v>103</v>
      </c>
      <c r="C25" s="8"/>
      <c r="D25" s="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9"/>
    </row>
    <row r="26" spans="1:70" ht="21.75" customHeight="1" thickBot="1">
      <c r="A26" s="31"/>
      <c r="B26" s="32"/>
      <c r="C26" s="33"/>
      <c r="D26" s="32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34"/>
    </row>
    <row r="27" spans="1:70" ht="13.9" thickTop="1"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"/>
    </row>
  </sheetData>
  <mergeCells count="5">
    <mergeCell ref="B3:BQ3"/>
    <mergeCell ref="B9:B14"/>
    <mergeCell ref="B16:B20"/>
    <mergeCell ref="B6:D6"/>
    <mergeCell ref="B7:D7"/>
  </mergeCells>
  <printOptions horizontalCentered="1"/>
  <pageMargins left="0.2" right="0.2" top="0.75" bottom="0.25" header="0.3" footer="0.3"/>
  <pageSetup paperSize="9" scale="77" orientation="landscape" r:id="rId1"/>
  <headerFooter>
    <oddHeader>&amp;L&amp;"Calibri"&amp;10&amp;K317100CBUAE Classification: Public&amp;1#</oddHeader>
    <oddFooter>&amp;C
Page 39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728E-35CF-44C7-AC3C-A65B147D9864}">
  <sheetPr>
    <pageSetUpPr fitToPage="1"/>
  </sheetPr>
  <dimension ref="A1:EX32"/>
  <sheetViews>
    <sheetView zoomScale="50" zoomScaleNormal="50" workbookViewId="0">
      <pane xSplit="4" ySplit="5" topLeftCell="E6" activePane="bottomRight" state="frozen"/>
      <selection pane="bottomRight" activeCell="D17" sqref="D17"/>
      <selection pane="bottomLeft" activeCell="A6" sqref="A6"/>
      <selection pane="topRight" activeCell="E1" sqref="E1"/>
    </sheetView>
  </sheetViews>
  <sheetFormatPr defaultColWidth="9.140625" defaultRowHeight="13.15"/>
  <cols>
    <col min="1" max="1" width="1.7109375" style="5" customWidth="1" collapsed="1"/>
    <col min="2" max="2" width="3" style="5" customWidth="1" collapsed="1"/>
    <col min="3" max="3" width="4" style="35" customWidth="1" collapsed="1"/>
    <col min="4" max="4" width="38.7109375" style="5" customWidth="1" collapsed="1"/>
    <col min="5" max="5" width="10.7109375" style="56" customWidth="1" collapsed="1"/>
    <col min="6" max="41" width="10.7109375" style="56" customWidth="1"/>
    <col min="42" max="42" width="3" style="56" customWidth="1" collapsed="1"/>
    <col min="43" max="50" width="9.140625" style="5" collapsed="1"/>
    <col min="51" max="154" width="9.140625" style="5"/>
    <col min="155" max="16384" width="9.140625" style="5" collapsed="1"/>
  </cols>
  <sheetData>
    <row r="1" spans="1:50" ht="11.25" customHeight="1" thickTop="1">
      <c r="A1" s="1"/>
      <c r="B1" s="2"/>
      <c r="C1" s="3"/>
      <c r="D1" s="2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4"/>
    </row>
    <row r="2" spans="1:50">
      <c r="A2" s="6"/>
      <c r="B2" s="7"/>
      <c r="C2" s="8"/>
      <c r="D2" s="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9"/>
    </row>
    <row r="3" spans="1:50" ht="16.149999999999999">
      <c r="A3" s="6"/>
      <c r="B3" s="88" t="s">
        <v>104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9"/>
    </row>
    <row r="4" spans="1:50">
      <c r="A4" s="6"/>
      <c r="B4" s="7"/>
      <c r="C4" s="8"/>
      <c r="D4" s="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9"/>
    </row>
    <row r="5" spans="1:50" ht="19.5" customHeight="1">
      <c r="A5" s="6"/>
      <c r="B5" s="10" t="s">
        <v>23</v>
      </c>
      <c r="C5" s="11"/>
      <c r="D5" s="12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9"/>
    </row>
    <row r="6" spans="1:50" ht="19.5" customHeight="1">
      <c r="A6" s="6"/>
      <c r="B6" s="86" t="s">
        <v>24</v>
      </c>
      <c r="C6" s="87"/>
      <c r="D6" s="87"/>
      <c r="E6" s="60">
        <v>3</v>
      </c>
      <c r="F6" s="60">
        <v>6</v>
      </c>
      <c r="G6" s="60">
        <v>9</v>
      </c>
      <c r="H6" s="60">
        <v>12</v>
      </c>
      <c r="I6" s="60">
        <v>3</v>
      </c>
      <c r="J6" s="60">
        <v>6</v>
      </c>
      <c r="K6" s="60">
        <v>9</v>
      </c>
      <c r="L6" s="60">
        <v>12</v>
      </c>
      <c r="M6" s="60">
        <v>3</v>
      </c>
      <c r="N6" s="60">
        <v>6</v>
      </c>
      <c r="O6" s="60">
        <v>9</v>
      </c>
      <c r="P6" s="60">
        <v>12</v>
      </c>
      <c r="Q6" s="60">
        <v>3</v>
      </c>
      <c r="R6" s="60">
        <v>6</v>
      </c>
      <c r="S6" s="60">
        <v>9</v>
      </c>
      <c r="T6" s="60">
        <v>12</v>
      </c>
      <c r="U6" s="60">
        <v>3</v>
      </c>
      <c r="V6" s="60">
        <v>6</v>
      </c>
      <c r="W6" s="60">
        <v>9</v>
      </c>
      <c r="X6" s="60">
        <v>12</v>
      </c>
      <c r="Y6" s="60">
        <v>3</v>
      </c>
      <c r="Z6" s="60">
        <v>6</v>
      </c>
      <c r="AA6" s="60">
        <v>9</v>
      </c>
      <c r="AB6" s="60">
        <v>12</v>
      </c>
      <c r="AC6" s="60">
        <v>3</v>
      </c>
      <c r="AD6" s="60">
        <v>6</v>
      </c>
      <c r="AE6" s="60">
        <v>9</v>
      </c>
      <c r="AF6" s="60">
        <v>12</v>
      </c>
      <c r="AG6" s="60">
        <v>3</v>
      </c>
      <c r="AH6" s="60">
        <v>6</v>
      </c>
      <c r="AI6" s="60">
        <v>9</v>
      </c>
      <c r="AJ6" s="60">
        <v>12</v>
      </c>
      <c r="AK6" s="60">
        <v>12</v>
      </c>
      <c r="AL6" s="60">
        <v>12</v>
      </c>
      <c r="AM6" s="60">
        <v>12</v>
      </c>
      <c r="AN6" s="60">
        <v>12</v>
      </c>
      <c r="AO6" s="60">
        <v>12</v>
      </c>
      <c r="AP6" s="9"/>
    </row>
    <row r="7" spans="1:50" ht="19.5" customHeight="1">
      <c r="A7" s="6"/>
      <c r="B7" s="86" t="s">
        <v>0</v>
      </c>
      <c r="C7" s="87"/>
      <c r="D7" s="87"/>
      <c r="E7" s="60">
        <v>2001</v>
      </c>
      <c r="F7" s="60">
        <v>2001</v>
      </c>
      <c r="G7" s="60">
        <v>2001</v>
      </c>
      <c r="H7" s="60">
        <v>2001</v>
      </c>
      <c r="I7" s="60">
        <v>2002</v>
      </c>
      <c r="J7" s="60">
        <v>2002</v>
      </c>
      <c r="K7" s="60">
        <v>2002</v>
      </c>
      <c r="L7" s="60">
        <v>2002</v>
      </c>
      <c r="M7" s="60">
        <v>2003</v>
      </c>
      <c r="N7" s="60">
        <v>2003</v>
      </c>
      <c r="O7" s="60">
        <v>2003</v>
      </c>
      <c r="P7" s="60">
        <v>2003</v>
      </c>
      <c r="Q7" s="60">
        <v>2004</v>
      </c>
      <c r="R7" s="60">
        <v>2004</v>
      </c>
      <c r="S7" s="60">
        <v>2004</v>
      </c>
      <c r="T7" s="60">
        <v>2004</v>
      </c>
      <c r="U7" s="60">
        <v>2005</v>
      </c>
      <c r="V7" s="60">
        <v>2005</v>
      </c>
      <c r="W7" s="60">
        <v>2005</v>
      </c>
      <c r="X7" s="60">
        <v>2005</v>
      </c>
      <c r="Y7" s="60">
        <v>2006</v>
      </c>
      <c r="Z7" s="60">
        <v>2006</v>
      </c>
      <c r="AA7" s="60">
        <v>2006</v>
      </c>
      <c r="AB7" s="60">
        <v>2006</v>
      </c>
      <c r="AC7" s="60">
        <v>2007</v>
      </c>
      <c r="AD7" s="60">
        <v>2007</v>
      </c>
      <c r="AE7" s="60">
        <v>2007</v>
      </c>
      <c r="AF7" s="60">
        <v>2007</v>
      </c>
      <c r="AG7" s="60">
        <v>2008</v>
      </c>
      <c r="AH7" s="60">
        <v>2008</v>
      </c>
      <c r="AI7" s="60">
        <v>2008</v>
      </c>
      <c r="AJ7" s="60">
        <v>2008</v>
      </c>
      <c r="AK7" s="60">
        <v>2009</v>
      </c>
      <c r="AL7" s="60">
        <v>2010</v>
      </c>
      <c r="AM7" s="60">
        <v>2011</v>
      </c>
      <c r="AN7" s="60">
        <v>2012</v>
      </c>
      <c r="AO7" s="60">
        <v>2013</v>
      </c>
      <c r="AP7" s="9"/>
    </row>
    <row r="8" spans="1:50" ht="20.25" customHeight="1">
      <c r="A8" s="6"/>
      <c r="B8" s="14" t="s">
        <v>25</v>
      </c>
      <c r="C8" s="15"/>
      <c r="D8" s="16"/>
      <c r="E8" s="74" t="s">
        <v>105</v>
      </c>
      <c r="F8" s="74" t="s">
        <v>106</v>
      </c>
      <c r="G8" s="74" t="s">
        <v>107</v>
      </c>
      <c r="H8" s="74" t="s">
        <v>108</v>
      </c>
      <c r="I8" s="74" t="s">
        <v>109</v>
      </c>
      <c r="J8" s="74" t="s">
        <v>110</v>
      </c>
      <c r="K8" s="74" t="s">
        <v>111</v>
      </c>
      <c r="L8" s="74" t="s">
        <v>112</v>
      </c>
      <c r="M8" s="74" t="s">
        <v>113</v>
      </c>
      <c r="N8" s="74" t="s">
        <v>114</v>
      </c>
      <c r="O8" s="74" t="s">
        <v>115</v>
      </c>
      <c r="P8" s="74" t="s">
        <v>116</v>
      </c>
      <c r="Q8" s="74" t="s">
        <v>117</v>
      </c>
      <c r="R8" s="74" t="s">
        <v>118</v>
      </c>
      <c r="S8" s="74" t="s">
        <v>119</v>
      </c>
      <c r="T8" s="74" t="s">
        <v>120</v>
      </c>
      <c r="U8" s="74" t="s">
        <v>121</v>
      </c>
      <c r="V8" s="74" t="s">
        <v>122</v>
      </c>
      <c r="W8" s="74" t="s">
        <v>123</v>
      </c>
      <c r="X8" s="74" t="s">
        <v>124</v>
      </c>
      <c r="Y8" s="74" t="s">
        <v>125</v>
      </c>
      <c r="Z8" s="74" t="s">
        <v>126</v>
      </c>
      <c r="AA8" s="72" t="s">
        <v>127</v>
      </c>
      <c r="AB8" s="74" t="s">
        <v>128</v>
      </c>
      <c r="AC8" s="74" t="s">
        <v>129</v>
      </c>
      <c r="AD8" s="74" t="s">
        <v>130</v>
      </c>
      <c r="AE8" s="72" t="s">
        <v>131</v>
      </c>
      <c r="AF8" s="74" t="s">
        <v>132</v>
      </c>
      <c r="AG8" s="72" t="s">
        <v>133</v>
      </c>
      <c r="AH8" s="72" t="s">
        <v>134</v>
      </c>
      <c r="AI8" s="72" t="s">
        <v>135</v>
      </c>
      <c r="AJ8" s="74" t="s">
        <v>136</v>
      </c>
      <c r="AK8" s="74" t="s">
        <v>137</v>
      </c>
      <c r="AL8" s="74" t="s">
        <v>138</v>
      </c>
      <c r="AM8" s="74" t="s">
        <v>139</v>
      </c>
      <c r="AN8" s="74" t="s">
        <v>140</v>
      </c>
      <c r="AO8" s="74" t="s">
        <v>141</v>
      </c>
      <c r="AP8" s="75"/>
      <c r="AQ8" s="76"/>
      <c r="AR8" s="76"/>
      <c r="AS8" s="7"/>
      <c r="AT8" s="7"/>
      <c r="AU8" s="7"/>
      <c r="AV8" s="7"/>
      <c r="AW8" s="7"/>
      <c r="AX8" s="7"/>
    </row>
    <row r="9" spans="1:50" ht="25.5" customHeight="1">
      <c r="A9" s="6"/>
      <c r="B9" s="83" t="s">
        <v>90</v>
      </c>
      <c r="C9" s="17" t="s">
        <v>91</v>
      </c>
      <c r="D9" s="18"/>
      <c r="E9" s="62">
        <v>165192</v>
      </c>
      <c r="F9" s="62">
        <v>170097</v>
      </c>
      <c r="G9" s="62">
        <v>170878</v>
      </c>
      <c r="H9" s="61">
        <v>172849</v>
      </c>
      <c r="I9" s="62">
        <v>177554</v>
      </c>
      <c r="J9" s="62">
        <v>181596</v>
      </c>
      <c r="K9" s="62">
        <v>187187</v>
      </c>
      <c r="L9" s="62">
        <v>198244</v>
      </c>
      <c r="M9" s="62">
        <v>198653</v>
      </c>
      <c r="N9" s="62">
        <v>202261</v>
      </c>
      <c r="O9" s="62">
        <v>213306</v>
      </c>
      <c r="P9" s="62">
        <v>221573</v>
      </c>
      <c r="Q9" s="62">
        <v>236711</v>
      </c>
      <c r="R9" s="62">
        <v>242035</v>
      </c>
      <c r="S9" s="62">
        <v>254688</v>
      </c>
      <c r="T9" s="62">
        <v>276951</v>
      </c>
      <c r="U9" s="62">
        <v>293730</v>
      </c>
      <c r="V9" s="62">
        <v>321688</v>
      </c>
      <c r="W9" s="62">
        <v>348682</v>
      </c>
      <c r="X9" s="62">
        <v>384275</v>
      </c>
      <c r="Y9" s="62">
        <v>398340</v>
      </c>
      <c r="Z9" s="62">
        <v>404268</v>
      </c>
      <c r="AA9" s="62">
        <v>433680</v>
      </c>
      <c r="AB9" s="62">
        <v>469322</v>
      </c>
      <c r="AC9" s="77">
        <v>501476</v>
      </c>
      <c r="AD9" s="64">
        <v>561654</v>
      </c>
      <c r="AE9" s="61">
        <v>583789</v>
      </c>
      <c r="AF9" s="62">
        <v>651338</v>
      </c>
      <c r="AG9" s="62">
        <v>703011</v>
      </c>
      <c r="AH9" s="62">
        <v>763023</v>
      </c>
      <c r="AI9" s="62">
        <v>779061</v>
      </c>
      <c r="AJ9" s="62">
        <v>833432</v>
      </c>
      <c r="AK9" s="62">
        <v>893989</v>
      </c>
      <c r="AL9" s="62">
        <v>929275</v>
      </c>
      <c r="AM9" s="62">
        <v>957328</v>
      </c>
      <c r="AN9">
        <v>1033700</v>
      </c>
      <c r="AO9" s="62">
        <v>1165261</v>
      </c>
      <c r="AP9" s="19"/>
    </row>
    <row r="10" spans="1:50" ht="36.75" customHeight="1">
      <c r="A10" s="6"/>
      <c r="B10" s="84"/>
      <c r="C10" s="20">
        <v>1.1000000000000001</v>
      </c>
      <c r="D10" s="21" t="s">
        <v>94</v>
      </c>
      <c r="E10" s="61">
        <v>27234</v>
      </c>
      <c r="F10" s="61">
        <v>26596</v>
      </c>
      <c r="G10" s="61">
        <v>28056</v>
      </c>
      <c r="H10" s="61">
        <v>27382</v>
      </c>
      <c r="I10" s="61">
        <v>28516</v>
      </c>
      <c r="J10" s="56">
        <v>29635</v>
      </c>
      <c r="K10" s="61">
        <v>30788</v>
      </c>
      <c r="L10" s="61">
        <v>36972</v>
      </c>
      <c r="M10" s="61">
        <v>31568</v>
      </c>
      <c r="N10" s="61">
        <v>32492</v>
      </c>
      <c r="O10" s="61">
        <v>36538</v>
      </c>
      <c r="P10" s="61">
        <v>39418</v>
      </c>
      <c r="Q10" s="61">
        <v>38709</v>
      </c>
      <c r="R10" s="61">
        <v>43385</v>
      </c>
      <c r="S10" s="61">
        <v>47726</v>
      </c>
      <c r="T10" s="61">
        <v>51274</v>
      </c>
      <c r="U10" s="61">
        <v>47325</v>
      </c>
      <c r="V10" s="61">
        <v>49150</v>
      </c>
      <c r="W10" s="61">
        <v>66693</v>
      </c>
      <c r="X10" s="61">
        <v>79179</v>
      </c>
      <c r="Y10" s="61">
        <v>71881</v>
      </c>
      <c r="Z10" s="61">
        <v>70874</v>
      </c>
      <c r="AA10" s="61">
        <v>86615</v>
      </c>
      <c r="AB10" s="61">
        <v>93680</v>
      </c>
      <c r="AC10" s="77">
        <v>89107</v>
      </c>
      <c r="AD10" s="73">
        <v>112426</v>
      </c>
      <c r="AE10" s="56">
        <v>104589</v>
      </c>
      <c r="AF10" s="61">
        <v>114579</v>
      </c>
      <c r="AG10" s="61">
        <v>114680</v>
      </c>
      <c r="AH10" s="61">
        <v>125723</v>
      </c>
      <c r="AI10" s="61">
        <v>136761</v>
      </c>
      <c r="AJ10" s="61">
        <v>198298</v>
      </c>
      <c r="AK10" s="61">
        <v>192614</v>
      </c>
      <c r="AL10" s="61">
        <v>183162</v>
      </c>
      <c r="AM10" s="61">
        <v>174809</v>
      </c>
      <c r="AN10" s="61">
        <v>219541</v>
      </c>
      <c r="AO10" s="61">
        <v>161300</v>
      </c>
      <c r="AP10" s="19"/>
      <c r="AR10" s="71"/>
    </row>
    <row r="11" spans="1:50" ht="36.75" customHeight="1">
      <c r="A11" s="6"/>
      <c r="B11" s="84"/>
      <c r="C11" s="20">
        <v>1.2</v>
      </c>
      <c r="D11" s="21" t="s">
        <v>142</v>
      </c>
      <c r="E11" s="61">
        <v>9542</v>
      </c>
      <c r="F11" s="61">
        <v>11009</v>
      </c>
      <c r="G11" s="61">
        <v>9458</v>
      </c>
      <c r="H11" s="61">
        <v>9720</v>
      </c>
      <c r="I11" s="61">
        <v>10584</v>
      </c>
      <c r="J11" s="61">
        <v>9852</v>
      </c>
      <c r="K11" s="56">
        <v>10453</v>
      </c>
      <c r="L11" s="61">
        <v>10963</v>
      </c>
      <c r="M11" s="61">
        <v>13848</v>
      </c>
      <c r="N11" s="61">
        <v>13384</v>
      </c>
      <c r="O11" s="61">
        <v>17506</v>
      </c>
      <c r="P11" s="61">
        <v>20621</v>
      </c>
      <c r="Q11" s="61">
        <v>19697</v>
      </c>
      <c r="R11" s="61">
        <v>19961</v>
      </c>
      <c r="S11" s="61">
        <v>20567</v>
      </c>
      <c r="T11" s="61">
        <v>23344</v>
      </c>
      <c r="U11" s="61">
        <v>24020</v>
      </c>
      <c r="V11" s="61">
        <v>27446</v>
      </c>
      <c r="W11" s="61">
        <v>27095</v>
      </c>
      <c r="X11" s="61">
        <v>27882</v>
      </c>
      <c r="Y11" s="61">
        <v>36381</v>
      </c>
      <c r="Z11" s="61">
        <v>32891</v>
      </c>
      <c r="AA11" s="61">
        <v>30289</v>
      </c>
      <c r="AB11" s="61">
        <v>38142</v>
      </c>
      <c r="AC11" s="77">
        <v>41251</v>
      </c>
      <c r="AD11" s="73">
        <v>41259</v>
      </c>
      <c r="AE11" s="73">
        <v>39620</v>
      </c>
      <c r="AF11" s="56">
        <v>36196</v>
      </c>
      <c r="AG11" s="56">
        <v>40601</v>
      </c>
      <c r="AH11" s="56">
        <v>42352</v>
      </c>
      <c r="AI11" s="56">
        <v>45084</v>
      </c>
      <c r="AJ11" s="61">
        <v>44760</v>
      </c>
      <c r="AK11" s="61">
        <v>56867</v>
      </c>
      <c r="AL11" s="61">
        <v>60938</v>
      </c>
      <c r="AM11" s="61">
        <v>67216</v>
      </c>
      <c r="AN11" s="61">
        <v>69137</v>
      </c>
      <c r="AO11" s="61">
        <v>173685</v>
      </c>
      <c r="AP11" s="19"/>
    </row>
    <row r="12" spans="1:50" ht="36.75" customHeight="1">
      <c r="A12" s="6"/>
      <c r="B12" s="84"/>
      <c r="C12" s="20">
        <v>1.3</v>
      </c>
      <c r="D12" s="21" t="s">
        <v>143</v>
      </c>
      <c r="E12" s="61">
        <v>40926</v>
      </c>
      <c r="F12" s="61">
        <v>42268</v>
      </c>
      <c r="G12" s="61">
        <v>43581</v>
      </c>
      <c r="H12" s="61">
        <v>46172</v>
      </c>
      <c r="I12" s="61">
        <v>46585</v>
      </c>
      <c r="J12" s="61">
        <v>49098</v>
      </c>
      <c r="K12" s="61">
        <v>52629</v>
      </c>
      <c r="L12" s="61">
        <v>59726</v>
      </c>
      <c r="M12" s="61">
        <v>57913</v>
      </c>
      <c r="N12" s="61">
        <v>59958</v>
      </c>
      <c r="O12" s="61">
        <v>63015</v>
      </c>
      <c r="P12" s="61">
        <v>67657</v>
      </c>
      <c r="Q12" s="61">
        <v>71828</v>
      </c>
      <c r="R12" s="61">
        <v>74135</v>
      </c>
      <c r="S12" s="61">
        <v>78255</v>
      </c>
      <c r="T12" s="61">
        <v>90779</v>
      </c>
      <c r="U12" s="61">
        <v>95290</v>
      </c>
      <c r="V12" s="61">
        <v>113999</v>
      </c>
      <c r="W12" s="61">
        <v>126143</v>
      </c>
      <c r="X12" s="61">
        <v>144117</v>
      </c>
      <c r="Y12" s="61">
        <v>148858</v>
      </c>
      <c r="Z12" s="61">
        <v>155837</v>
      </c>
      <c r="AA12" s="61">
        <v>168618</v>
      </c>
      <c r="AB12" s="61">
        <v>176046</v>
      </c>
      <c r="AC12" s="77">
        <v>193911</v>
      </c>
      <c r="AD12" s="63">
        <v>217984</v>
      </c>
      <c r="AE12" s="61">
        <v>235673</v>
      </c>
      <c r="AF12" s="61">
        <v>272241</v>
      </c>
      <c r="AG12" s="61">
        <v>300214</v>
      </c>
      <c r="AH12" s="61">
        <v>324039</v>
      </c>
      <c r="AI12" s="61">
        <v>347071</v>
      </c>
      <c r="AJ12" s="61">
        <v>338451</v>
      </c>
      <c r="AK12" s="61">
        <v>372003</v>
      </c>
      <c r="AL12" s="61">
        <v>380354</v>
      </c>
      <c r="AM12" s="61">
        <v>393686</v>
      </c>
      <c r="AN12" s="61">
        <v>378871</v>
      </c>
      <c r="AO12" s="61">
        <v>473573</v>
      </c>
      <c r="AP12" s="19"/>
    </row>
    <row r="13" spans="1:50" ht="36.75" customHeight="1">
      <c r="A13" s="6"/>
      <c r="B13" s="84"/>
      <c r="C13" s="20">
        <v>1.4</v>
      </c>
      <c r="D13" s="21" t="s">
        <v>93</v>
      </c>
      <c r="E13" s="61">
        <v>68195</v>
      </c>
      <c r="F13" s="61">
        <v>72146</v>
      </c>
      <c r="G13" s="61">
        <v>73538</v>
      </c>
      <c r="H13" s="61">
        <v>76442</v>
      </c>
      <c r="I13" s="61">
        <v>78751</v>
      </c>
      <c r="J13" s="61">
        <v>80694</v>
      </c>
      <c r="K13" s="61">
        <v>80802</v>
      </c>
      <c r="L13" s="61">
        <v>83546</v>
      </c>
      <c r="M13" s="61">
        <v>86068</v>
      </c>
      <c r="N13" s="61">
        <v>89116</v>
      </c>
      <c r="O13" s="61">
        <v>87762</v>
      </c>
      <c r="P13" s="61">
        <v>90360</v>
      </c>
      <c r="Q13" s="61">
        <v>97130</v>
      </c>
      <c r="R13" s="61">
        <v>100282</v>
      </c>
      <c r="S13" s="61">
        <v>100618</v>
      </c>
      <c r="T13" s="61">
        <v>106186</v>
      </c>
      <c r="U13" s="61">
        <v>112326</v>
      </c>
      <c r="V13" s="61">
        <v>117890</v>
      </c>
      <c r="W13" s="61">
        <v>117299</v>
      </c>
      <c r="X13" s="61">
        <v>117057</v>
      </c>
      <c r="Y13" s="61">
        <v>126220</v>
      </c>
      <c r="Z13" s="61">
        <v>129597</v>
      </c>
      <c r="AA13" s="61">
        <v>135926</v>
      </c>
      <c r="AB13" s="61">
        <v>142321</v>
      </c>
      <c r="AC13" s="77">
        <v>155182</v>
      </c>
      <c r="AD13" s="63">
        <v>169930</v>
      </c>
      <c r="AE13" s="61">
        <v>177285</v>
      </c>
      <c r="AF13" s="61">
        <v>202780</v>
      </c>
      <c r="AG13" s="61">
        <v>224577</v>
      </c>
      <c r="AH13" s="61">
        <v>236375</v>
      </c>
      <c r="AI13" s="61">
        <v>225803</v>
      </c>
      <c r="AJ13" s="61">
        <v>225483</v>
      </c>
      <c r="AK13" s="61">
        <v>259906</v>
      </c>
      <c r="AL13" s="61">
        <v>284958</v>
      </c>
      <c r="AM13" s="61">
        <v>297275</v>
      </c>
      <c r="AN13" s="61">
        <v>328449</v>
      </c>
      <c r="AO13" s="61">
        <v>317616</v>
      </c>
      <c r="AP13" s="19"/>
    </row>
    <row r="14" spans="1:50" ht="36.75" customHeight="1">
      <c r="A14" s="6"/>
      <c r="B14" s="85"/>
      <c r="C14" s="20">
        <v>1.5</v>
      </c>
      <c r="D14" s="21" t="s">
        <v>144</v>
      </c>
      <c r="E14" s="61">
        <v>19295</v>
      </c>
      <c r="F14" s="61">
        <v>18078</v>
      </c>
      <c r="G14" s="61">
        <v>16245</v>
      </c>
      <c r="H14" s="61">
        <v>13133</v>
      </c>
      <c r="I14" s="61">
        <v>13118</v>
      </c>
      <c r="J14" s="61">
        <v>12317</v>
      </c>
      <c r="K14" s="61">
        <v>12515</v>
      </c>
      <c r="L14" s="61">
        <v>7037</v>
      </c>
      <c r="M14" s="61">
        <v>9256</v>
      </c>
      <c r="N14" s="61">
        <v>7311</v>
      </c>
      <c r="O14" s="61">
        <v>8485</v>
      </c>
      <c r="P14" s="61">
        <v>3517</v>
      </c>
      <c r="Q14" s="61">
        <v>9347</v>
      </c>
      <c r="R14" s="61">
        <v>4272</v>
      </c>
      <c r="S14" s="61">
        <v>7522</v>
      </c>
      <c r="T14" s="61">
        <v>5368</v>
      </c>
      <c r="U14" s="61">
        <v>14769</v>
      </c>
      <c r="V14" s="61">
        <v>13203</v>
      </c>
      <c r="W14" s="61">
        <v>11452</v>
      </c>
      <c r="X14" s="61">
        <v>16040</v>
      </c>
      <c r="Y14" s="61">
        <v>15000</v>
      </c>
      <c r="Z14" s="61">
        <v>15069</v>
      </c>
      <c r="AA14" s="61">
        <v>12232</v>
      </c>
      <c r="AB14" s="61">
        <v>19133</v>
      </c>
      <c r="AC14" s="77">
        <v>22025</v>
      </c>
      <c r="AD14" s="63">
        <v>20055</v>
      </c>
      <c r="AE14" s="61">
        <v>26622</v>
      </c>
      <c r="AF14" s="61">
        <v>25542</v>
      </c>
      <c r="AG14" s="61">
        <v>22939</v>
      </c>
      <c r="AH14" s="61">
        <v>34534</v>
      </c>
      <c r="AI14" s="61">
        <v>24342</v>
      </c>
      <c r="AJ14" s="61">
        <v>26440</v>
      </c>
      <c r="AK14" s="61">
        <v>12599</v>
      </c>
      <c r="AL14" s="61">
        <v>19863</v>
      </c>
      <c r="AM14" s="61">
        <v>24342</v>
      </c>
      <c r="AN14" s="61">
        <v>37702</v>
      </c>
      <c r="AO14" s="61">
        <v>39087</v>
      </c>
      <c r="AP14" s="19"/>
    </row>
    <row r="15" spans="1:50" ht="18.75" customHeight="1">
      <c r="A15" s="6"/>
      <c r="B15" s="22"/>
      <c r="C15" s="23"/>
      <c r="D15" s="24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D15" s="69"/>
      <c r="AE15" s="69"/>
      <c r="AF15" s="69"/>
      <c r="AG15" s="69"/>
      <c r="AH15" s="69"/>
      <c r="AI15" s="69"/>
      <c r="AJ15" s="69"/>
      <c r="AL15" s="69"/>
      <c r="AM15" s="69"/>
      <c r="AN15" s="69"/>
      <c r="AO15" s="69"/>
      <c r="AP15" s="9"/>
    </row>
    <row r="16" spans="1:50" ht="25.5" customHeight="1">
      <c r="A16" s="6"/>
      <c r="B16" s="83" t="s">
        <v>97</v>
      </c>
      <c r="C16" s="17" t="s">
        <v>98</v>
      </c>
      <c r="D16" s="18"/>
      <c r="E16" s="62">
        <v>9213</v>
      </c>
      <c r="F16" s="62">
        <v>9569</v>
      </c>
      <c r="G16" s="62">
        <v>10610</v>
      </c>
      <c r="H16" s="62">
        <v>10045</v>
      </c>
      <c r="I16" s="62">
        <v>11045</v>
      </c>
      <c r="J16" s="62">
        <v>11586</v>
      </c>
      <c r="K16" s="62">
        <v>11132</v>
      </c>
      <c r="L16" s="62">
        <v>11403</v>
      </c>
      <c r="M16" s="62">
        <v>11876</v>
      </c>
      <c r="N16" s="62">
        <v>11007</v>
      </c>
      <c r="O16" s="62">
        <v>11121</v>
      </c>
      <c r="P16" s="62">
        <v>11219</v>
      </c>
      <c r="Q16" s="62">
        <v>11133</v>
      </c>
      <c r="R16" s="62">
        <v>11691</v>
      </c>
      <c r="S16" s="62">
        <v>13772</v>
      </c>
      <c r="T16" s="62">
        <v>13553</v>
      </c>
      <c r="U16" s="62">
        <v>15718</v>
      </c>
      <c r="V16" s="62">
        <v>20014</v>
      </c>
      <c r="W16" s="62">
        <v>24993</v>
      </c>
      <c r="X16" s="62">
        <v>25394</v>
      </c>
      <c r="Y16" s="62">
        <v>30276</v>
      </c>
      <c r="Z16" s="62">
        <v>34039</v>
      </c>
      <c r="AA16" s="62">
        <v>39621</v>
      </c>
      <c r="AB16" s="62">
        <v>49484</v>
      </c>
      <c r="AC16" s="77">
        <v>54132</v>
      </c>
      <c r="AD16" s="62">
        <v>59038</v>
      </c>
      <c r="AE16" s="62">
        <v>67705</v>
      </c>
      <c r="AF16" s="62">
        <v>64683</v>
      </c>
      <c r="AG16" s="62">
        <v>66536</v>
      </c>
      <c r="AH16" s="62">
        <v>70896</v>
      </c>
      <c r="AI16" s="62">
        <v>88077</v>
      </c>
      <c r="AJ16" s="62">
        <v>78738</v>
      </c>
      <c r="AK16" s="69">
        <v>88590</v>
      </c>
      <c r="AL16" s="69">
        <v>120353</v>
      </c>
      <c r="AM16" s="62">
        <v>112422</v>
      </c>
      <c r="AN16" s="69">
        <v>134097</v>
      </c>
      <c r="AO16" s="62">
        <v>111767</v>
      </c>
      <c r="AP16" s="9"/>
    </row>
    <row r="17" spans="1:44" ht="36.75" customHeight="1">
      <c r="A17" s="6"/>
      <c r="B17" s="84"/>
      <c r="C17" s="20">
        <v>2.1</v>
      </c>
      <c r="D17" t="s">
        <v>145</v>
      </c>
      <c r="E17" s="61">
        <v>519</v>
      </c>
      <c r="F17" s="61">
        <v>484</v>
      </c>
      <c r="G17" s="61">
        <v>895</v>
      </c>
      <c r="H17" s="61">
        <v>686</v>
      </c>
      <c r="I17" s="61">
        <v>1080</v>
      </c>
      <c r="J17" s="61">
        <v>901</v>
      </c>
      <c r="K17" s="61">
        <v>872</v>
      </c>
      <c r="L17" s="61">
        <v>906</v>
      </c>
      <c r="M17" s="61">
        <v>1013</v>
      </c>
      <c r="N17" s="61">
        <v>887</v>
      </c>
      <c r="O17" s="61">
        <v>1052</v>
      </c>
      <c r="P17" s="61">
        <v>980</v>
      </c>
      <c r="Q17" s="61">
        <v>906</v>
      </c>
      <c r="R17" s="61">
        <v>695</v>
      </c>
      <c r="S17" s="61">
        <v>1088</v>
      </c>
      <c r="T17" s="61">
        <v>995</v>
      </c>
      <c r="U17" s="61">
        <v>712</v>
      </c>
      <c r="V17" s="61">
        <v>590</v>
      </c>
      <c r="W17" s="61">
        <v>771</v>
      </c>
      <c r="X17" s="61">
        <v>1583</v>
      </c>
      <c r="Y17" s="61">
        <v>1581</v>
      </c>
      <c r="Z17" s="61">
        <v>1550</v>
      </c>
      <c r="AA17" s="61">
        <v>1954</v>
      </c>
      <c r="AB17" s="61">
        <v>3311</v>
      </c>
      <c r="AC17" s="77">
        <v>4345</v>
      </c>
      <c r="AD17" s="61">
        <v>4868</v>
      </c>
      <c r="AE17" s="61">
        <v>4642</v>
      </c>
      <c r="AF17" s="61">
        <v>6057</v>
      </c>
      <c r="AG17" s="61">
        <v>6361</v>
      </c>
      <c r="AH17" s="61">
        <v>5101</v>
      </c>
      <c r="AI17" s="61">
        <v>2714</v>
      </c>
      <c r="AJ17" s="61">
        <v>5314</v>
      </c>
      <c r="AK17" s="61">
        <v>11439</v>
      </c>
      <c r="AL17" s="62">
        <v>6877</v>
      </c>
      <c r="AM17" s="61">
        <v>7662</v>
      </c>
      <c r="AN17" s="62">
        <v>9204</v>
      </c>
      <c r="AO17" s="61">
        <v>4231</v>
      </c>
      <c r="AP17" s="19"/>
      <c r="AR17" s="71"/>
    </row>
    <row r="18" spans="1:44" ht="36.75" customHeight="1">
      <c r="A18" s="6"/>
      <c r="B18" s="84"/>
      <c r="C18" s="20">
        <v>2.2000000000000002</v>
      </c>
      <c r="D18" t="s">
        <v>146</v>
      </c>
      <c r="E18" s="61">
        <v>708</v>
      </c>
      <c r="F18" s="61">
        <v>848</v>
      </c>
      <c r="G18" s="61">
        <v>1564</v>
      </c>
      <c r="H18" s="61">
        <v>1485</v>
      </c>
      <c r="I18" s="61">
        <v>1553</v>
      </c>
      <c r="J18" s="61">
        <v>2603</v>
      </c>
      <c r="K18" s="61">
        <v>1806</v>
      </c>
      <c r="L18" s="61">
        <v>1598</v>
      </c>
      <c r="M18" s="61">
        <v>1550</v>
      </c>
      <c r="N18" s="61">
        <v>983</v>
      </c>
      <c r="O18" s="61">
        <v>637</v>
      </c>
      <c r="P18" s="61">
        <v>805</v>
      </c>
      <c r="Q18" s="61">
        <v>606</v>
      </c>
      <c r="R18" s="61">
        <v>749</v>
      </c>
      <c r="S18" s="61">
        <v>1279</v>
      </c>
      <c r="T18" s="61">
        <v>1284</v>
      </c>
      <c r="U18" s="61">
        <v>1652</v>
      </c>
      <c r="V18" s="61">
        <v>1879</v>
      </c>
      <c r="W18" s="61">
        <v>3657</v>
      </c>
      <c r="X18" s="61">
        <v>4834</v>
      </c>
      <c r="Y18" s="61">
        <v>7072</v>
      </c>
      <c r="Z18" s="61">
        <v>5196</v>
      </c>
      <c r="AA18" s="61">
        <v>5322</v>
      </c>
      <c r="AB18" s="61">
        <v>8630</v>
      </c>
      <c r="AC18" s="77">
        <v>7530</v>
      </c>
      <c r="AD18" s="61">
        <v>8243</v>
      </c>
      <c r="AE18" s="61">
        <v>13832</v>
      </c>
      <c r="AF18" s="61">
        <v>14289</v>
      </c>
      <c r="AG18" s="61">
        <v>7319</v>
      </c>
      <c r="AH18" s="61">
        <v>11424</v>
      </c>
      <c r="AI18" s="61">
        <v>18339</v>
      </c>
      <c r="AJ18" s="61">
        <v>15591</v>
      </c>
      <c r="AK18" s="61">
        <v>33426</v>
      </c>
      <c r="AL18" s="61">
        <v>48378</v>
      </c>
      <c r="AM18" s="61">
        <v>37159</v>
      </c>
      <c r="AN18" s="61">
        <v>47951</v>
      </c>
      <c r="AO18" s="61">
        <v>35828</v>
      </c>
      <c r="AP18" s="19"/>
    </row>
    <row r="19" spans="1:44" ht="36.75" customHeight="1">
      <c r="A19" s="6"/>
      <c r="B19" s="84"/>
      <c r="C19" s="20">
        <v>2.2999999999999998</v>
      </c>
      <c r="D19" t="s">
        <v>147</v>
      </c>
      <c r="E19" s="61">
        <v>2615</v>
      </c>
      <c r="F19" s="61">
        <v>2602</v>
      </c>
      <c r="G19" s="61">
        <v>2579</v>
      </c>
      <c r="H19" s="61">
        <v>2503</v>
      </c>
      <c r="I19" s="61">
        <v>3373</v>
      </c>
      <c r="J19" s="61">
        <v>2930</v>
      </c>
      <c r="K19" s="61">
        <v>3087</v>
      </c>
      <c r="L19" s="61">
        <v>3525</v>
      </c>
      <c r="M19" s="61">
        <v>3880</v>
      </c>
      <c r="N19" s="61">
        <v>3655</v>
      </c>
      <c r="O19" s="61">
        <v>3726</v>
      </c>
      <c r="P19" s="61">
        <v>3563</v>
      </c>
      <c r="Q19" s="61">
        <v>3764</v>
      </c>
      <c r="R19" s="61">
        <v>4274</v>
      </c>
      <c r="S19" s="61">
        <v>5285</v>
      </c>
      <c r="T19" s="61">
        <v>4715</v>
      </c>
      <c r="U19" s="61">
        <v>5026</v>
      </c>
      <c r="V19" s="61">
        <v>8201</v>
      </c>
      <c r="W19" s="61">
        <v>10203</v>
      </c>
      <c r="X19" s="61">
        <v>8849</v>
      </c>
      <c r="Y19" s="61">
        <v>10117</v>
      </c>
      <c r="Z19" s="61">
        <v>13888</v>
      </c>
      <c r="AA19" s="61">
        <v>13846</v>
      </c>
      <c r="AB19" s="61">
        <v>15720</v>
      </c>
      <c r="AC19" s="77">
        <v>14999</v>
      </c>
      <c r="AD19" s="61">
        <v>17388</v>
      </c>
      <c r="AE19" s="61">
        <v>18354</v>
      </c>
      <c r="AF19" s="61">
        <v>18780</v>
      </c>
      <c r="AG19" s="61">
        <v>18632</v>
      </c>
      <c r="AH19" s="61">
        <v>24007</v>
      </c>
      <c r="AI19" s="61">
        <v>27830</v>
      </c>
      <c r="AJ19" s="61">
        <v>28580</v>
      </c>
      <c r="AK19" s="61">
        <v>22980</v>
      </c>
      <c r="AL19" s="61">
        <v>38322</v>
      </c>
      <c r="AM19" s="61">
        <v>38400</v>
      </c>
      <c r="AN19" s="61">
        <v>38077</v>
      </c>
      <c r="AO19" s="61">
        <v>49337</v>
      </c>
      <c r="AP19" s="19"/>
    </row>
    <row r="20" spans="1:44" ht="36.75" customHeight="1">
      <c r="A20" s="6"/>
      <c r="B20" s="85"/>
      <c r="C20" s="20">
        <v>2.4</v>
      </c>
      <c r="D20" t="s">
        <v>148</v>
      </c>
      <c r="E20" s="61">
        <v>5371</v>
      </c>
      <c r="F20" s="61">
        <v>5635</v>
      </c>
      <c r="G20" s="61">
        <v>5572</v>
      </c>
      <c r="H20" s="61">
        <v>5371</v>
      </c>
      <c r="I20" s="61">
        <v>5039</v>
      </c>
      <c r="J20" s="61">
        <v>5152</v>
      </c>
      <c r="K20" s="61">
        <v>5367</v>
      </c>
      <c r="L20" s="61">
        <v>5374</v>
      </c>
      <c r="M20" s="61">
        <v>5433</v>
      </c>
      <c r="N20" s="61">
        <v>5482</v>
      </c>
      <c r="O20" s="61">
        <v>5706</v>
      </c>
      <c r="P20" s="61">
        <v>5871</v>
      </c>
      <c r="Q20" s="61">
        <v>5857</v>
      </c>
      <c r="R20" s="61">
        <v>5973</v>
      </c>
      <c r="S20" s="61">
        <v>6120</v>
      </c>
      <c r="T20" s="61">
        <v>6559</v>
      </c>
      <c r="U20" s="61">
        <v>8328</v>
      </c>
      <c r="V20" s="61">
        <v>9344</v>
      </c>
      <c r="W20" s="61">
        <v>10362</v>
      </c>
      <c r="X20" s="61">
        <v>10128</v>
      </c>
      <c r="Y20" s="61">
        <v>11506</v>
      </c>
      <c r="Z20" s="61">
        <v>13405</v>
      </c>
      <c r="AA20" s="61">
        <v>18499</v>
      </c>
      <c r="AB20" s="61">
        <v>21823</v>
      </c>
      <c r="AC20" s="77">
        <v>27258</v>
      </c>
      <c r="AD20" s="61">
        <v>28539</v>
      </c>
      <c r="AE20" s="61">
        <v>30877</v>
      </c>
      <c r="AF20" s="61">
        <v>25557</v>
      </c>
      <c r="AG20" s="61">
        <v>34224</v>
      </c>
      <c r="AH20" s="61">
        <v>30364</v>
      </c>
      <c r="AI20" s="61">
        <v>39194</v>
      </c>
      <c r="AJ20" s="61">
        <v>29253</v>
      </c>
      <c r="AK20" s="61">
        <v>20745</v>
      </c>
      <c r="AL20" s="61">
        <v>26776</v>
      </c>
      <c r="AM20" s="61">
        <v>29201</v>
      </c>
      <c r="AN20" s="61">
        <v>38865</v>
      </c>
      <c r="AO20" s="61">
        <v>22371</v>
      </c>
      <c r="AP20" s="19"/>
    </row>
    <row r="21" spans="1:44" ht="12.75" customHeight="1">
      <c r="A21" s="6"/>
      <c r="B21" s="10"/>
      <c r="C21" s="25"/>
      <c r="D21" s="12"/>
      <c r="E21" s="66"/>
      <c r="F21" s="66"/>
      <c r="G21" s="66"/>
      <c r="H21" s="66"/>
      <c r="I21" s="78"/>
      <c r="J21" s="78"/>
      <c r="K21" s="78"/>
      <c r="M21" s="66"/>
      <c r="N21" s="66"/>
      <c r="O21" s="66"/>
      <c r="P21" s="66"/>
      <c r="Q21" s="66"/>
      <c r="R21" s="66"/>
      <c r="T21" s="66"/>
      <c r="U21" s="66"/>
      <c r="V21" s="66"/>
      <c r="W21" s="66"/>
      <c r="X21" s="66"/>
      <c r="Z21" s="66"/>
      <c r="AB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P21" s="9"/>
    </row>
    <row r="22" spans="1:44" ht="27" customHeight="1">
      <c r="A22" s="6"/>
      <c r="B22" s="27" t="s">
        <v>101</v>
      </c>
      <c r="C22" s="28"/>
      <c r="D22" s="27"/>
      <c r="E22" s="62">
        <v>174405</v>
      </c>
      <c r="F22" s="62">
        <v>179666</v>
      </c>
      <c r="G22" s="62">
        <v>181488</v>
      </c>
      <c r="H22" s="62">
        <v>182894</v>
      </c>
      <c r="I22" s="79">
        <v>188599</v>
      </c>
      <c r="J22" s="79">
        <v>193182</v>
      </c>
      <c r="K22" s="79">
        <v>198319</v>
      </c>
      <c r="L22" s="66">
        <v>209647</v>
      </c>
      <c r="M22" s="62">
        <v>210529</v>
      </c>
      <c r="N22" s="62">
        <v>213268</v>
      </c>
      <c r="O22" s="62">
        <v>224427</v>
      </c>
      <c r="P22" s="62">
        <v>232792</v>
      </c>
      <c r="Q22" s="62">
        <v>247844</v>
      </c>
      <c r="R22" s="62">
        <v>253726</v>
      </c>
      <c r="S22" s="66">
        <v>268460</v>
      </c>
      <c r="T22" s="62">
        <v>290504</v>
      </c>
      <c r="U22" s="62">
        <v>309448</v>
      </c>
      <c r="V22" s="62">
        <v>341702</v>
      </c>
      <c r="W22" s="62">
        <v>373675</v>
      </c>
      <c r="X22" s="62">
        <v>409669</v>
      </c>
      <c r="Y22" s="66">
        <v>428616</v>
      </c>
      <c r="Z22" s="62">
        <v>438307</v>
      </c>
      <c r="AA22" s="66">
        <v>473301</v>
      </c>
      <c r="AB22" s="62">
        <v>518806</v>
      </c>
      <c r="AC22" s="77">
        <v>555608</v>
      </c>
      <c r="AD22" s="62">
        <v>620692</v>
      </c>
      <c r="AE22" s="62">
        <v>651494</v>
      </c>
      <c r="AF22" s="62">
        <v>716021</v>
      </c>
      <c r="AG22" s="62">
        <v>769547</v>
      </c>
      <c r="AH22" s="62">
        <v>833919</v>
      </c>
      <c r="AI22" s="62">
        <v>867138</v>
      </c>
      <c r="AJ22" s="62">
        <v>912170</v>
      </c>
      <c r="AK22" s="62">
        <v>982579</v>
      </c>
      <c r="AL22" s="62">
        <v>1049628</v>
      </c>
      <c r="AM22" s="62">
        <v>1069750</v>
      </c>
      <c r="AN22" s="62">
        <v>1167797</v>
      </c>
      <c r="AO22" s="66">
        <v>1277028</v>
      </c>
      <c r="AP22" s="9"/>
      <c r="AR22" s="71"/>
    </row>
    <row r="23" spans="1:44" ht="22.5" customHeight="1">
      <c r="A23" s="6"/>
      <c r="B23" s="29"/>
      <c r="C23" s="30"/>
      <c r="D23" s="30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9"/>
    </row>
    <row r="24" spans="1:44" ht="18.75" customHeight="1">
      <c r="A24" s="6"/>
      <c r="B24" s="29" t="s">
        <v>149</v>
      </c>
      <c r="C24" s="8"/>
      <c r="D24" s="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9"/>
    </row>
    <row r="25" spans="1:44" ht="18.75" customHeight="1">
      <c r="A25" s="6"/>
      <c r="B25" s="29" t="s">
        <v>103</v>
      </c>
      <c r="C25" s="8"/>
      <c r="D25" s="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9"/>
    </row>
    <row r="26" spans="1:44" ht="21.75" customHeight="1" thickBot="1">
      <c r="A26" s="31"/>
      <c r="B26" s="29" t="s">
        <v>150</v>
      </c>
      <c r="C26" s="33"/>
      <c r="D26" s="32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34"/>
    </row>
    <row r="27" spans="1:44" ht="13.9" thickTop="1">
      <c r="AP27" s="5"/>
    </row>
    <row r="29" spans="1:44">
      <c r="E29" s="56" t="b">
        <f t="shared" ref="E29:AN29" si="0">SUM(E10:E14)=E9</f>
        <v>1</v>
      </c>
      <c r="F29" s="56" t="b">
        <f t="shared" si="0"/>
        <v>1</v>
      </c>
      <c r="G29" s="56" t="b">
        <f t="shared" si="0"/>
        <v>1</v>
      </c>
      <c r="H29" s="56" t="b">
        <f t="shared" si="0"/>
        <v>1</v>
      </c>
      <c r="I29" s="56" t="b">
        <f t="shared" si="0"/>
        <v>1</v>
      </c>
      <c r="J29" s="56" t="b">
        <f t="shared" si="0"/>
        <v>1</v>
      </c>
      <c r="K29" s="56" t="b">
        <f t="shared" si="0"/>
        <v>1</v>
      </c>
      <c r="L29" s="56" t="b">
        <f t="shared" ref="L29:O29" si="1">SUM(L10:L14)=L9</f>
        <v>1</v>
      </c>
      <c r="M29" s="56" t="b">
        <f t="shared" si="1"/>
        <v>1</v>
      </c>
      <c r="N29" s="56" t="b">
        <f t="shared" si="1"/>
        <v>1</v>
      </c>
      <c r="O29" s="56" t="b">
        <f t="shared" si="1"/>
        <v>1</v>
      </c>
      <c r="P29" s="56" t="b">
        <f t="shared" si="0"/>
        <v>1</v>
      </c>
      <c r="Q29" s="56" t="b">
        <f t="shared" ref="Q29:S29" si="2">SUM(Q10:Q14)=Q9</f>
        <v>1</v>
      </c>
      <c r="R29" s="56" t="b">
        <f t="shared" si="2"/>
        <v>1</v>
      </c>
      <c r="S29" s="56" t="b">
        <f t="shared" si="2"/>
        <v>1</v>
      </c>
      <c r="T29" s="56" t="b">
        <f t="shared" si="0"/>
        <v>1</v>
      </c>
      <c r="U29" s="56" t="b">
        <f t="shared" si="0"/>
        <v>1</v>
      </c>
      <c r="V29" s="56" t="b">
        <f t="shared" si="0"/>
        <v>1</v>
      </c>
      <c r="W29" s="56" t="b">
        <f t="shared" si="0"/>
        <v>1</v>
      </c>
      <c r="X29" s="56" t="b">
        <f>SUM(X10:X14)=X9</f>
        <v>1</v>
      </c>
      <c r="Y29" s="56" t="b">
        <f t="shared" ref="Y29" si="3">SUM(Y10:Y14)=Y9</f>
        <v>1</v>
      </c>
      <c r="Z29" s="56" t="b">
        <f t="shared" ref="Z29:AA29" si="4">SUM(Z10:Z14)=Z9</f>
        <v>1</v>
      </c>
      <c r="AA29" s="56" t="b">
        <f t="shared" si="4"/>
        <v>1</v>
      </c>
      <c r="AB29" s="56" t="b">
        <f t="shared" ref="AB29:AD29" si="5">SUM(AB10:AB14)=AB9</f>
        <v>1</v>
      </c>
      <c r="AC29" s="56" t="b">
        <f t="shared" si="5"/>
        <v>1</v>
      </c>
      <c r="AD29" s="56" t="b">
        <f t="shared" si="5"/>
        <v>1</v>
      </c>
      <c r="AE29" s="56" t="b">
        <f t="shared" ref="AE29:AG29" si="6">SUM(AE10:AE14)=AE9</f>
        <v>1</v>
      </c>
      <c r="AF29" s="56" t="b">
        <f t="shared" si="6"/>
        <v>1</v>
      </c>
      <c r="AG29" s="56" t="b">
        <f t="shared" si="6"/>
        <v>1</v>
      </c>
      <c r="AH29" s="56" t="b">
        <f t="shared" ref="AH29" si="7">SUM(AH10:AH14)=AH9</f>
        <v>1</v>
      </c>
      <c r="AI29" s="56" t="b">
        <f t="shared" ref="AI29" si="8">SUM(AI10:AI14)=AI9</f>
        <v>1</v>
      </c>
      <c r="AJ29" s="56" t="b">
        <f t="shared" si="0"/>
        <v>1</v>
      </c>
      <c r="AK29" s="56" t="b">
        <f t="shared" si="0"/>
        <v>1</v>
      </c>
      <c r="AL29" s="56" t="b">
        <f t="shared" si="0"/>
        <v>1</v>
      </c>
      <c r="AM29" s="56" t="b">
        <f t="shared" si="0"/>
        <v>1</v>
      </c>
      <c r="AN29" s="56" t="b">
        <f t="shared" si="0"/>
        <v>1</v>
      </c>
      <c r="AO29" s="56" t="b">
        <f>SUM(AO10:AO14)=AO9</f>
        <v>1</v>
      </c>
    </row>
    <row r="30" spans="1:44">
      <c r="E30" s="56" t="b">
        <f t="shared" ref="E30:AN30" si="9">+SUM(E17:E20)=E16</f>
        <v>1</v>
      </c>
      <c r="F30" s="56" t="b">
        <f t="shared" si="9"/>
        <v>1</v>
      </c>
      <c r="G30" s="56" t="b">
        <f t="shared" si="9"/>
        <v>1</v>
      </c>
      <c r="H30" s="56" t="b">
        <f t="shared" si="9"/>
        <v>1</v>
      </c>
      <c r="I30" s="56" t="b">
        <f t="shared" si="9"/>
        <v>1</v>
      </c>
      <c r="J30" s="56" t="b">
        <f t="shared" si="9"/>
        <v>1</v>
      </c>
      <c r="K30" s="56" t="b">
        <f>+SUM(K17:K20)=K16</f>
        <v>1</v>
      </c>
      <c r="L30" s="56" t="b">
        <f t="shared" ref="L30:O30" si="10">+SUM(L17:L20)=L16</f>
        <v>1</v>
      </c>
      <c r="M30" s="56" t="b">
        <f t="shared" si="10"/>
        <v>1</v>
      </c>
      <c r="N30" s="56" t="b">
        <f t="shared" si="10"/>
        <v>1</v>
      </c>
      <c r="O30" s="56" t="b">
        <f t="shared" si="10"/>
        <v>1</v>
      </c>
      <c r="P30" s="56" t="b">
        <f t="shared" si="9"/>
        <v>1</v>
      </c>
      <c r="Q30" s="56" t="b">
        <f t="shared" ref="Q30" si="11">+SUM(Q17:Q20)=Q16</f>
        <v>1</v>
      </c>
      <c r="R30" s="56" t="b">
        <f t="shared" ref="R30" si="12">+SUM(R17:R20)=R16</f>
        <v>1</v>
      </c>
      <c r="S30" s="56" t="b">
        <f t="shared" ref="S30" si="13">+SUM(S17:S20)=S16</f>
        <v>1</v>
      </c>
      <c r="T30" s="56" t="b">
        <f t="shared" si="9"/>
        <v>1</v>
      </c>
      <c r="U30" s="56" t="b">
        <f t="shared" ref="U30:W30" si="14">+SUM(U17:U20)=U16</f>
        <v>1</v>
      </c>
      <c r="V30" s="56" t="b">
        <f t="shared" si="14"/>
        <v>1</v>
      </c>
      <c r="W30" s="56" t="b">
        <f t="shared" si="14"/>
        <v>1</v>
      </c>
      <c r="X30" s="56" t="b">
        <f t="shared" ref="X30:AD30" si="15">+SUM(X17:X20)=X16</f>
        <v>1</v>
      </c>
      <c r="Y30" s="56" t="b">
        <f t="shared" si="15"/>
        <v>1</v>
      </c>
      <c r="Z30" s="56" t="b">
        <f t="shared" ref="Z30:AA30" si="16">+SUM(Z17:Z20)=Z16</f>
        <v>1</v>
      </c>
      <c r="AA30" s="56" t="b">
        <f t="shared" si="16"/>
        <v>1</v>
      </c>
      <c r="AB30" s="56" t="b">
        <f t="shared" si="15"/>
        <v>1</v>
      </c>
      <c r="AC30" s="56" t="b">
        <f t="shared" si="15"/>
        <v>1</v>
      </c>
      <c r="AD30" s="56" t="b">
        <f t="shared" si="15"/>
        <v>1</v>
      </c>
      <c r="AE30" s="56" t="b">
        <f t="shared" ref="AE30:AG30" si="17">+SUM(AE17:AE20)=AE16</f>
        <v>1</v>
      </c>
      <c r="AF30" s="56" t="b">
        <f t="shared" si="17"/>
        <v>1</v>
      </c>
      <c r="AG30" s="56" t="b">
        <f t="shared" si="17"/>
        <v>1</v>
      </c>
      <c r="AH30" s="56" t="b">
        <f t="shared" ref="AH30" si="18">+SUM(AH17:AH20)=AH16</f>
        <v>1</v>
      </c>
      <c r="AI30" s="56" t="b">
        <f t="shared" ref="AI30" si="19">+SUM(AI17:AI20)=AI16</f>
        <v>1</v>
      </c>
      <c r="AJ30" s="56" t="b">
        <f t="shared" si="9"/>
        <v>1</v>
      </c>
      <c r="AK30" s="56" t="b">
        <f t="shared" si="9"/>
        <v>1</v>
      </c>
      <c r="AL30" s="56" t="b">
        <f t="shared" si="9"/>
        <v>1</v>
      </c>
      <c r="AM30" s="56" t="b">
        <f t="shared" si="9"/>
        <v>1</v>
      </c>
      <c r="AN30" s="56" t="b">
        <f t="shared" si="9"/>
        <v>1</v>
      </c>
      <c r="AO30" s="56" t="b">
        <f>+SUM(AO17:AO20)=AO16</f>
        <v>1</v>
      </c>
    </row>
    <row r="31" spans="1:44">
      <c r="E31" s="56" t="b">
        <f t="shared" ref="E31:AN31" si="20">(SUM(E10:E14)+SUM(E17:E20))=E22</f>
        <v>1</v>
      </c>
      <c r="F31" s="56" t="b">
        <f t="shared" si="20"/>
        <v>1</v>
      </c>
      <c r="G31" s="56" t="b">
        <f t="shared" si="20"/>
        <v>1</v>
      </c>
      <c r="H31" s="56" t="b">
        <f t="shared" si="20"/>
        <v>1</v>
      </c>
      <c r="I31" s="56" t="b">
        <f t="shared" si="20"/>
        <v>1</v>
      </c>
      <c r="J31" s="56" t="b">
        <f t="shared" si="20"/>
        <v>1</v>
      </c>
      <c r="K31" s="56" t="b">
        <f t="shared" si="20"/>
        <v>1</v>
      </c>
      <c r="L31" s="56" t="b">
        <f t="shared" ref="L31:O31" si="21">(SUM(L10:L14)+SUM(L17:L20))=L22</f>
        <v>1</v>
      </c>
      <c r="M31" s="56" t="b">
        <f t="shared" si="21"/>
        <v>1</v>
      </c>
      <c r="N31" s="56" t="b">
        <f t="shared" si="21"/>
        <v>1</v>
      </c>
      <c r="O31" s="56" t="b">
        <f t="shared" si="21"/>
        <v>1</v>
      </c>
      <c r="P31" s="56" t="b">
        <f t="shared" si="20"/>
        <v>1</v>
      </c>
      <c r="Q31" s="56" t="b">
        <f t="shared" ref="Q31" si="22">(SUM(Q10:Q14)+SUM(Q17:Q20))=Q22</f>
        <v>1</v>
      </c>
      <c r="R31" s="56" t="b">
        <f t="shared" ref="R31" si="23">(SUM(R10:R14)+SUM(R17:R20))=R22</f>
        <v>1</v>
      </c>
      <c r="S31" s="56" t="b">
        <f t="shared" ref="S31" si="24">(SUM(S10:S14)+SUM(S17:S20))=S22</f>
        <v>1</v>
      </c>
      <c r="T31" s="56" t="b">
        <f t="shared" si="20"/>
        <v>1</v>
      </c>
      <c r="U31" s="56" t="b">
        <f t="shared" ref="U31:W31" si="25">(SUM(U10:U14)+SUM(U17:U20))=U22</f>
        <v>1</v>
      </c>
      <c r="V31" s="56" t="b">
        <f t="shared" si="25"/>
        <v>1</v>
      </c>
      <c r="W31" s="56" t="b">
        <f t="shared" si="25"/>
        <v>1</v>
      </c>
      <c r="X31" s="56" t="b">
        <f t="shared" ref="X31:AD31" si="26">(SUM(X10:X14)+SUM(X17:X20))=X22</f>
        <v>1</v>
      </c>
      <c r="Y31" s="56" t="b">
        <f t="shared" si="26"/>
        <v>1</v>
      </c>
      <c r="Z31" s="56" t="b">
        <f t="shared" ref="Z31:AA31" si="27">(SUM(Z10:Z14)+SUM(Z17:Z20))=Z22</f>
        <v>1</v>
      </c>
      <c r="AA31" s="56" t="b">
        <f t="shared" si="27"/>
        <v>1</v>
      </c>
      <c r="AB31" s="56" t="b">
        <f t="shared" si="26"/>
        <v>1</v>
      </c>
      <c r="AC31" s="56" t="b">
        <f t="shared" si="26"/>
        <v>1</v>
      </c>
      <c r="AD31" s="56" t="b">
        <f t="shared" si="26"/>
        <v>1</v>
      </c>
      <c r="AE31" s="56" t="b">
        <f t="shared" ref="AE31:AG31" si="28">(SUM(AE10:AE14)+SUM(AE17:AE20))=AE22</f>
        <v>1</v>
      </c>
      <c r="AF31" s="56" t="b">
        <f t="shared" si="28"/>
        <v>1</v>
      </c>
      <c r="AG31" s="56" t="b">
        <f t="shared" si="28"/>
        <v>1</v>
      </c>
      <c r="AH31" s="56" t="b">
        <f t="shared" ref="AH31" si="29">(SUM(AH10:AH14)+SUM(AH17:AH20))=AH22</f>
        <v>1</v>
      </c>
      <c r="AI31" s="56" t="b">
        <f t="shared" ref="AI31" si="30">(SUM(AI10:AI14)+SUM(AI17:AI20))=AI22</f>
        <v>1</v>
      </c>
      <c r="AJ31" s="56" t="b">
        <f t="shared" si="20"/>
        <v>1</v>
      </c>
      <c r="AK31" s="56" t="b">
        <f t="shared" si="20"/>
        <v>1</v>
      </c>
      <c r="AL31" s="56" t="b">
        <f t="shared" si="20"/>
        <v>1</v>
      </c>
      <c r="AM31" s="56" t="b">
        <f t="shared" si="20"/>
        <v>1</v>
      </c>
      <c r="AN31" s="56" t="b">
        <f t="shared" si="20"/>
        <v>1</v>
      </c>
      <c r="AO31" s="56" t="b">
        <f>(SUM(AO10:AO14)+SUM(AO17:AO20))=AO22</f>
        <v>1</v>
      </c>
    </row>
    <row r="32" spans="1:44">
      <c r="E32" s="56" t="b">
        <f t="shared" ref="E32:AN32" si="31">(E9+E16)=E22</f>
        <v>1</v>
      </c>
      <c r="F32" s="56" t="b">
        <f t="shared" si="31"/>
        <v>1</v>
      </c>
      <c r="G32" s="56" t="b">
        <f t="shared" si="31"/>
        <v>1</v>
      </c>
      <c r="H32" s="56" t="b">
        <f t="shared" si="31"/>
        <v>1</v>
      </c>
      <c r="I32" s="56" t="b">
        <f t="shared" si="31"/>
        <v>1</v>
      </c>
      <c r="J32" s="56" t="b">
        <f t="shared" si="31"/>
        <v>1</v>
      </c>
      <c r="K32" s="56" t="b">
        <f t="shared" si="31"/>
        <v>1</v>
      </c>
      <c r="L32" s="56" t="b">
        <f t="shared" ref="L32:O32" si="32">(L9+L16)=L22</f>
        <v>1</v>
      </c>
      <c r="M32" s="56" t="b">
        <f t="shared" si="32"/>
        <v>1</v>
      </c>
      <c r="N32" s="56" t="b">
        <f t="shared" si="32"/>
        <v>1</v>
      </c>
      <c r="O32" s="56" t="b">
        <f t="shared" si="32"/>
        <v>1</v>
      </c>
      <c r="P32" s="56" t="b">
        <f t="shared" si="31"/>
        <v>1</v>
      </c>
      <c r="Q32" s="56" t="b">
        <f t="shared" si="31"/>
        <v>1</v>
      </c>
      <c r="R32" s="56" t="b">
        <f t="shared" ref="R32:S32" si="33">(R9+R16)=R22</f>
        <v>1</v>
      </c>
      <c r="S32" s="56" t="b">
        <f t="shared" si="33"/>
        <v>1</v>
      </c>
      <c r="T32" s="56" t="b">
        <f t="shared" si="31"/>
        <v>1</v>
      </c>
      <c r="U32" s="56" t="b">
        <f t="shared" ref="U32:W32" si="34">(U9+U16)=U22</f>
        <v>1</v>
      </c>
      <c r="V32" s="56" t="b">
        <f t="shared" si="34"/>
        <v>1</v>
      </c>
      <c r="W32" s="56" t="b">
        <f t="shared" si="34"/>
        <v>1</v>
      </c>
      <c r="X32" s="56" t="b">
        <f t="shared" si="31"/>
        <v>1</v>
      </c>
      <c r="Y32" s="56" t="b">
        <f t="shared" si="31"/>
        <v>1</v>
      </c>
      <c r="Z32" s="56" t="b">
        <f t="shared" ref="Z32:AA32" si="35">(Z9+Z16)=Z22</f>
        <v>1</v>
      </c>
      <c r="AA32" s="56" t="b">
        <f t="shared" si="35"/>
        <v>1</v>
      </c>
      <c r="AB32" s="56" t="b">
        <f t="shared" si="31"/>
        <v>1</v>
      </c>
      <c r="AC32" s="56" t="b">
        <f t="shared" si="31"/>
        <v>1</v>
      </c>
      <c r="AD32" s="56" t="b">
        <f t="shared" si="31"/>
        <v>1</v>
      </c>
      <c r="AE32" s="56" t="b">
        <f t="shared" ref="AE32:AG32" si="36">(AE9+AE16)=AE22</f>
        <v>1</v>
      </c>
      <c r="AF32" s="56" t="b">
        <f t="shared" si="36"/>
        <v>1</v>
      </c>
      <c r="AG32" s="56" t="b">
        <f t="shared" si="36"/>
        <v>1</v>
      </c>
      <c r="AH32" s="56" t="b">
        <f t="shared" si="31"/>
        <v>1</v>
      </c>
      <c r="AI32" s="56" t="b">
        <f>(AI9+AI16)=AI22</f>
        <v>1</v>
      </c>
      <c r="AJ32" s="56" t="b">
        <f>(AJ9+AJ16)=AJ22</f>
        <v>1</v>
      </c>
      <c r="AK32" s="56" t="b">
        <f>(AK9+AK16)=AK22</f>
        <v>1</v>
      </c>
      <c r="AL32" s="56" t="b">
        <f t="shared" si="31"/>
        <v>1</v>
      </c>
      <c r="AM32" s="56" t="b">
        <f t="shared" si="31"/>
        <v>1</v>
      </c>
      <c r="AN32" s="56" t="b">
        <f t="shared" si="31"/>
        <v>1</v>
      </c>
      <c r="AO32" s="56" t="b">
        <f>(AO9+AO16)=AO22</f>
        <v>1</v>
      </c>
    </row>
  </sheetData>
  <mergeCells count="5">
    <mergeCell ref="B3:AO3"/>
    <mergeCell ref="B9:B14"/>
    <mergeCell ref="B16:B20"/>
    <mergeCell ref="B6:D6"/>
    <mergeCell ref="B7:D7"/>
  </mergeCells>
  <conditionalFormatting sqref="E31:AO32">
    <cfRule type="containsText" dxfId="4" priority="2" operator="containsText" text="FAUX">
      <formula>NOT(ISERROR(SEARCH("FAUX",E31)))</formula>
    </cfRule>
  </conditionalFormatting>
  <conditionalFormatting sqref="E29:AO30">
    <cfRule type="containsText" dxfId="3" priority="1" operator="containsText" text="FAUX">
      <formula>NOT(ISERROR(SEARCH("FAUX",E29)))</formula>
    </cfRule>
  </conditionalFormatting>
  <printOptions horizontalCentered="1"/>
  <pageMargins left="0.2" right="0.2" top="0.75" bottom="0.25" header="0.3" footer="0.3"/>
  <pageSetup paperSize="9" scale="77" orientation="landscape" r:id="rId1"/>
  <headerFooter>
    <oddHeader>&amp;L&amp;"Calibri"&amp;10&amp;K317100CBUAE Classification: Public&amp;1#</oddHeader>
    <oddFooter>&amp;C
Page 39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4CA3-CFF5-48AB-9F3D-F74B2B5F9267}">
  <dimension ref="A1:FG16"/>
  <sheetViews>
    <sheetView workbookViewId="0">
      <pane xSplit="1" topLeftCell="B1" activePane="topRight" state="frozen"/>
      <selection pane="topRight"/>
    </sheetView>
  </sheetViews>
  <sheetFormatPr defaultColWidth="11.42578125" defaultRowHeight="14.45"/>
  <cols>
    <col min="1" max="1" width="30.140625" customWidth="1"/>
  </cols>
  <sheetData>
    <row r="1" spans="1:163">
      <c r="A1" t="s">
        <v>24</v>
      </c>
      <c r="B1">
        <f>old_category!E6</f>
        <v>3</v>
      </c>
      <c r="C1">
        <f>old_category!F6</f>
        <v>6</v>
      </c>
      <c r="D1">
        <f>old_category!G6</f>
        <v>9</v>
      </c>
      <c r="E1">
        <f>old_category!H6</f>
        <v>12</v>
      </c>
      <c r="F1">
        <f>old_category!I6</f>
        <v>3</v>
      </c>
      <c r="G1">
        <f>old_category!J6</f>
        <v>6</v>
      </c>
      <c r="H1">
        <f>old_category!K6</f>
        <v>9</v>
      </c>
      <c r="I1">
        <f>old_category!L6</f>
        <v>12</v>
      </c>
      <c r="J1">
        <f>old_category!M6</f>
        <v>3</v>
      </c>
      <c r="K1">
        <f>old_category!N6</f>
        <v>6</v>
      </c>
      <c r="L1">
        <f>old_category!O6</f>
        <v>9</v>
      </c>
      <c r="M1">
        <f>old_category!P6</f>
        <v>12</v>
      </c>
      <c r="N1">
        <f>old_category!Q6</f>
        <v>3</v>
      </c>
      <c r="O1">
        <f>old_category!R6</f>
        <v>6</v>
      </c>
      <c r="P1">
        <f>old_category!S6</f>
        <v>9</v>
      </c>
      <c r="Q1">
        <f>old_category!T6</f>
        <v>12</v>
      </c>
      <c r="R1">
        <f>old_category!U6</f>
        <v>3</v>
      </c>
      <c r="S1">
        <f>old_category!V6</f>
        <v>6</v>
      </c>
      <c r="T1">
        <f>old_category!W6</f>
        <v>9</v>
      </c>
      <c r="U1">
        <f>old_category!X6</f>
        <v>12</v>
      </c>
      <c r="V1">
        <f>old_category!Y6</f>
        <v>3</v>
      </c>
      <c r="W1">
        <f>old_category!Z6</f>
        <v>6</v>
      </c>
      <c r="X1">
        <f>old_category!AA6</f>
        <v>9</v>
      </c>
      <c r="Y1">
        <f>old_category!AB6</f>
        <v>12</v>
      </c>
      <c r="Z1">
        <f>old_category!AC6</f>
        <v>3</v>
      </c>
      <c r="AA1">
        <f>old_category!AD6</f>
        <v>6</v>
      </c>
      <c r="AB1">
        <f>old_category!AE6</f>
        <v>9</v>
      </c>
      <c r="AC1">
        <f>old_category!AF6</f>
        <v>12</v>
      </c>
      <c r="AD1">
        <f>old_category!AG6</f>
        <v>3</v>
      </c>
      <c r="AE1">
        <f>old_category!AH6</f>
        <v>6</v>
      </c>
      <c r="AF1">
        <f>old_category!AI6</f>
        <v>9</v>
      </c>
      <c r="AG1">
        <f>old_category!AJ6</f>
        <v>12</v>
      </c>
      <c r="AH1">
        <f>old_category!AK6</f>
        <v>12</v>
      </c>
      <c r="AI1">
        <f>old_category!AL6</f>
        <v>12</v>
      </c>
      <c r="AJ1">
        <f>old_category!AM6</f>
        <v>12</v>
      </c>
      <c r="AK1">
        <f>old_category!AN6</f>
        <v>12</v>
      </c>
      <c r="AL1">
        <f>old_category!AO6</f>
        <v>12</v>
      </c>
      <c r="AM1">
        <v>12</v>
      </c>
      <c r="AN1">
        <f>new_category!E6</f>
        <v>12</v>
      </c>
      <c r="AO1">
        <f>new_category!F6</f>
        <v>12</v>
      </c>
      <c r="AP1">
        <f>new_category!G6</f>
        <v>12</v>
      </c>
      <c r="AQ1">
        <f>new_category!H6</f>
        <v>3</v>
      </c>
      <c r="AR1">
        <f>new_category!I6</f>
        <v>6</v>
      </c>
      <c r="AS1">
        <f>new_category!J6</f>
        <v>9</v>
      </c>
      <c r="AT1">
        <f>new_category!K6</f>
        <v>12</v>
      </c>
      <c r="AU1">
        <f>new_category!L6</f>
        <v>3</v>
      </c>
      <c r="AV1">
        <f>new_category!M6</f>
        <v>6</v>
      </c>
      <c r="AW1">
        <f>new_category!N6</f>
        <v>9</v>
      </c>
      <c r="AX1">
        <f>new_category!O6</f>
        <v>11</v>
      </c>
      <c r="AY1">
        <f>new_category!P6</f>
        <v>12</v>
      </c>
      <c r="AZ1">
        <f>new_category!Q6</f>
        <v>1</v>
      </c>
      <c r="BA1">
        <f>new_category!R6</f>
        <v>3</v>
      </c>
      <c r="BB1">
        <f>new_category!S6</f>
        <v>4</v>
      </c>
      <c r="BC1">
        <f>new_category!T6</f>
        <v>5</v>
      </c>
      <c r="BD1">
        <f>new_category!U6</f>
        <v>6</v>
      </c>
      <c r="BE1">
        <f>new_category!V6</f>
        <v>7</v>
      </c>
      <c r="BF1">
        <f>new_category!W6</f>
        <v>8</v>
      </c>
      <c r="BG1">
        <f>new_category!X6</f>
        <v>9</v>
      </c>
      <c r="BH1">
        <f>new_category!Y6</f>
        <v>10</v>
      </c>
      <c r="BI1">
        <f>new_category!Z6</f>
        <v>11</v>
      </c>
      <c r="BJ1">
        <f>new_category!AA6</f>
        <v>12</v>
      </c>
      <c r="BK1">
        <f>new_category!AB6</f>
        <v>1</v>
      </c>
      <c r="BL1">
        <f>new_category!AC6</f>
        <v>2</v>
      </c>
      <c r="BM1">
        <f>new_category!AD6</f>
        <v>3</v>
      </c>
      <c r="BN1">
        <f>new_category!AE6</f>
        <v>4</v>
      </c>
      <c r="BO1">
        <f>new_category!AF6</f>
        <v>5</v>
      </c>
      <c r="BP1">
        <f>new_category!AG6</f>
        <v>6</v>
      </c>
      <c r="BQ1">
        <f>new_category!AH6</f>
        <v>7</v>
      </c>
      <c r="BR1">
        <f>new_category!AI6</f>
        <v>8</v>
      </c>
      <c r="BS1">
        <f>new_category!AJ6</f>
        <v>9</v>
      </c>
      <c r="BT1">
        <f>new_category!AK6</f>
        <v>10</v>
      </c>
      <c r="BU1">
        <f>new_category!AL6</f>
        <v>11</v>
      </c>
      <c r="BV1">
        <f>new_category!AM6</f>
        <v>12</v>
      </c>
      <c r="BW1">
        <f>new_category!AN6</f>
        <v>1</v>
      </c>
      <c r="BX1">
        <f>new_category!AO6</f>
        <v>2</v>
      </c>
      <c r="BY1">
        <f>new_category!AP6</f>
        <v>3</v>
      </c>
      <c r="BZ1">
        <f>new_category!AQ6</f>
        <v>4</v>
      </c>
      <c r="CA1">
        <f>new_category!AR6</f>
        <v>5</v>
      </c>
      <c r="CB1">
        <f>new_category!AS6</f>
        <v>6</v>
      </c>
      <c r="CC1">
        <f>new_category!AT6</f>
        <v>7</v>
      </c>
      <c r="CD1">
        <f>new_category!AU6</f>
        <v>8</v>
      </c>
      <c r="CE1">
        <f>new_category!AV6</f>
        <v>9</v>
      </c>
      <c r="CF1">
        <f>new_category!AW6</f>
        <v>10</v>
      </c>
      <c r="CG1">
        <f>new_category!AX6</f>
        <v>11</v>
      </c>
      <c r="CH1">
        <f>new_category!AY6</f>
        <v>12</v>
      </c>
      <c r="CI1">
        <f>new_category!AZ6</f>
        <v>1</v>
      </c>
      <c r="CJ1">
        <f>new_category!BA6</f>
        <v>2</v>
      </c>
      <c r="CK1">
        <f>new_category!BB6</f>
        <v>3</v>
      </c>
      <c r="CL1">
        <f>new_category!BC6</f>
        <v>4</v>
      </c>
      <c r="CM1">
        <f>new_category!BD6</f>
        <v>5</v>
      </c>
      <c r="CN1">
        <f>new_category!BE6</f>
        <v>6</v>
      </c>
      <c r="CO1">
        <f>new_category!BF6</f>
        <v>7</v>
      </c>
      <c r="CP1">
        <f>new_category!BG6</f>
        <v>8</v>
      </c>
      <c r="CQ1">
        <f>new_category!BH6</f>
        <v>9</v>
      </c>
      <c r="CR1">
        <f>new_category!BI6</f>
        <v>10</v>
      </c>
      <c r="CS1">
        <f>new_category!BJ6</f>
        <v>11</v>
      </c>
      <c r="CT1">
        <f>new_category!BK6</f>
        <v>12</v>
      </c>
      <c r="CU1">
        <f>new_category!BL6</f>
        <v>1</v>
      </c>
      <c r="CV1">
        <f>new_category!BM6</f>
        <v>2</v>
      </c>
      <c r="CW1">
        <f>new_category!BN6</f>
        <v>3</v>
      </c>
      <c r="CX1">
        <f>new_category!BO6</f>
        <v>4</v>
      </c>
      <c r="CY1">
        <f>new_category!BP6</f>
        <v>5</v>
      </c>
      <c r="CZ1">
        <f>new_category!BQ6</f>
        <v>6</v>
      </c>
    </row>
    <row r="2" spans="1:163">
      <c r="A2" t="s">
        <v>0</v>
      </c>
      <c r="B2">
        <f>old_category!E7</f>
        <v>2001</v>
      </c>
      <c r="C2">
        <f>old_category!F7</f>
        <v>2001</v>
      </c>
      <c r="D2">
        <f>old_category!G7</f>
        <v>2001</v>
      </c>
      <c r="E2">
        <f>old_category!H7</f>
        <v>2001</v>
      </c>
      <c r="F2">
        <f>old_category!I7</f>
        <v>2002</v>
      </c>
      <c r="G2">
        <f>old_category!J7</f>
        <v>2002</v>
      </c>
      <c r="H2">
        <f>old_category!K7</f>
        <v>2002</v>
      </c>
      <c r="I2">
        <f>old_category!L7</f>
        <v>2002</v>
      </c>
      <c r="J2">
        <f>old_category!M7</f>
        <v>2003</v>
      </c>
      <c r="K2">
        <f>old_category!N7</f>
        <v>2003</v>
      </c>
      <c r="L2">
        <f>old_category!O7</f>
        <v>2003</v>
      </c>
      <c r="M2">
        <f>old_category!P7</f>
        <v>2003</v>
      </c>
      <c r="N2">
        <f>old_category!Q7</f>
        <v>2004</v>
      </c>
      <c r="O2">
        <f>old_category!R7</f>
        <v>2004</v>
      </c>
      <c r="P2">
        <f>old_category!S7</f>
        <v>2004</v>
      </c>
      <c r="Q2">
        <f>old_category!T7</f>
        <v>2004</v>
      </c>
      <c r="R2">
        <f>old_category!U7</f>
        <v>2005</v>
      </c>
      <c r="S2">
        <f>old_category!V7</f>
        <v>2005</v>
      </c>
      <c r="T2">
        <f>old_category!W7</f>
        <v>2005</v>
      </c>
      <c r="U2">
        <f>old_category!X7</f>
        <v>2005</v>
      </c>
      <c r="V2">
        <f>old_category!Y7</f>
        <v>2006</v>
      </c>
      <c r="W2">
        <f>old_category!Z7</f>
        <v>2006</v>
      </c>
      <c r="X2">
        <f>old_category!AA7</f>
        <v>2006</v>
      </c>
      <c r="Y2">
        <f>old_category!AB7</f>
        <v>2006</v>
      </c>
      <c r="Z2">
        <f>old_category!AC7</f>
        <v>2007</v>
      </c>
      <c r="AA2">
        <f>old_category!AD7</f>
        <v>2007</v>
      </c>
      <c r="AB2">
        <f>old_category!AE7</f>
        <v>2007</v>
      </c>
      <c r="AC2">
        <f>old_category!AF7</f>
        <v>2007</v>
      </c>
      <c r="AD2">
        <f>old_category!AG7</f>
        <v>2008</v>
      </c>
      <c r="AE2">
        <f>old_category!AH7</f>
        <v>2008</v>
      </c>
      <c r="AF2">
        <f>old_category!AI7</f>
        <v>2008</v>
      </c>
      <c r="AG2">
        <f>old_category!AJ7</f>
        <v>2008</v>
      </c>
      <c r="AH2">
        <f>old_category!AK7</f>
        <v>2009</v>
      </c>
      <c r="AI2">
        <f>old_category!AL7</f>
        <v>2010</v>
      </c>
      <c r="AJ2">
        <f>old_category!AM7</f>
        <v>2011</v>
      </c>
      <c r="AK2">
        <f>old_category!AN7</f>
        <v>2012</v>
      </c>
      <c r="AL2">
        <f>old_category!AO7</f>
        <v>2013</v>
      </c>
      <c r="AM2">
        <v>2014</v>
      </c>
      <c r="AN2">
        <f>new_category!E7</f>
        <v>2015</v>
      </c>
      <c r="AO2">
        <f>new_category!F7</f>
        <v>2016</v>
      </c>
      <c r="AP2">
        <f>new_category!G7</f>
        <v>2017</v>
      </c>
      <c r="AQ2">
        <f>new_category!H7</f>
        <v>2018</v>
      </c>
      <c r="AR2">
        <f>new_category!I7</f>
        <v>2018</v>
      </c>
      <c r="AS2">
        <f>new_category!J7</f>
        <v>2018</v>
      </c>
      <c r="AT2">
        <f>new_category!K7</f>
        <v>2018</v>
      </c>
      <c r="AU2">
        <f>new_category!L7</f>
        <v>2019</v>
      </c>
      <c r="AV2">
        <f>new_category!M7</f>
        <v>2019</v>
      </c>
      <c r="AW2">
        <f>new_category!N7</f>
        <v>2019</v>
      </c>
      <c r="AX2">
        <f>new_category!O7</f>
        <v>2019</v>
      </c>
      <c r="AY2">
        <f>new_category!P7</f>
        <v>2019</v>
      </c>
      <c r="AZ2">
        <f>new_category!Q7</f>
        <v>2020</v>
      </c>
      <c r="BA2">
        <f>new_category!R7</f>
        <v>2020</v>
      </c>
      <c r="BB2">
        <f>new_category!S7</f>
        <v>2020</v>
      </c>
      <c r="BC2">
        <f>new_category!T7</f>
        <v>2020</v>
      </c>
      <c r="BD2">
        <f>new_category!U7</f>
        <v>2020</v>
      </c>
      <c r="BE2">
        <f>new_category!V7</f>
        <v>2020</v>
      </c>
      <c r="BF2">
        <f>new_category!W7</f>
        <v>2020</v>
      </c>
      <c r="BG2">
        <f>new_category!X7</f>
        <v>2020</v>
      </c>
      <c r="BH2">
        <f>new_category!Y7</f>
        <v>2020</v>
      </c>
      <c r="BI2">
        <f>new_category!Z7</f>
        <v>2020</v>
      </c>
      <c r="BJ2">
        <f>new_category!AA7</f>
        <v>2020</v>
      </c>
      <c r="BK2">
        <f>new_category!AB7</f>
        <v>2021</v>
      </c>
      <c r="BL2">
        <f>new_category!AC7</f>
        <v>2021</v>
      </c>
      <c r="BM2">
        <f>new_category!AD7</f>
        <v>2021</v>
      </c>
      <c r="BN2">
        <f>new_category!AE7</f>
        <v>2021</v>
      </c>
      <c r="BO2">
        <f>new_category!AF7</f>
        <v>2021</v>
      </c>
      <c r="BP2">
        <f>new_category!AG7</f>
        <v>2021</v>
      </c>
      <c r="BQ2">
        <f>new_category!AH7</f>
        <v>2021</v>
      </c>
      <c r="BR2">
        <f>new_category!AI7</f>
        <v>2021</v>
      </c>
      <c r="BS2">
        <f>new_category!AJ7</f>
        <v>2021</v>
      </c>
      <c r="BT2">
        <f>new_category!AK7</f>
        <v>2021</v>
      </c>
      <c r="BU2">
        <f>new_category!AL7</f>
        <v>2021</v>
      </c>
      <c r="BV2">
        <f>new_category!AM7</f>
        <v>2021</v>
      </c>
      <c r="BW2">
        <f>new_category!AN7</f>
        <v>2022</v>
      </c>
      <c r="BX2">
        <f>new_category!AO7</f>
        <v>2022</v>
      </c>
      <c r="BY2">
        <f>new_category!AP7</f>
        <v>2022</v>
      </c>
      <c r="BZ2">
        <f>new_category!AQ7</f>
        <v>2022</v>
      </c>
      <c r="CA2">
        <f>new_category!AR7</f>
        <v>2022</v>
      </c>
      <c r="CB2">
        <f>new_category!AS7</f>
        <v>2022</v>
      </c>
      <c r="CC2">
        <f>new_category!AT7</f>
        <v>2022</v>
      </c>
      <c r="CD2">
        <f>new_category!AU7</f>
        <v>2022</v>
      </c>
      <c r="CE2">
        <f>new_category!AV7</f>
        <v>2022</v>
      </c>
      <c r="CF2">
        <f>new_category!AW7</f>
        <v>2022</v>
      </c>
      <c r="CG2">
        <f>new_category!AX7</f>
        <v>2022</v>
      </c>
      <c r="CH2">
        <f>new_category!AY7</f>
        <v>2022</v>
      </c>
      <c r="CI2">
        <f>new_category!AZ7</f>
        <v>2023</v>
      </c>
      <c r="CJ2">
        <f>new_category!BA7</f>
        <v>2023</v>
      </c>
      <c r="CK2">
        <f>new_category!BB7</f>
        <v>2023</v>
      </c>
      <c r="CL2">
        <f>new_category!BC7</f>
        <v>2023</v>
      </c>
      <c r="CM2">
        <f>new_category!BD7</f>
        <v>2023</v>
      </c>
      <c r="CN2">
        <f>new_category!BE7</f>
        <v>2023</v>
      </c>
      <c r="CO2">
        <f>new_category!BF7</f>
        <v>2023</v>
      </c>
      <c r="CP2">
        <f>new_category!BG7</f>
        <v>2023</v>
      </c>
      <c r="CQ2">
        <f>new_category!BH7</f>
        <v>2023</v>
      </c>
      <c r="CR2">
        <f>new_category!BI7</f>
        <v>2023</v>
      </c>
      <c r="CS2">
        <f>new_category!BJ7</f>
        <v>2023</v>
      </c>
      <c r="CT2">
        <f>new_category!BK7</f>
        <v>2023</v>
      </c>
      <c r="CU2">
        <f>new_category!BL7</f>
        <v>2024</v>
      </c>
      <c r="CV2">
        <f>new_category!BM7</f>
        <v>2024</v>
      </c>
      <c r="CW2">
        <f>new_category!BN7</f>
        <v>2024</v>
      </c>
      <c r="CX2">
        <f>new_category!BO7</f>
        <v>2024</v>
      </c>
      <c r="CY2">
        <f>new_category!BP7</f>
        <v>2024</v>
      </c>
      <c r="CZ2">
        <f>new_category!BQ7</f>
        <v>2024</v>
      </c>
    </row>
    <row r="3" spans="1:163">
      <c r="A3" t="s">
        <v>151</v>
      </c>
      <c r="B3" s="80">
        <f>old_category!E16</f>
        <v>9213</v>
      </c>
      <c r="C3" s="80">
        <f>old_category!F16</f>
        <v>9569</v>
      </c>
      <c r="D3" s="80">
        <f>old_category!G16</f>
        <v>10610</v>
      </c>
      <c r="E3" s="80">
        <f>old_category!H16</f>
        <v>10045</v>
      </c>
      <c r="F3" s="80">
        <f>old_category!I16</f>
        <v>11045</v>
      </c>
      <c r="G3" s="80">
        <f>old_category!J16</f>
        <v>11586</v>
      </c>
      <c r="H3" s="80">
        <f>old_category!K16</f>
        <v>11132</v>
      </c>
      <c r="I3" s="80">
        <f>old_category!L16</f>
        <v>11403</v>
      </c>
      <c r="J3" s="80">
        <f>old_category!M16</f>
        <v>11876</v>
      </c>
      <c r="K3" s="80">
        <f>old_category!N16</f>
        <v>11007</v>
      </c>
      <c r="L3" s="80">
        <f>old_category!O16</f>
        <v>11121</v>
      </c>
      <c r="M3" s="80">
        <f>old_category!P16</f>
        <v>11219</v>
      </c>
      <c r="N3" s="80">
        <f>old_category!Q16</f>
        <v>11133</v>
      </c>
      <c r="O3" s="80">
        <f>old_category!R16</f>
        <v>11691</v>
      </c>
      <c r="P3" s="80">
        <f>old_category!S16</f>
        <v>13772</v>
      </c>
      <c r="Q3" s="80">
        <f>old_category!T16</f>
        <v>13553</v>
      </c>
      <c r="R3" s="80">
        <f>old_category!U16</f>
        <v>15718</v>
      </c>
      <c r="S3" s="80">
        <f>old_category!V16</f>
        <v>20014</v>
      </c>
      <c r="T3" s="80">
        <f>old_category!W16</f>
        <v>24993</v>
      </c>
      <c r="U3" s="80">
        <f>old_category!X16</f>
        <v>25394</v>
      </c>
      <c r="V3" s="80">
        <f>old_category!Y16</f>
        <v>30276</v>
      </c>
      <c r="W3" s="80">
        <f>old_category!Z16</f>
        <v>34039</v>
      </c>
      <c r="X3" s="80">
        <f>old_category!AA16</f>
        <v>39621</v>
      </c>
      <c r="Y3" s="80">
        <f>old_category!AB16</f>
        <v>49484</v>
      </c>
      <c r="Z3" s="80">
        <f>old_category!AC16</f>
        <v>54132</v>
      </c>
      <c r="AA3" s="80">
        <f>old_category!AD16</f>
        <v>59038</v>
      </c>
      <c r="AB3" s="80">
        <f>old_category!AE16</f>
        <v>67705</v>
      </c>
      <c r="AC3" s="80">
        <f>old_category!AF16</f>
        <v>64683</v>
      </c>
      <c r="AD3" s="80">
        <f>old_category!AG16</f>
        <v>66536</v>
      </c>
      <c r="AE3" s="80">
        <f>old_category!AH16</f>
        <v>70896</v>
      </c>
      <c r="AF3" s="80">
        <f>old_category!AI16</f>
        <v>88077</v>
      </c>
      <c r="AG3" s="80">
        <f>old_category!AJ16</f>
        <v>78738</v>
      </c>
      <c r="AH3" s="80">
        <f>old_category!AK16</f>
        <v>88590</v>
      </c>
      <c r="AI3" s="80">
        <f>old_category!AL16</f>
        <v>120353</v>
      </c>
      <c r="AJ3" s="80">
        <f>old_category!AM16</f>
        <v>112422</v>
      </c>
      <c r="AK3" s="80">
        <f>old_category!AN16</f>
        <v>134097</v>
      </c>
      <c r="AL3" s="80">
        <f>old_category!AO16</f>
        <v>111767</v>
      </c>
      <c r="AM3" s="80">
        <v>154000</v>
      </c>
      <c r="AN3" s="80">
        <f>new_category!E16</f>
        <v>171492</v>
      </c>
      <c r="AO3" s="80">
        <f>new_category!F16</f>
        <v>199050</v>
      </c>
      <c r="AP3" s="80">
        <f>new_category!G16</f>
        <v>191677</v>
      </c>
      <c r="AQ3" s="80">
        <f>new_category!H16</f>
        <v>189451</v>
      </c>
      <c r="AR3" s="80">
        <f>new_category!I16</f>
        <v>190121</v>
      </c>
      <c r="AS3" s="80">
        <f>new_category!J16</f>
        <v>205439</v>
      </c>
      <c r="AT3" s="80">
        <f>new_category!K16</f>
        <v>213413</v>
      </c>
      <c r="AU3" s="80">
        <f>new_category!L16</f>
        <v>208168</v>
      </c>
      <c r="AV3" s="80">
        <f>new_category!M16</f>
        <v>196709</v>
      </c>
      <c r="AW3" s="80">
        <f>new_category!N16</f>
        <v>189771</v>
      </c>
      <c r="AX3" s="80">
        <f>new_category!O16</f>
        <v>204399</v>
      </c>
      <c r="AY3" s="80">
        <f>new_category!P16</f>
        <v>221372</v>
      </c>
      <c r="AZ3" s="80">
        <f>new_category!Q16</f>
        <v>210355</v>
      </c>
      <c r="BA3" s="80">
        <f>new_category!R16</f>
        <v>216751</v>
      </c>
      <c r="BB3" s="80">
        <f>new_category!S16</f>
        <v>210355</v>
      </c>
      <c r="BC3" s="80">
        <f>new_category!T16</f>
        <v>202881</v>
      </c>
      <c r="BD3" s="80">
        <f>new_category!U16</f>
        <v>200368</v>
      </c>
      <c r="BE3" s="80">
        <f>new_category!V16</f>
        <v>197001</v>
      </c>
      <c r="BF3" s="80">
        <f>new_category!W16</f>
        <v>189966</v>
      </c>
      <c r="BG3" s="80">
        <f>new_category!X16</f>
        <v>191347</v>
      </c>
      <c r="BH3" s="80">
        <f>new_category!Y16</f>
        <v>197025</v>
      </c>
      <c r="BI3" s="80">
        <f>new_category!Z16</f>
        <v>196457</v>
      </c>
      <c r="BJ3" s="80">
        <f>new_category!AA16</f>
        <v>202443</v>
      </c>
      <c r="BK3" s="80">
        <f>new_category!AB16</f>
        <v>198152</v>
      </c>
      <c r="BL3" s="80">
        <f>new_category!AC16</f>
        <v>201164</v>
      </c>
      <c r="BM3" s="80">
        <f>new_category!AD16</f>
        <v>203514</v>
      </c>
      <c r="BN3" s="80">
        <f>new_category!AE16</f>
        <v>211178</v>
      </c>
      <c r="BO3" s="80">
        <f>new_category!AF16</f>
        <v>214440</v>
      </c>
      <c r="BP3" s="80">
        <f>new_category!AG16</f>
        <v>225711</v>
      </c>
      <c r="BQ3" s="80">
        <f>new_category!AH16</f>
        <v>230997</v>
      </c>
      <c r="BR3" s="80">
        <f>new_category!AI16</f>
        <v>234491</v>
      </c>
      <c r="BS3" s="80">
        <f>new_category!AJ16</f>
        <v>243156</v>
      </c>
      <c r="BT3" s="80">
        <f>new_category!AK16</f>
        <v>238979</v>
      </c>
      <c r="BU3" s="80">
        <f>new_category!AL16</f>
        <v>229747</v>
      </c>
      <c r="BV3" s="80">
        <f>new_category!AM16</f>
        <v>230994</v>
      </c>
      <c r="BW3" s="80">
        <f>new_category!AN16</f>
        <v>220481</v>
      </c>
      <c r="BX3" s="80">
        <f>new_category!AO16</f>
        <v>217490</v>
      </c>
      <c r="BY3" s="80">
        <f>new_category!AP16</f>
        <v>214802</v>
      </c>
      <c r="BZ3" s="80">
        <f>new_category!AQ16</f>
        <v>246536</v>
      </c>
      <c r="CA3" s="80">
        <f>new_category!AR16</f>
        <v>243500</v>
      </c>
      <c r="CB3" s="80">
        <f>new_category!AS16</f>
        <v>248384</v>
      </c>
      <c r="CC3" s="80">
        <f>new_category!AT16</f>
        <v>256283</v>
      </c>
      <c r="CD3" s="80">
        <f>new_category!AU16</f>
        <v>238251</v>
      </c>
      <c r="CE3" s="80">
        <f>new_category!AV16</f>
        <v>228614</v>
      </c>
      <c r="CF3" s="80">
        <f>new_category!AW16</f>
        <v>238313</v>
      </c>
      <c r="CG3" s="80">
        <f>new_category!AX16</f>
        <v>223537</v>
      </c>
      <c r="CH3" s="80">
        <f>new_category!AY16</f>
        <v>212530</v>
      </c>
      <c r="CI3" s="80">
        <f>new_category!AZ16</f>
        <v>212859</v>
      </c>
      <c r="CJ3" s="80">
        <f>new_category!BA16</f>
        <v>208716</v>
      </c>
      <c r="CK3" s="80">
        <f>new_category!BB16</f>
        <v>213355</v>
      </c>
      <c r="CL3" s="80">
        <f>new_category!BC16</f>
        <v>215440</v>
      </c>
      <c r="CM3" s="80">
        <f>new_category!BD16</f>
        <v>239303</v>
      </c>
      <c r="CN3" s="80">
        <f>new_category!BE16</f>
        <v>211148</v>
      </c>
      <c r="CO3" s="80">
        <f>new_category!BF16</f>
        <v>202966</v>
      </c>
      <c r="CP3" s="80">
        <f>new_category!BG16</f>
        <v>211360</v>
      </c>
      <c r="CQ3" s="80">
        <f>new_category!BH16</f>
        <v>190100</v>
      </c>
      <c r="CR3" s="80">
        <f>new_category!BI16</f>
        <v>204134</v>
      </c>
      <c r="CS3" s="80">
        <f>new_category!BJ16</f>
        <v>185134</v>
      </c>
      <c r="CT3" s="80">
        <f>new_category!BK16</f>
        <v>202047</v>
      </c>
      <c r="CU3" s="80">
        <f>new_category!BL16</f>
        <v>197897</v>
      </c>
      <c r="CV3" s="80">
        <f>new_category!BM16</f>
        <v>207669</v>
      </c>
      <c r="CW3" s="80">
        <f>new_category!BN16</f>
        <v>220931</v>
      </c>
      <c r="CX3" s="80">
        <f>new_category!BO16</f>
        <v>214424</v>
      </c>
      <c r="CY3" s="80">
        <f>new_category!BP16</f>
        <v>204650</v>
      </c>
      <c r="CZ3" s="80">
        <f>new_category!BQ16</f>
        <v>221821.5</v>
      </c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</row>
    <row r="4" spans="1:163">
      <c r="A4" t="s">
        <v>152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16</v>
      </c>
      <c r="Z4" t="s">
        <v>16</v>
      </c>
      <c r="AA4" t="s">
        <v>16</v>
      </c>
      <c r="AB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t="s">
        <v>16</v>
      </c>
      <c r="AM4" t="s">
        <v>16</v>
      </c>
      <c r="AN4" s="80">
        <f>new_category!E17</f>
        <v>72807</v>
      </c>
      <c r="AO4" s="80">
        <f>new_category!F17</f>
        <v>88352</v>
      </c>
      <c r="AP4" s="80">
        <f>new_category!G17</f>
        <v>88310</v>
      </c>
      <c r="AQ4" s="80">
        <f>new_category!H17</f>
        <v>79909</v>
      </c>
      <c r="AR4" s="80">
        <f>new_category!I17</f>
        <v>80202</v>
      </c>
      <c r="AS4" s="80">
        <f>new_category!J17</f>
        <v>86543</v>
      </c>
      <c r="AT4" s="80">
        <f>new_category!K17</f>
        <v>91889</v>
      </c>
      <c r="AU4" s="80">
        <f>new_category!L17</f>
        <v>85899</v>
      </c>
      <c r="AV4" s="80">
        <f>new_category!M17</f>
        <v>88662</v>
      </c>
      <c r="AW4" s="80">
        <f>new_category!N17</f>
        <v>85012</v>
      </c>
      <c r="AX4" s="80">
        <f>new_category!O17</f>
        <v>84337</v>
      </c>
      <c r="AY4" s="80">
        <f>new_category!P17</f>
        <v>87964</v>
      </c>
      <c r="AZ4" s="80">
        <f>new_category!Q17</f>
        <v>83172</v>
      </c>
      <c r="BA4" s="80">
        <f>new_category!R17</f>
        <v>91844</v>
      </c>
      <c r="BB4" s="80">
        <f>new_category!S17</f>
        <v>85242</v>
      </c>
      <c r="BC4" s="80">
        <f>new_category!T17</f>
        <v>83790</v>
      </c>
      <c r="BD4" s="80">
        <f>new_category!U17</f>
        <v>73495</v>
      </c>
      <c r="BE4" s="80">
        <f>new_category!V17</f>
        <v>73140</v>
      </c>
      <c r="BF4" s="80">
        <f>new_category!W17</f>
        <v>74433</v>
      </c>
      <c r="BG4" s="80">
        <f>new_category!X17</f>
        <v>73341</v>
      </c>
      <c r="BH4" s="80">
        <f>new_category!Y17</f>
        <v>70632</v>
      </c>
      <c r="BI4" s="80">
        <f>new_category!Z17</f>
        <v>71651</v>
      </c>
      <c r="BJ4" s="80">
        <f>new_category!AA17</f>
        <v>72250</v>
      </c>
      <c r="BK4" s="80">
        <f>new_category!AB17</f>
        <v>69773</v>
      </c>
      <c r="BL4" s="80">
        <f>new_category!AC17</f>
        <v>69780</v>
      </c>
      <c r="BM4" s="80">
        <f>new_category!AD17</f>
        <v>69533</v>
      </c>
      <c r="BN4" s="80">
        <f>new_category!AE17</f>
        <v>72724</v>
      </c>
      <c r="BO4" s="80">
        <f>new_category!AF17</f>
        <v>78506</v>
      </c>
      <c r="BP4" s="80">
        <f>new_category!AG17</f>
        <v>80330</v>
      </c>
      <c r="BQ4" s="80">
        <f>new_category!AH17</f>
        <v>79866</v>
      </c>
      <c r="BR4" s="80">
        <f>new_category!AI17</f>
        <v>82086</v>
      </c>
      <c r="BS4" s="80">
        <f>new_category!AJ17</f>
        <v>82932</v>
      </c>
      <c r="BT4" s="80">
        <f>new_category!AK17</f>
        <v>83026</v>
      </c>
      <c r="BU4" s="80">
        <f>new_category!AL17</f>
        <v>81287</v>
      </c>
      <c r="BV4" s="80">
        <f>new_category!AM17</f>
        <v>82170</v>
      </c>
      <c r="BW4" s="80">
        <f>new_category!AN17</f>
        <v>88124</v>
      </c>
      <c r="BX4" s="80">
        <f>new_category!AO17</f>
        <v>86540</v>
      </c>
      <c r="BY4" s="80">
        <f>new_category!AP17</f>
        <v>92340</v>
      </c>
      <c r="BZ4" s="80">
        <f>new_category!AQ17</f>
        <v>120726</v>
      </c>
      <c r="CA4" s="80">
        <f>new_category!AR17</f>
        <v>123118</v>
      </c>
      <c r="CB4" s="80">
        <f>new_category!AS17</f>
        <v>138302</v>
      </c>
      <c r="CC4" s="80">
        <f>new_category!AT17</f>
        <v>138693</v>
      </c>
      <c r="CD4" s="80">
        <f>new_category!AU17</f>
        <v>122263</v>
      </c>
      <c r="CE4" s="80">
        <f>new_category!AV17</f>
        <v>119744</v>
      </c>
      <c r="CF4" s="80">
        <f>new_category!AW17</f>
        <v>132719</v>
      </c>
      <c r="CG4" s="80">
        <f>new_category!AX17</f>
        <v>116203</v>
      </c>
      <c r="CH4" s="80">
        <f>new_category!AY17</f>
        <v>103101</v>
      </c>
      <c r="CI4" s="80">
        <f>new_category!AZ17</f>
        <v>103291</v>
      </c>
      <c r="CJ4" s="80">
        <f>new_category!BA17</f>
        <v>101881</v>
      </c>
      <c r="CK4" s="80">
        <f>new_category!BB17</f>
        <v>107722</v>
      </c>
      <c r="CL4" s="80">
        <f>new_category!BC17</f>
        <v>104053</v>
      </c>
      <c r="CM4" s="80">
        <f>new_category!BD17</f>
        <v>137011</v>
      </c>
      <c r="CN4" s="80">
        <f>new_category!BE17</f>
        <v>111929</v>
      </c>
      <c r="CO4" s="80">
        <f>new_category!BF17</f>
        <v>95515</v>
      </c>
      <c r="CP4" s="80">
        <f>new_category!BG17</f>
        <v>103479</v>
      </c>
      <c r="CQ4" s="80">
        <f>new_category!BH17</f>
        <v>105083</v>
      </c>
      <c r="CR4" s="80">
        <f>new_category!BI17</f>
        <v>119142</v>
      </c>
      <c r="CS4" s="80">
        <f>new_category!BJ17</f>
        <v>109572</v>
      </c>
      <c r="CT4" s="80">
        <f>new_category!BK17</f>
        <v>110387</v>
      </c>
      <c r="CU4" s="80">
        <f>new_category!BL17</f>
        <v>103281</v>
      </c>
      <c r="CV4" s="80">
        <f>new_category!BM17</f>
        <v>106829</v>
      </c>
      <c r="CW4" s="80">
        <f>new_category!BN17</f>
        <v>117576</v>
      </c>
      <c r="CX4" s="80">
        <f>new_category!BO17</f>
        <v>108766</v>
      </c>
      <c r="CY4" s="80">
        <f>new_category!BP17</f>
        <v>103087</v>
      </c>
      <c r="CZ4" s="80">
        <f>new_category!BQ17</f>
        <v>112305.8</v>
      </c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</row>
    <row r="5" spans="1:163">
      <c r="A5" t="s">
        <v>153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16</v>
      </c>
      <c r="AN5" s="80">
        <f>new_category!E18</f>
        <v>57606</v>
      </c>
      <c r="AO5" s="80">
        <f>new_category!F18</f>
        <v>70150</v>
      </c>
      <c r="AP5" s="80">
        <f>new_category!G18</f>
        <v>66096</v>
      </c>
      <c r="AQ5" s="80">
        <f>new_category!H18</f>
        <v>70078</v>
      </c>
      <c r="AR5" s="80">
        <f>new_category!I18</f>
        <v>64645</v>
      </c>
      <c r="AS5" s="80">
        <f>new_category!J18</f>
        <v>71618</v>
      </c>
      <c r="AT5" s="80">
        <f>new_category!K18</f>
        <v>68637</v>
      </c>
      <c r="AU5" s="80">
        <f>new_category!L18</f>
        <v>67963</v>
      </c>
      <c r="AV5" s="80">
        <f>new_category!M18</f>
        <v>63053</v>
      </c>
      <c r="AW5" s="80">
        <f>new_category!N18</f>
        <v>61608</v>
      </c>
      <c r="AX5" s="80">
        <f>new_category!O18</f>
        <v>75532</v>
      </c>
      <c r="AY5" s="80">
        <f>new_category!P18</f>
        <v>84026</v>
      </c>
      <c r="AZ5" s="80">
        <f>new_category!Q18</f>
        <v>76157</v>
      </c>
      <c r="BA5" s="80">
        <f>new_category!R18</f>
        <v>79707</v>
      </c>
      <c r="BB5" s="80">
        <f>new_category!S18</f>
        <v>80699</v>
      </c>
      <c r="BC5" s="80">
        <f>new_category!T18</f>
        <v>78314</v>
      </c>
      <c r="BD5" s="80">
        <f>new_category!U18</f>
        <v>75382</v>
      </c>
      <c r="BE5" s="80">
        <f>new_category!V18</f>
        <v>71597</v>
      </c>
      <c r="BF5" s="80">
        <f>new_category!W18</f>
        <v>73210</v>
      </c>
      <c r="BG5" s="80">
        <f>new_category!X18</f>
        <v>71676</v>
      </c>
      <c r="BH5" s="80">
        <f>new_category!Y18</f>
        <v>82847</v>
      </c>
      <c r="BI5" s="80">
        <f>new_category!Z18</f>
        <v>80767</v>
      </c>
      <c r="BJ5" s="80">
        <f>new_category!AA18</f>
        <v>84421</v>
      </c>
      <c r="BK5" s="80">
        <f>new_category!AB18</f>
        <v>79678</v>
      </c>
      <c r="BL5" s="80">
        <f>new_category!AC18</f>
        <v>78332</v>
      </c>
      <c r="BM5" s="80">
        <f>new_category!AD18</f>
        <v>86340</v>
      </c>
      <c r="BN5" s="80">
        <f>new_category!AE18</f>
        <v>83376</v>
      </c>
      <c r="BO5" s="80">
        <f>new_category!AF18</f>
        <v>83623</v>
      </c>
      <c r="BP5" s="80">
        <f>new_category!AG18</f>
        <v>81501</v>
      </c>
      <c r="BQ5" s="80">
        <f>new_category!AH18</f>
        <v>86415</v>
      </c>
      <c r="BR5" s="80">
        <f>new_category!AI18</f>
        <v>91963</v>
      </c>
      <c r="BS5" s="80">
        <f>new_category!AJ18</f>
        <v>97606</v>
      </c>
      <c r="BT5" s="80">
        <f>new_category!AK18</f>
        <v>94926</v>
      </c>
      <c r="BU5" s="80">
        <f>new_category!AL18</f>
        <v>90043</v>
      </c>
      <c r="BV5" s="80">
        <f>new_category!AM18</f>
        <v>86020</v>
      </c>
      <c r="BW5" s="80">
        <f>new_category!AN18</f>
        <v>71720</v>
      </c>
      <c r="BX5" s="80">
        <f>new_category!AO18</f>
        <v>64537</v>
      </c>
      <c r="BY5" s="80">
        <f>new_category!AP18</f>
        <v>63642</v>
      </c>
      <c r="BZ5" s="80">
        <f>new_category!AQ18</f>
        <v>58035</v>
      </c>
      <c r="CA5" s="80">
        <f>new_category!AR18</f>
        <v>52110</v>
      </c>
      <c r="CB5" s="80">
        <f>new_category!AS18</f>
        <v>49497</v>
      </c>
      <c r="CC5" s="80">
        <f>new_category!AT18</f>
        <v>49635</v>
      </c>
      <c r="CD5" s="80">
        <f>new_category!AU18</f>
        <v>44690</v>
      </c>
      <c r="CE5" s="80">
        <f>new_category!AV18</f>
        <v>40588</v>
      </c>
      <c r="CF5" s="80">
        <f>new_category!AW18</f>
        <v>41779</v>
      </c>
      <c r="CG5" s="80">
        <f>new_category!AX18</f>
        <v>40565</v>
      </c>
      <c r="CH5" s="80">
        <f>new_category!AY18</f>
        <v>41171</v>
      </c>
      <c r="CI5" s="80">
        <f>new_category!AZ18</f>
        <v>39496</v>
      </c>
      <c r="CJ5" s="80">
        <f>new_category!BA18</f>
        <v>38922</v>
      </c>
      <c r="CK5" s="80">
        <f>new_category!BB18</f>
        <v>37317</v>
      </c>
      <c r="CL5" s="80">
        <f>new_category!BC18</f>
        <v>39912</v>
      </c>
      <c r="CM5" s="80">
        <f>new_category!BD18</f>
        <v>36666</v>
      </c>
      <c r="CN5" s="80">
        <f>new_category!BE18</f>
        <v>35833</v>
      </c>
      <c r="CO5" s="80">
        <f>new_category!BF18</f>
        <v>39800</v>
      </c>
      <c r="CP5" s="80">
        <f>new_category!BG18</f>
        <v>38551</v>
      </c>
      <c r="CQ5" s="80">
        <f>new_category!BH18</f>
        <v>30326</v>
      </c>
      <c r="CR5" s="80">
        <f>new_category!BI18</f>
        <v>28249</v>
      </c>
      <c r="CS5" s="80">
        <f>new_category!BJ18</f>
        <v>22889</v>
      </c>
      <c r="CT5" s="80">
        <f>new_category!BK18</f>
        <v>23766</v>
      </c>
      <c r="CU5" s="80">
        <f>new_category!BL18</f>
        <v>24220</v>
      </c>
      <c r="CV5" s="80">
        <f>new_category!BM18</f>
        <v>24065</v>
      </c>
      <c r="CW5" s="80">
        <f>new_category!BN18</f>
        <v>27514</v>
      </c>
      <c r="CX5" s="80">
        <f>new_category!BO18</f>
        <v>27724</v>
      </c>
      <c r="CY5" s="80">
        <f>new_category!BP18</f>
        <v>33250</v>
      </c>
      <c r="CZ5" s="80">
        <f>new_category!BQ18</f>
        <v>36024.800000000003</v>
      </c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</row>
    <row r="6" spans="1:163">
      <c r="A6" t="s">
        <v>154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s="80">
        <f>new_category!E19</f>
        <v>27492</v>
      </c>
      <c r="AO6" s="80">
        <f>new_category!F19</f>
        <v>28084</v>
      </c>
      <c r="AP6" s="80">
        <f>new_category!G19</f>
        <v>26497</v>
      </c>
      <c r="AQ6" s="80">
        <f>new_category!H19</f>
        <v>25680</v>
      </c>
      <c r="AR6" s="80">
        <f>new_category!I19</f>
        <v>24937</v>
      </c>
      <c r="AS6" s="80">
        <f>new_category!J19</f>
        <v>24951</v>
      </c>
      <c r="AT6" s="80">
        <f>new_category!K19</f>
        <v>25932</v>
      </c>
      <c r="AU6" s="80">
        <f>new_category!L19</f>
        <v>25920</v>
      </c>
      <c r="AV6" s="80">
        <f>new_category!M19</f>
        <v>25413</v>
      </c>
      <c r="AW6" s="80">
        <f>new_category!N19</f>
        <v>24876</v>
      </c>
      <c r="AX6" s="80">
        <f>new_category!O19</f>
        <v>25187</v>
      </c>
      <c r="AY6" s="80">
        <f>new_category!P19</f>
        <v>24867</v>
      </c>
      <c r="AZ6" s="80">
        <f>new_category!Q19</f>
        <v>24547</v>
      </c>
      <c r="BA6" s="80">
        <f>new_category!R19</f>
        <v>23952</v>
      </c>
      <c r="BB6" s="80">
        <f>new_category!S19</f>
        <v>23631</v>
      </c>
      <c r="BC6" s="80">
        <f>new_category!T19</f>
        <v>23880</v>
      </c>
      <c r="BD6" s="80">
        <f>new_category!U19</f>
        <v>23781</v>
      </c>
      <c r="BE6" s="80">
        <f>new_category!V19</f>
        <v>24188</v>
      </c>
      <c r="BF6" s="80">
        <f>new_category!W19</f>
        <v>24347</v>
      </c>
      <c r="BG6" s="80">
        <f>new_category!X19</f>
        <v>24382</v>
      </c>
      <c r="BH6" s="80">
        <f>new_category!Y19</f>
        <v>24454</v>
      </c>
      <c r="BI6" s="80">
        <f>new_category!Z19</f>
        <v>24417</v>
      </c>
      <c r="BJ6" s="80">
        <f>new_category!AA19</f>
        <v>24604</v>
      </c>
      <c r="BK6" s="80">
        <f>new_category!AB19</f>
        <v>24754</v>
      </c>
      <c r="BL6" s="80">
        <f>new_category!AC19</f>
        <v>25097</v>
      </c>
      <c r="BM6" s="80">
        <f>new_category!AD19</f>
        <v>24881</v>
      </c>
      <c r="BN6" s="80">
        <f>new_category!AE19</f>
        <v>24990</v>
      </c>
      <c r="BO6" s="80">
        <f>new_category!AF19</f>
        <v>25056</v>
      </c>
      <c r="BP6" s="80">
        <f>new_category!AG19</f>
        <v>24638</v>
      </c>
      <c r="BQ6" s="80">
        <f>new_category!AH19</f>
        <v>24814</v>
      </c>
      <c r="BR6" s="80">
        <f>new_category!AI19</f>
        <v>24899</v>
      </c>
      <c r="BS6" s="80">
        <f>new_category!AJ19</f>
        <v>25665</v>
      </c>
      <c r="BT6" s="80">
        <f>new_category!AK19</f>
        <v>25273</v>
      </c>
      <c r="BU6" s="80">
        <f>new_category!AL19</f>
        <v>26656</v>
      </c>
      <c r="BV6" s="80">
        <f>new_category!AM19</f>
        <v>26261</v>
      </c>
      <c r="BW6" s="80">
        <f>new_category!AN19</f>
        <v>26067</v>
      </c>
      <c r="BX6" s="80">
        <f>new_category!AO19</f>
        <v>26624</v>
      </c>
      <c r="BY6" s="80">
        <f>new_category!AP19</f>
        <v>27377</v>
      </c>
      <c r="BZ6" s="80">
        <f>new_category!AQ19</f>
        <v>28121</v>
      </c>
      <c r="CA6" s="80">
        <f>new_category!AR19</f>
        <v>29340</v>
      </c>
      <c r="CB6" s="80">
        <f>new_category!AS19</f>
        <v>29372</v>
      </c>
      <c r="CC6" s="80">
        <f>new_category!AT19</f>
        <v>30136</v>
      </c>
      <c r="CD6" s="80">
        <f>new_category!AU19</f>
        <v>30543</v>
      </c>
      <c r="CE6" s="80">
        <f>new_category!AV19</f>
        <v>31077</v>
      </c>
      <c r="CF6" s="80">
        <f>new_category!AW19</f>
        <v>32008</v>
      </c>
      <c r="CG6" s="80">
        <f>new_category!AX19</f>
        <v>33110</v>
      </c>
      <c r="CH6" s="80">
        <f>new_category!AY19</f>
        <v>33475</v>
      </c>
      <c r="CI6" s="80">
        <f>new_category!AZ19</f>
        <v>34226</v>
      </c>
      <c r="CJ6" s="80">
        <f>new_category!BA19</f>
        <v>33627</v>
      </c>
      <c r="CK6" s="80">
        <f>new_category!BB19</f>
        <v>35104</v>
      </c>
      <c r="CL6" s="80">
        <f>new_category!BC19</f>
        <v>37019</v>
      </c>
      <c r="CM6" s="80">
        <f>new_category!BD19</f>
        <v>36873</v>
      </c>
      <c r="CN6" s="80">
        <f>new_category!BE19</f>
        <v>37930</v>
      </c>
      <c r="CO6" s="80">
        <f>new_category!BF19</f>
        <v>37255</v>
      </c>
      <c r="CP6" s="80">
        <f>new_category!BG19</f>
        <v>37275</v>
      </c>
      <c r="CQ6" s="80">
        <f>new_category!BH19</f>
        <v>37683</v>
      </c>
      <c r="CR6" s="80">
        <f>new_category!BI19</f>
        <v>39027</v>
      </c>
      <c r="CS6" s="80">
        <f>new_category!BJ19</f>
        <v>38450</v>
      </c>
      <c r="CT6" s="80">
        <f>new_category!BK19</f>
        <v>38960</v>
      </c>
      <c r="CU6" s="80">
        <f>new_category!BL19</f>
        <v>39446</v>
      </c>
      <c r="CV6" s="80">
        <f>new_category!BM19</f>
        <v>39093</v>
      </c>
      <c r="CW6" s="80">
        <f>new_category!BN19</f>
        <v>39130</v>
      </c>
      <c r="CX6" s="80">
        <f>new_category!BO19</f>
        <v>38880</v>
      </c>
      <c r="CY6" s="80">
        <f>new_category!BP19</f>
        <v>39488</v>
      </c>
      <c r="CZ6" s="80">
        <f>new_category!BQ19</f>
        <v>40392.199999999997</v>
      </c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</row>
    <row r="7" spans="1:163">
      <c r="A7" t="s">
        <v>155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s="80">
        <f>new_category!E20</f>
        <v>13587</v>
      </c>
      <c r="AO7" s="80">
        <f>new_category!F20</f>
        <v>12464</v>
      </c>
      <c r="AP7" s="80">
        <f>new_category!G20</f>
        <v>10774</v>
      </c>
      <c r="AQ7" s="80">
        <f>new_category!H20</f>
        <v>13784</v>
      </c>
      <c r="AR7" s="80">
        <f>new_category!I20</f>
        <v>20337</v>
      </c>
      <c r="AS7" s="80">
        <f>new_category!J20</f>
        <v>22327</v>
      </c>
      <c r="AT7" s="80">
        <f>new_category!K20</f>
        <v>26955</v>
      </c>
      <c r="AU7" s="80">
        <f>new_category!L20</f>
        <v>28386</v>
      </c>
      <c r="AV7" s="80">
        <f>new_category!M20</f>
        <v>19581</v>
      </c>
      <c r="AW7" s="80">
        <f>new_category!N20</f>
        <v>18275</v>
      </c>
      <c r="AX7" s="80">
        <f>new_category!O20</f>
        <v>19343</v>
      </c>
      <c r="AY7" s="80">
        <f>new_category!P20</f>
        <v>24515</v>
      </c>
      <c r="AZ7" s="80">
        <f>new_category!Q20</f>
        <v>26479</v>
      </c>
      <c r="BA7" s="80">
        <f>new_category!R20</f>
        <v>21248</v>
      </c>
      <c r="BB7" s="80">
        <f>new_category!S20</f>
        <v>20783</v>
      </c>
      <c r="BC7" s="80">
        <f>new_category!T20</f>
        <v>16897</v>
      </c>
      <c r="BD7" s="80">
        <f>new_category!U20</f>
        <v>27710</v>
      </c>
      <c r="BE7" s="80">
        <f>new_category!V20</f>
        <v>28076</v>
      </c>
      <c r="BF7" s="80">
        <f>new_category!W20</f>
        <v>17976</v>
      </c>
      <c r="BG7" s="80">
        <f>new_category!X20</f>
        <v>21948</v>
      </c>
      <c r="BH7" s="80">
        <f>new_category!Y20</f>
        <v>19092</v>
      </c>
      <c r="BI7" s="80">
        <f>new_category!Z20</f>
        <v>19622</v>
      </c>
      <c r="BJ7" s="80">
        <f>new_category!AA20</f>
        <v>21168</v>
      </c>
      <c r="BK7" s="80">
        <f>new_category!AB20</f>
        <v>23947</v>
      </c>
      <c r="BL7" s="80">
        <f>new_category!AC20</f>
        <v>27955</v>
      </c>
      <c r="BM7" s="80">
        <f>new_category!AD20</f>
        <v>22760</v>
      </c>
      <c r="BN7" s="80">
        <f>new_category!AE20</f>
        <v>30088</v>
      </c>
      <c r="BO7" s="80">
        <f>new_category!AF20</f>
        <v>27255</v>
      </c>
      <c r="BP7" s="80">
        <f>new_category!AG20</f>
        <v>39242</v>
      </c>
      <c r="BQ7" s="80">
        <f>new_category!AH20</f>
        <v>39902</v>
      </c>
      <c r="BR7" s="80">
        <f>new_category!AI20</f>
        <v>35543</v>
      </c>
      <c r="BS7" s="80">
        <f>new_category!AJ20</f>
        <v>36953</v>
      </c>
      <c r="BT7" s="80">
        <f>new_category!AK20</f>
        <v>35754</v>
      </c>
      <c r="BU7" s="80">
        <f>new_category!AL20</f>
        <v>31761</v>
      </c>
      <c r="BV7" s="80">
        <f>new_category!AM20</f>
        <v>36543</v>
      </c>
      <c r="BW7" s="80">
        <f>new_category!AN20</f>
        <v>34570</v>
      </c>
      <c r="BX7" s="80">
        <f>new_category!AO20</f>
        <v>39789</v>
      </c>
      <c r="BY7" s="80">
        <f>new_category!AP20</f>
        <v>31443</v>
      </c>
      <c r="BZ7" s="80">
        <f>new_category!AQ20</f>
        <v>39654</v>
      </c>
      <c r="CA7" s="80">
        <f>new_category!AR20</f>
        <v>38932</v>
      </c>
      <c r="CB7" s="80">
        <f>new_category!AS20</f>
        <v>31213</v>
      </c>
      <c r="CC7" s="80">
        <f>new_category!AT20</f>
        <v>37819</v>
      </c>
      <c r="CD7" s="80">
        <f>new_category!AU20</f>
        <v>40755</v>
      </c>
      <c r="CE7" s="80">
        <f>new_category!AV20</f>
        <v>37205</v>
      </c>
      <c r="CF7" s="80">
        <f>new_category!AW20</f>
        <v>31807</v>
      </c>
      <c r="CG7" s="80">
        <f>new_category!AX20</f>
        <v>33659</v>
      </c>
      <c r="CH7" s="80">
        <f>new_category!AY20</f>
        <v>34783</v>
      </c>
      <c r="CI7" s="80">
        <f>new_category!AZ20</f>
        <v>35846</v>
      </c>
      <c r="CJ7" s="80">
        <f>new_category!BA20</f>
        <v>34286</v>
      </c>
      <c r="CK7" s="80">
        <f>new_category!BB20</f>
        <v>33212</v>
      </c>
      <c r="CL7" s="80">
        <f>new_category!BC20</f>
        <v>34456</v>
      </c>
      <c r="CM7" s="80">
        <f>new_category!BD20</f>
        <v>28753</v>
      </c>
      <c r="CN7" s="80">
        <f>new_category!BE20</f>
        <v>25456</v>
      </c>
      <c r="CO7" s="80">
        <f>new_category!BF20</f>
        <v>30396</v>
      </c>
      <c r="CP7" s="80">
        <f>new_category!BG20</f>
        <v>32055</v>
      </c>
      <c r="CQ7" s="80">
        <f>new_category!BH20</f>
        <v>17008</v>
      </c>
      <c r="CR7" s="80">
        <f>new_category!BI20</f>
        <v>17716</v>
      </c>
      <c r="CS7" s="80">
        <f>new_category!BJ20</f>
        <v>14223</v>
      </c>
      <c r="CT7" s="80">
        <f>new_category!BK20</f>
        <v>28934</v>
      </c>
      <c r="CU7" s="80">
        <f>new_category!BL20</f>
        <v>30950</v>
      </c>
      <c r="CV7" s="80">
        <f>new_category!BM20</f>
        <v>37682</v>
      </c>
      <c r="CW7" s="80">
        <f>new_category!BN20</f>
        <v>36711</v>
      </c>
      <c r="CX7" s="80">
        <f>new_category!BO20</f>
        <v>39054</v>
      </c>
      <c r="CY7" s="80">
        <f>new_category!BP20</f>
        <v>28825</v>
      </c>
      <c r="CZ7" s="80">
        <f>new_category!BQ20</f>
        <v>33098.699999999997</v>
      </c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</row>
    <row r="8" spans="1:163">
      <c r="A8" t="s">
        <v>156</v>
      </c>
      <c r="B8" s="80">
        <f>old_category!E17</f>
        <v>519</v>
      </c>
      <c r="C8" s="80">
        <f>old_category!F17</f>
        <v>484</v>
      </c>
      <c r="D8" s="80">
        <f>old_category!G17</f>
        <v>895</v>
      </c>
      <c r="E8" s="80">
        <f>old_category!H17</f>
        <v>686</v>
      </c>
      <c r="F8" s="80">
        <f>old_category!I17</f>
        <v>1080</v>
      </c>
      <c r="G8" s="80">
        <f>old_category!J17</f>
        <v>901</v>
      </c>
      <c r="H8" s="80">
        <f>old_category!K17</f>
        <v>872</v>
      </c>
      <c r="I8" s="80">
        <f>old_category!L17</f>
        <v>906</v>
      </c>
      <c r="J8" s="80">
        <f>old_category!M17</f>
        <v>1013</v>
      </c>
      <c r="K8" s="80">
        <f>old_category!N17</f>
        <v>887</v>
      </c>
      <c r="L8" s="80">
        <f>old_category!O17</f>
        <v>1052</v>
      </c>
      <c r="M8" s="80">
        <f>old_category!P17</f>
        <v>980</v>
      </c>
      <c r="N8" s="80">
        <f>old_category!Q17</f>
        <v>906</v>
      </c>
      <c r="O8" s="80">
        <f>old_category!R17</f>
        <v>695</v>
      </c>
      <c r="P8" s="80">
        <f>old_category!S17</f>
        <v>1088</v>
      </c>
      <c r="Q8" s="80">
        <f>old_category!T17</f>
        <v>995</v>
      </c>
      <c r="R8" s="80">
        <f>old_category!U17</f>
        <v>712</v>
      </c>
      <c r="S8" s="80">
        <f>old_category!V17</f>
        <v>590</v>
      </c>
      <c r="T8" s="80">
        <f>old_category!W17</f>
        <v>771</v>
      </c>
      <c r="U8" s="80">
        <f>old_category!X17</f>
        <v>1583</v>
      </c>
      <c r="V8" s="80">
        <f>old_category!Y17</f>
        <v>1581</v>
      </c>
      <c r="W8" s="80">
        <f>old_category!Z17</f>
        <v>1550</v>
      </c>
      <c r="X8" s="80">
        <f>old_category!AA17</f>
        <v>1954</v>
      </c>
      <c r="Y8" s="80">
        <f>old_category!AB17</f>
        <v>3311</v>
      </c>
      <c r="Z8" s="80">
        <f>old_category!AC17</f>
        <v>4345</v>
      </c>
      <c r="AA8" s="80">
        <f>old_category!AD17</f>
        <v>4868</v>
      </c>
      <c r="AB8" s="80">
        <f>old_category!AE17</f>
        <v>4642</v>
      </c>
      <c r="AC8" s="80">
        <f>old_category!AF17</f>
        <v>6057</v>
      </c>
      <c r="AD8" s="80">
        <f>old_category!AG17</f>
        <v>6361</v>
      </c>
      <c r="AE8" s="80">
        <f>old_category!AH17</f>
        <v>5101</v>
      </c>
      <c r="AF8" s="80">
        <f>old_category!AI17</f>
        <v>2714</v>
      </c>
      <c r="AG8" s="80">
        <f>old_category!AJ17</f>
        <v>5314</v>
      </c>
      <c r="AH8" s="80">
        <f>old_category!AK17</f>
        <v>11439</v>
      </c>
      <c r="AI8" s="80">
        <f>old_category!AL17</f>
        <v>6877</v>
      </c>
      <c r="AJ8" s="80">
        <f>old_category!AM17</f>
        <v>7662</v>
      </c>
      <c r="AK8" s="80">
        <f>old_category!AN17</f>
        <v>9204</v>
      </c>
      <c r="AL8" s="80">
        <f>old_category!AO17</f>
        <v>4231</v>
      </c>
      <c r="AM8" t="s">
        <v>16</v>
      </c>
      <c r="AN8" t="s">
        <v>16</v>
      </c>
      <c r="AO8" t="s">
        <v>16</v>
      </c>
      <c r="AP8" t="s">
        <v>16</v>
      </c>
      <c r="AQ8" t="s">
        <v>16</v>
      </c>
      <c r="AR8" t="s">
        <v>16</v>
      </c>
      <c r="AS8" t="s">
        <v>16</v>
      </c>
      <c r="AT8" t="s">
        <v>16</v>
      </c>
      <c r="AU8" t="s">
        <v>16</v>
      </c>
      <c r="AV8" t="s">
        <v>16</v>
      </c>
      <c r="AW8" t="s">
        <v>16</v>
      </c>
      <c r="AX8" t="s">
        <v>16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16</v>
      </c>
      <c r="BG8" t="s">
        <v>16</v>
      </c>
      <c r="BH8" t="s">
        <v>16</v>
      </c>
      <c r="BI8" t="s">
        <v>16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16</v>
      </c>
      <c r="BP8" t="s">
        <v>16</v>
      </c>
      <c r="BQ8" t="s">
        <v>16</v>
      </c>
      <c r="BR8" t="s">
        <v>16</v>
      </c>
      <c r="BS8" t="s">
        <v>16</v>
      </c>
      <c r="BT8" t="s">
        <v>16</v>
      </c>
      <c r="BU8" t="s">
        <v>16</v>
      </c>
      <c r="BV8" t="s">
        <v>16</v>
      </c>
      <c r="BW8" t="s">
        <v>16</v>
      </c>
      <c r="BX8" t="s">
        <v>16</v>
      </c>
      <c r="BY8" t="s">
        <v>16</v>
      </c>
      <c r="BZ8" t="s">
        <v>16</v>
      </c>
      <c r="CA8" t="s">
        <v>16</v>
      </c>
      <c r="CB8" t="s">
        <v>16</v>
      </c>
      <c r="CC8" t="s">
        <v>16</v>
      </c>
      <c r="CD8" t="s">
        <v>16</v>
      </c>
      <c r="CE8" t="s">
        <v>16</v>
      </c>
      <c r="CF8" t="s">
        <v>16</v>
      </c>
      <c r="CG8" t="s">
        <v>16</v>
      </c>
      <c r="CH8" t="s">
        <v>16</v>
      </c>
      <c r="CI8" t="s">
        <v>16</v>
      </c>
      <c r="CJ8" t="s">
        <v>16</v>
      </c>
      <c r="CK8" t="s">
        <v>16</v>
      </c>
      <c r="CL8" t="s">
        <v>16</v>
      </c>
      <c r="CM8" t="s">
        <v>16</v>
      </c>
      <c r="CN8" t="s">
        <v>16</v>
      </c>
      <c r="CO8" t="s">
        <v>16</v>
      </c>
      <c r="CP8" t="s">
        <v>16</v>
      </c>
      <c r="CQ8" t="s">
        <v>16</v>
      </c>
      <c r="CR8" t="s">
        <v>16</v>
      </c>
      <c r="CS8" t="s">
        <v>16</v>
      </c>
      <c r="CT8" t="s">
        <v>16</v>
      </c>
      <c r="CU8" t="s">
        <v>16</v>
      </c>
      <c r="CV8" t="s">
        <v>16</v>
      </c>
      <c r="CW8" t="s">
        <v>16</v>
      </c>
      <c r="CX8" t="s">
        <v>16</v>
      </c>
      <c r="CY8" t="s">
        <v>16</v>
      </c>
      <c r="CZ8" t="s">
        <v>16</v>
      </c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</row>
    <row r="9" spans="1:163">
      <c r="A9" t="s">
        <v>157</v>
      </c>
      <c r="B9" s="80">
        <f>old_category!E18</f>
        <v>708</v>
      </c>
      <c r="C9" s="80">
        <f>old_category!F18</f>
        <v>848</v>
      </c>
      <c r="D9" s="80">
        <f>old_category!G18</f>
        <v>1564</v>
      </c>
      <c r="E9" s="80">
        <f>old_category!H18</f>
        <v>1485</v>
      </c>
      <c r="F9" s="80">
        <f>old_category!I18</f>
        <v>1553</v>
      </c>
      <c r="G9" s="80">
        <f>old_category!J18</f>
        <v>2603</v>
      </c>
      <c r="H9" s="80">
        <f>old_category!K18</f>
        <v>1806</v>
      </c>
      <c r="I9" s="80">
        <f>old_category!L18</f>
        <v>1598</v>
      </c>
      <c r="J9" s="80">
        <f>old_category!M18</f>
        <v>1550</v>
      </c>
      <c r="K9" s="80">
        <f>old_category!N18</f>
        <v>983</v>
      </c>
      <c r="L9" s="80">
        <f>old_category!O18</f>
        <v>637</v>
      </c>
      <c r="M9" s="80">
        <f>old_category!P18</f>
        <v>805</v>
      </c>
      <c r="N9" s="80">
        <f>old_category!Q18</f>
        <v>606</v>
      </c>
      <c r="O9" s="80">
        <f>old_category!R18</f>
        <v>749</v>
      </c>
      <c r="P9" s="80">
        <f>old_category!S18</f>
        <v>1279</v>
      </c>
      <c r="Q9" s="80">
        <f>old_category!T18</f>
        <v>1284</v>
      </c>
      <c r="R9" s="80">
        <f>old_category!U18</f>
        <v>1652</v>
      </c>
      <c r="S9" s="80">
        <f>old_category!V18</f>
        <v>1879</v>
      </c>
      <c r="T9" s="80">
        <f>old_category!W18</f>
        <v>3657</v>
      </c>
      <c r="U9" s="80">
        <f>old_category!X18</f>
        <v>4834</v>
      </c>
      <c r="V9" s="80">
        <f>old_category!Y18</f>
        <v>7072</v>
      </c>
      <c r="W9" s="80">
        <f>old_category!Z18</f>
        <v>5196</v>
      </c>
      <c r="X9" s="80">
        <f>old_category!AA18</f>
        <v>5322</v>
      </c>
      <c r="Y9" s="80">
        <f>old_category!AB18</f>
        <v>8630</v>
      </c>
      <c r="Z9" s="80">
        <f>old_category!AC18</f>
        <v>7530</v>
      </c>
      <c r="AA9" s="80">
        <f>old_category!AD18</f>
        <v>8243</v>
      </c>
      <c r="AB9" s="80">
        <f>old_category!AE18</f>
        <v>13832</v>
      </c>
      <c r="AC9" s="80">
        <f>old_category!AF18</f>
        <v>14289</v>
      </c>
      <c r="AD9" s="80">
        <f>old_category!AG18</f>
        <v>7319</v>
      </c>
      <c r="AE9" s="80">
        <f>old_category!AH18</f>
        <v>11424</v>
      </c>
      <c r="AF9" s="80">
        <f>old_category!AI18</f>
        <v>18339</v>
      </c>
      <c r="AG9" s="80">
        <f>old_category!AJ18</f>
        <v>15591</v>
      </c>
      <c r="AH9" s="80">
        <f>old_category!AK18</f>
        <v>33426</v>
      </c>
      <c r="AI9" s="80">
        <f>old_category!AL18</f>
        <v>48378</v>
      </c>
      <c r="AJ9" s="80">
        <f>old_category!AM18</f>
        <v>37159</v>
      </c>
      <c r="AK9" s="80">
        <f>old_category!AN18</f>
        <v>47951</v>
      </c>
      <c r="AL9" s="80">
        <f>old_category!AO18</f>
        <v>35828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t="s">
        <v>16</v>
      </c>
      <c r="AS9" t="s">
        <v>16</v>
      </c>
      <c r="AT9" t="s">
        <v>16</v>
      </c>
      <c r="AU9" t="s">
        <v>16</v>
      </c>
      <c r="AV9" t="s">
        <v>16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16</v>
      </c>
      <c r="BG9" t="s">
        <v>16</v>
      </c>
      <c r="BH9" t="s">
        <v>16</v>
      </c>
      <c r="BI9" t="s">
        <v>16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16</v>
      </c>
      <c r="BP9" t="s">
        <v>16</v>
      </c>
      <c r="BQ9" t="s">
        <v>16</v>
      </c>
      <c r="BR9" t="s">
        <v>16</v>
      </c>
      <c r="BS9" t="s">
        <v>16</v>
      </c>
      <c r="BT9" t="s">
        <v>16</v>
      </c>
      <c r="BU9" t="s">
        <v>16</v>
      </c>
      <c r="BV9" t="s">
        <v>16</v>
      </c>
      <c r="BW9" t="s">
        <v>16</v>
      </c>
      <c r="BX9" t="s">
        <v>16</v>
      </c>
      <c r="BY9" t="s">
        <v>16</v>
      </c>
      <c r="BZ9" t="s">
        <v>16</v>
      </c>
      <c r="CA9" t="s">
        <v>16</v>
      </c>
      <c r="CB9" t="s">
        <v>16</v>
      </c>
      <c r="CC9" t="s">
        <v>16</v>
      </c>
      <c r="CD9" t="s">
        <v>16</v>
      </c>
      <c r="CE9" t="s">
        <v>16</v>
      </c>
      <c r="CF9" t="s">
        <v>16</v>
      </c>
      <c r="CG9" t="s">
        <v>16</v>
      </c>
      <c r="CH9" t="s">
        <v>16</v>
      </c>
      <c r="CI9" t="s">
        <v>16</v>
      </c>
      <c r="CJ9" t="s">
        <v>16</v>
      </c>
      <c r="CK9" t="s">
        <v>16</v>
      </c>
      <c r="CL9" t="s">
        <v>16</v>
      </c>
      <c r="CM9" t="s">
        <v>16</v>
      </c>
      <c r="CN9" t="s">
        <v>16</v>
      </c>
      <c r="CO9" t="s">
        <v>16</v>
      </c>
      <c r="CP9" t="s">
        <v>16</v>
      </c>
      <c r="CQ9" t="s">
        <v>16</v>
      </c>
      <c r="CR9" t="s">
        <v>16</v>
      </c>
      <c r="CS9" t="s">
        <v>16</v>
      </c>
      <c r="CT9" t="s">
        <v>16</v>
      </c>
      <c r="CU9" t="s">
        <v>16</v>
      </c>
      <c r="CV9" t="s">
        <v>16</v>
      </c>
      <c r="CW9" t="s">
        <v>16</v>
      </c>
      <c r="CX9" t="s">
        <v>16</v>
      </c>
      <c r="CY9" t="s">
        <v>16</v>
      </c>
      <c r="CZ9" t="s">
        <v>16</v>
      </c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</row>
    <row r="10" spans="1:163">
      <c r="A10" t="s">
        <v>158</v>
      </c>
      <c r="B10" s="80">
        <f>old_category!E19</f>
        <v>2615</v>
      </c>
      <c r="C10" s="80">
        <f>old_category!F19</f>
        <v>2602</v>
      </c>
      <c r="D10" s="80">
        <f>old_category!G19</f>
        <v>2579</v>
      </c>
      <c r="E10" s="80">
        <f>old_category!H19</f>
        <v>2503</v>
      </c>
      <c r="F10" s="80">
        <f>old_category!I19</f>
        <v>3373</v>
      </c>
      <c r="G10" s="80">
        <f>old_category!J19</f>
        <v>2930</v>
      </c>
      <c r="H10" s="80">
        <f>old_category!K19</f>
        <v>3087</v>
      </c>
      <c r="I10" s="80">
        <f>old_category!L19</f>
        <v>3525</v>
      </c>
      <c r="J10" s="80">
        <f>old_category!M19</f>
        <v>3880</v>
      </c>
      <c r="K10" s="80">
        <f>old_category!N19</f>
        <v>3655</v>
      </c>
      <c r="L10" s="80">
        <f>old_category!O19</f>
        <v>3726</v>
      </c>
      <c r="M10" s="80">
        <f>old_category!P19</f>
        <v>3563</v>
      </c>
      <c r="N10" s="80">
        <f>old_category!Q19</f>
        <v>3764</v>
      </c>
      <c r="O10" s="80">
        <f>old_category!R19</f>
        <v>4274</v>
      </c>
      <c r="P10" s="80">
        <f>old_category!S19</f>
        <v>5285</v>
      </c>
      <c r="Q10" s="80">
        <f>old_category!T19</f>
        <v>4715</v>
      </c>
      <c r="R10" s="80">
        <f>old_category!U19</f>
        <v>5026</v>
      </c>
      <c r="S10" s="80">
        <f>old_category!V19</f>
        <v>8201</v>
      </c>
      <c r="T10" s="80">
        <f>old_category!W19</f>
        <v>10203</v>
      </c>
      <c r="U10" s="80">
        <f>old_category!X19</f>
        <v>8849</v>
      </c>
      <c r="V10" s="80">
        <f>old_category!Y19</f>
        <v>10117</v>
      </c>
      <c r="W10" s="80">
        <f>old_category!Z19</f>
        <v>13888</v>
      </c>
      <c r="X10" s="80">
        <f>old_category!AA19</f>
        <v>13846</v>
      </c>
      <c r="Y10" s="80">
        <f>old_category!AB19</f>
        <v>15720</v>
      </c>
      <c r="Z10" s="80">
        <f>old_category!AC19</f>
        <v>14999</v>
      </c>
      <c r="AA10" s="80">
        <f>old_category!AD19</f>
        <v>17388</v>
      </c>
      <c r="AB10" s="80">
        <f>old_category!AE19</f>
        <v>18354</v>
      </c>
      <c r="AC10" s="80">
        <f>old_category!AF19</f>
        <v>18780</v>
      </c>
      <c r="AD10" s="80">
        <f>old_category!AG19</f>
        <v>18632</v>
      </c>
      <c r="AE10" s="80">
        <f>old_category!AH19</f>
        <v>24007</v>
      </c>
      <c r="AF10" s="80">
        <f>old_category!AI19</f>
        <v>27830</v>
      </c>
      <c r="AG10" s="80">
        <f>old_category!AJ19</f>
        <v>28580</v>
      </c>
      <c r="AH10" s="80">
        <f>old_category!AK19</f>
        <v>22980</v>
      </c>
      <c r="AI10" s="80">
        <f>old_category!AL19</f>
        <v>38322</v>
      </c>
      <c r="AJ10" s="80">
        <f>old_category!AM19</f>
        <v>38400</v>
      </c>
      <c r="AK10" s="80">
        <f>old_category!AN19</f>
        <v>38077</v>
      </c>
      <c r="AL10" s="80">
        <f>old_category!AO19</f>
        <v>49337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t="s">
        <v>16</v>
      </c>
      <c r="AS10" t="s">
        <v>16</v>
      </c>
      <c r="AT10" t="s">
        <v>16</v>
      </c>
      <c r="AU10" t="s">
        <v>16</v>
      </c>
      <c r="AV10" t="s">
        <v>16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16</v>
      </c>
      <c r="BG10" t="s">
        <v>16</v>
      </c>
      <c r="BH10" t="s">
        <v>16</v>
      </c>
      <c r="BI10" t="s">
        <v>16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16</v>
      </c>
      <c r="BP10" t="s">
        <v>16</v>
      </c>
      <c r="BQ10" t="s">
        <v>16</v>
      </c>
      <c r="BR10" t="s">
        <v>16</v>
      </c>
      <c r="BS10" t="s">
        <v>16</v>
      </c>
      <c r="BT10" t="s">
        <v>16</v>
      </c>
      <c r="BU10" t="s">
        <v>16</v>
      </c>
      <c r="BV10" t="s">
        <v>16</v>
      </c>
      <c r="BW10" t="s">
        <v>16</v>
      </c>
      <c r="BX10" t="s">
        <v>16</v>
      </c>
      <c r="BY10" t="s">
        <v>16</v>
      </c>
      <c r="BZ10" t="s">
        <v>16</v>
      </c>
      <c r="CA10" t="s">
        <v>16</v>
      </c>
      <c r="CB10" t="s">
        <v>16</v>
      </c>
      <c r="CC10" t="s">
        <v>16</v>
      </c>
      <c r="CD10" t="s">
        <v>16</v>
      </c>
      <c r="CE10" t="s">
        <v>16</v>
      </c>
      <c r="CF10" t="s">
        <v>16</v>
      </c>
      <c r="CG10" t="s">
        <v>16</v>
      </c>
      <c r="CH10" t="s">
        <v>16</v>
      </c>
      <c r="CI10" t="s">
        <v>16</v>
      </c>
      <c r="CJ10" t="s">
        <v>16</v>
      </c>
      <c r="CK10" t="s">
        <v>16</v>
      </c>
      <c r="CL10" t="s">
        <v>16</v>
      </c>
      <c r="CM10" t="s">
        <v>16</v>
      </c>
      <c r="CN10" t="s">
        <v>16</v>
      </c>
      <c r="CO10" t="s">
        <v>16</v>
      </c>
      <c r="CP10" t="s">
        <v>16</v>
      </c>
      <c r="CQ10" t="s">
        <v>16</v>
      </c>
      <c r="CR10" t="s">
        <v>16</v>
      </c>
      <c r="CS10" t="s">
        <v>16</v>
      </c>
      <c r="CT10" t="s">
        <v>16</v>
      </c>
      <c r="CU10" t="s">
        <v>16</v>
      </c>
      <c r="CV10" t="s">
        <v>16</v>
      </c>
      <c r="CW10" t="s">
        <v>16</v>
      </c>
      <c r="CX10" t="s">
        <v>16</v>
      </c>
      <c r="CY10" t="s">
        <v>16</v>
      </c>
      <c r="CZ10" t="s">
        <v>16</v>
      </c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</row>
    <row r="11" spans="1:163">
      <c r="A11" t="s">
        <v>159</v>
      </c>
      <c r="B11" s="80">
        <f>old_category!E20</f>
        <v>5371</v>
      </c>
      <c r="C11" s="80">
        <f>old_category!F20</f>
        <v>5635</v>
      </c>
      <c r="D11" s="80">
        <f>old_category!G20</f>
        <v>5572</v>
      </c>
      <c r="E11" s="80">
        <f>old_category!H20</f>
        <v>5371</v>
      </c>
      <c r="F11" s="80">
        <f>old_category!I20</f>
        <v>5039</v>
      </c>
      <c r="G11" s="80">
        <f>old_category!J20</f>
        <v>5152</v>
      </c>
      <c r="H11" s="80">
        <f>old_category!K20</f>
        <v>5367</v>
      </c>
      <c r="I11" s="80">
        <f>old_category!L20</f>
        <v>5374</v>
      </c>
      <c r="J11" s="80">
        <f>old_category!M20</f>
        <v>5433</v>
      </c>
      <c r="K11" s="80">
        <f>old_category!N20</f>
        <v>5482</v>
      </c>
      <c r="L11" s="80">
        <f>old_category!O20</f>
        <v>5706</v>
      </c>
      <c r="M11" s="80">
        <f>old_category!P20</f>
        <v>5871</v>
      </c>
      <c r="N11" s="80">
        <f>old_category!Q20</f>
        <v>5857</v>
      </c>
      <c r="O11" s="80">
        <f>old_category!R20</f>
        <v>5973</v>
      </c>
      <c r="P11" s="80">
        <f>old_category!S20</f>
        <v>6120</v>
      </c>
      <c r="Q11" s="80">
        <f>old_category!T20</f>
        <v>6559</v>
      </c>
      <c r="R11" s="80">
        <f>old_category!U20</f>
        <v>8328</v>
      </c>
      <c r="S11" s="80">
        <f>old_category!V20</f>
        <v>9344</v>
      </c>
      <c r="T11" s="80">
        <f>old_category!W20</f>
        <v>10362</v>
      </c>
      <c r="U11" s="80">
        <f>old_category!X20</f>
        <v>10128</v>
      </c>
      <c r="V11" s="80">
        <f>old_category!Y20</f>
        <v>11506</v>
      </c>
      <c r="W11" s="80">
        <f>old_category!Z20</f>
        <v>13405</v>
      </c>
      <c r="X11" s="80">
        <f>old_category!AA20</f>
        <v>18499</v>
      </c>
      <c r="Y11" s="80">
        <f>old_category!AB20</f>
        <v>21823</v>
      </c>
      <c r="Z11" s="80">
        <f>old_category!AC20</f>
        <v>27258</v>
      </c>
      <c r="AA11" s="80">
        <f>old_category!AD20</f>
        <v>28539</v>
      </c>
      <c r="AB11" s="80">
        <f>old_category!AE20</f>
        <v>30877</v>
      </c>
      <c r="AC11" s="80">
        <f>old_category!AF20</f>
        <v>25557</v>
      </c>
      <c r="AD11" s="80">
        <f>old_category!AG20</f>
        <v>34224</v>
      </c>
      <c r="AE11" s="80">
        <f>old_category!AH20</f>
        <v>30364</v>
      </c>
      <c r="AF11" s="80">
        <f>old_category!AI20</f>
        <v>39194</v>
      </c>
      <c r="AG11" s="80">
        <f>old_category!AJ20</f>
        <v>29253</v>
      </c>
      <c r="AH11" s="80">
        <f>old_category!AK20</f>
        <v>20745</v>
      </c>
      <c r="AI11" s="80">
        <f>old_category!AL20</f>
        <v>26776</v>
      </c>
      <c r="AJ11" s="80">
        <f>old_category!AM20</f>
        <v>29201</v>
      </c>
      <c r="AK11" s="80">
        <f>old_category!AN20</f>
        <v>38865</v>
      </c>
      <c r="AL11" s="80">
        <f>old_category!AO20</f>
        <v>22371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t="s">
        <v>16</v>
      </c>
      <c r="AS11" t="s">
        <v>16</v>
      </c>
      <c r="AT11" t="s">
        <v>16</v>
      </c>
      <c r="AU11" t="s">
        <v>16</v>
      </c>
      <c r="AV11" t="s">
        <v>16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16</v>
      </c>
      <c r="BG11" t="s">
        <v>16</v>
      </c>
      <c r="BH11" t="s">
        <v>16</v>
      </c>
      <c r="BI11" t="s">
        <v>16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16</v>
      </c>
      <c r="BP11" t="s">
        <v>16</v>
      </c>
      <c r="BQ11" t="s">
        <v>16</v>
      </c>
      <c r="BR11" t="s">
        <v>16</v>
      </c>
      <c r="BS11" t="s">
        <v>16</v>
      </c>
      <c r="BT11" t="s">
        <v>16</v>
      </c>
      <c r="BU11" t="s">
        <v>16</v>
      </c>
      <c r="BV11" t="s">
        <v>16</v>
      </c>
      <c r="BW11" t="s">
        <v>16</v>
      </c>
      <c r="BX11" t="s">
        <v>16</v>
      </c>
      <c r="BY11" t="s">
        <v>16</v>
      </c>
      <c r="BZ11" t="s">
        <v>16</v>
      </c>
      <c r="CA11" t="s">
        <v>16</v>
      </c>
      <c r="CB11" t="s">
        <v>16</v>
      </c>
      <c r="CC11" t="s">
        <v>16</v>
      </c>
      <c r="CD11" t="s">
        <v>16</v>
      </c>
      <c r="CE11" t="s">
        <v>16</v>
      </c>
      <c r="CF11" t="s">
        <v>16</v>
      </c>
      <c r="CG11" t="s">
        <v>16</v>
      </c>
      <c r="CH11" t="s">
        <v>16</v>
      </c>
      <c r="CI11" t="s">
        <v>16</v>
      </c>
      <c r="CJ11" t="s">
        <v>16</v>
      </c>
      <c r="CK11" t="s">
        <v>16</v>
      </c>
      <c r="CL11" t="s">
        <v>16</v>
      </c>
      <c r="CM11" t="s">
        <v>16</v>
      </c>
      <c r="CN11" t="s">
        <v>16</v>
      </c>
      <c r="CO11" t="s">
        <v>16</v>
      </c>
      <c r="CP11" t="s">
        <v>16</v>
      </c>
      <c r="CQ11" t="s">
        <v>16</v>
      </c>
      <c r="CR11" t="s">
        <v>16</v>
      </c>
      <c r="CS11" t="s">
        <v>16</v>
      </c>
      <c r="CT11" t="s">
        <v>16</v>
      </c>
      <c r="CU11" t="s">
        <v>16</v>
      </c>
      <c r="CV11" t="s">
        <v>16</v>
      </c>
      <c r="CW11" t="s">
        <v>16</v>
      </c>
      <c r="CX11" t="s">
        <v>16</v>
      </c>
      <c r="CY11" t="s">
        <v>16</v>
      </c>
      <c r="CZ11" t="s">
        <v>16</v>
      </c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80"/>
      <c r="FF11" s="80"/>
      <c r="FG11" s="80"/>
    </row>
    <row r="12" spans="1:163">
      <c r="A12" t="s">
        <v>160</v>
      </c>
      <c r="B12" s="80">
        <f>old_category!E22</f>
        <v>174405</v>
      </c>
      <c r="C12" s="80">
        <f>old_category!F22</f>
        <v>179666</v>
      </c>
      <c r="D12" s="80">
        <f>old_category!G22</f>
        <v>181488</v>
      </c>
      <c r="E12" s="80">
        <f>old_category!H22</f>
        <v>182894</v>
      </c>
      <c r="F12" s="80">
        <f>old_category!I22</f>
        <v>188599</v>
      </c>
      <c r="G12" s="80">
        <f>old_category!J22</f>
        <v>193182</v>
      </c>
      <c r="H12" s="80">
        <f>old_category!K22</f>
        <v>198319</v>
      </c>
      <c r="I12" s="80">
        <f>old_category!L22</f>
        <v>209647</v>
      </c>
      <c r="J12" s="80">
        <f>old_category!M22</f>
        <v>210529</v>
      </c>
      <c r="K12" s="80">
        <f>old_category!N22</f>
        <v>213268</v>
      </c>
      <c r="L12" s="80">
        <f>old_category!O22</f>
        <v>224427</v>
      </c>
      <c r="M12" s="80">
        <f>old_category!P22</f>
        <v>232792</v>
      </c>
      <c r="N12" s="80">
        <f>old_category!Q22</f>
        <v>247844</v>
      </c>
      <c r="O12" s="80">
        <f>old_category!R22</f>
        <v>253726</v>
      </c>
      <c r="P12" s="80">
        <f>old_category!S22</f>
        <v>268460</v>
      </c>
      <c r="Q12" s="80">
        <f>old_category!T22</f>
        <v>290504</v>
      </c>
      <c r="R12" s="80">
        <f>old_category!U22</f>
        <v>309448</v>
      </c>
      <c r="S12" s="80">
        <f>old_category!V22</f>
        <v>341702</v>
      </c>
      <c r="T12" s="80">
        <f>old_category!W22</f>
        <v>373675</v>
      </c>
      <c r="U12" s="80">
        <f>old_category!X22</f>
        <v>409669</v>
      </c>
      <c r="V12" s="80">
        <f>old_category!Y22</f>
        <v>428616</v>
      </c>
      <c r="W12" s="80">
        <f>old_category!Z22</f>
        <v>438307</v>
      </c>
      <c r="X12" s="80">
        <f>old_category!AA22</f>
        <v>473301</v>
      </c>
      <c r="Y12" s="80">
        <f>old_category!AB22</f>
        <v>518806</v>
      </c>
      <c r="Z12" s="80">
        <f>old_category!AC22</f>
        <v>555608</v>
      </c>
      <c r="AA12" s="80">
        <f>old_category!AD22</f>
        <v>620692</v>
      </c>
      <c r="AB12" s="80">
        <f>old_category!AE22</f>
        <v>651494</v>
      </c>
      <c r="AC12" s="80">
        <f>old_category!AF22</f>
        <v>716021</v>
      </c>
      <c r="AD12" s="80">
        <f>old_category!AG22</f>
        <v>769547</v>
      </c>
      <c r="AE12" s="80">
        <f>old_category!AH22</f>
        <v>833919</v>
      </c>
      <c r="AF12" s="80">
        <f>old_category!AI22</f>
        <v>867138</v>
      </c>
      <c r="AG12" s="80">
        <f>old_category!AJ22</f>
        <v>912170</v>
      </c>
      <c r="AH12" s="80">
        <f>old_category!AK22</f>
        <v>982579</v>
      </c>
      <c r="AI12" s="80">
        <f>old_category!AL22</f>
        <v>1049628</v>
      </c>
      <c r="AJ12" s="80">
        <f>old_category!AM22</f>
        <v>1069750</v>
      </c>
      <c r="AK12" s="80">
        <f>old_category!AN22</f>
        <v>1167797</v>
      </c>
      <c r="AL12" s="80">
        <f>old_category!AO22</f>
        <v>1277028</v>
      </c>
      <c r="AM12" s="80">
        <v>1421300</v>
      </c>
      <c r="AN12" s="80">
        <f>new_category!E22</f>
        <v>1471618</v>
      </c>
      <c r="AO12" s="80">
        <f>new_category!F22</f>
        <v>1562949</v>
      </c>
      <c r="AP12" s="80">
        <f>new_category!G22</f>
        <v>1627277</v>
      </c>
      <c r="AQ12" s="80">
        <f>new_category!H22</f>
        <v>1662443</v>
      </c>
      <c r="AR12" s="80">
        <f>new_category!I22</f>
        <v>1684314</v>
      </c>
      <c r="AS12" s="80">
        <f>new_category!J22</f>
        <v>1728300</v>
      </c>
      <c r="AT12" s="80">
        <f>new_category!K22</f>
        <v>1755650</v>
      </c>
      <c r="AU12" s="80">
        <f>new_category!L22</f>
        <v>1748047</v>
      </c>
      <c r="AV12" s="80">
        <f>new_category!M22</f>
        <v>1774317</v>
      </c>
      <c r="AW12" s="80">
        <f>new_category!N22</f>
        <v>1801933</v>
      </c>
      <c r="AX12" s="80">
        <f>new_category!O22</f>
        <v>1819616</v>
      </c>
      <c r="AY12" s="80">
        <f>new_category!P22</f>
        <v>1870184</v>
      </c>
      <c r="AZ12" s="80">
        <f>new_category!Q22</f>
        <v>1826293</v>
      </c>
      <c r="BA12" s="80">
        <f>new_category!R22</f>
        <v>1851917</v>
      </c>
      <c r="BB12" s="80">
        <f>new_category!S22</f>
        <v>1872123</v>
      </c>
      <c r="BC12" s="80">
        <f>new_category!T22</f>
        <v>1865415</v>
      </c>
      <c r="BD12" s="80">
        <f>new_category!U22</f>
        <v>1866132</v>
      </c>
      <c r="BE12" s="80">
        <f>new_category!V22</f>
        <v>1887301</v>
      </c>
      <c r="BF12" s="80">
        <f>new_category!W22</f>
        <v>1898897</v>
      </c>
      <c r="BG12" s="80">
        <f>new_category!X22</f>
        <v>1907152</v>
      </c>
      <c r="BH12" s="80">
        <f>new_category!Y22</f>
        <v>1910623</v>
      </c>
      <c r="BI12" s="80">
        <f>new_category!Z22</f>
        <v>1876126</v>
      </c>
      <c r="BJ12" s="80">
        <f>new_category!AA22</f>
        <v>1884545</v>
      </c>
      <c r="BK12" s="80">
        <f>new_category!AB22</f>
        <v>1876162</v>
      </c>
      <c r="BL12" s="80">
        <f>new_category!AC22</f>
        <v>1878270</v>
      </c>
      <c r="BM12" s="80">
        <f>new_category!AD22</f>
        <v>1881268</v>
      </c>
      <c r="BN12" s="80">
        <f>new_category!AE22</f>
        <v>1877285</v>
      </c>
      <c r="BO12" s="80">
        <f>new_category!AF22</f>
        <v>1874595</v>
      </c>
      <c r="BP12" s="80">
        <f>new_category!AG22</f>
        <v>1908655</v>
      </c>
      <c r="BQ12" s="80">
        <f>new_category!AH22</f>
        <v>1915117</v>
      </c>
      <c r="BR12" s="80">
        <f>new_category!AI22</f>
        <v>1928681</v>
      </c>
      <c r="BS12" s="80">
        <f>new_category!AJ22</f>
        <v>1942326</v>
      </c>
      <c r="BT12" s="80">
        <f>new_category!AK22</f>
        <v>1967269</v>
      </c>
      <c r="BU12" s="80">
        <f>new_category!AL22</f>
        <v>1966985</v>
      </c>
      <c r="BV12" s="80">
        <f>new_category!AM22</f>
        <v>1996527</v>
      </c>
      <c r="BW12" s="80">
        <f>new_category!AN22</f>
        <v>1982385</v>
      </c>
      <c r="BX12" s="80">
        <f>new_category!AO22</f>
        <v>1988354</v>
      </c>
      <c r="BY12" s="80">
        <f>new_category!AP22</f>
        <v>2006237</v>
      </c>
      <c r="BZ12" s="80">
        <f>new_category!AQ22</f>
        <v>2008352</v>
      </c>
      <c r="CA12" s="80">
        <f>new_category!AR22</f>
        <v>2040531</v>
      </c>
      <c r="CB12" s="80">
        <f>new_category!AS22</f>
        <v>2091833</v>
      </c>
      <c r="CC12" s="80">
        <f>new_category!AT22</f>
        <v>2132904</v>
      </c>
      <c r="CD12" s="80">
        <f>new_category!AU22</f>
        <v>2166611</v>
      </c>
      <c r="CE12" s="80">
        <f>new_category!AV22</f>
        <v>2186962</v>
      </c>
      <c r="CF12" s="80">
        <f>new_category!AW22</f>
        <v>2204710</v>
      </c>
      <c r="CG12" s="80">
        <f>new_category!AX22</f>
        <v>2239297</v>
      </c>
      <c r="CH12" s="80">
        <f>new_category!AY22</f>
        <v>2222226</v>
      </c>
      <c r="CI12" s="80">
        <f>new_category!AZ22</f>
        <v>2242390</v>
      </c>
      <c r="CJ12" s="80">
        <f>new_category!BA22</f>
        <v>2233095</v>
      </c>
      <c r="CK12" s="80">
        <f>new_category!BB22</f>
        <v>2305909</v>
      </c>
      <c r="CL12" s="80">
        <f>new_category!BC22</f>
        <v>2350934</v>
      </c>
      <c r="CM12" s="80">
        <f>new_category!BD22</f>
        <v>2405785</v>
      </c>
      <c r="CN12" s="80">
        <f>new_category!BE22</f>
        <v>2381999</v>
      </c>
      <c r="CO12" s="80">
        <f>new_category!BF22</f>
        <v>2392981</v>
      </c>
      <c r="CP12" s="80">
        <f>new_category!BG22</f>
        <v>2403314</v>
      </c>
      <c r="CQ12" s="80">
        <f>new_category!BH22</f>
        <v>2420871</v>
      </c>
      <c r="CR12" s="80">
        <f>new_category!BI22</f>
        <v>2455350</v>
      </c>
      <c r="CS12" s="80">
        <f>new_category!BJ22</f>
        <v>2444467</v>
      </c>
      <c r="CT12" s="80">
        <f>new_category!BK22</f>
        <v>2521902</v>
      </c>
      <c r="CU12" s="80">
        <f>new_category!BL22</f>
        <v>2539885</v>
      </c>
      <c r="CV12" s="80">
        <f>new_category!BM22</f>
        <v>2608073</v>
      </c>
      <c r="CW12" s="80">
        <f>new_category!BN22</f>
        <v>2657279</v>
      </c>
      <c r="CX12" s="80">
        <f>new_category!BO22</f>
        <v>2717428</v>
      </c>
      <c r="CY12" s="80">
        <f>new_category!BP22</f>
        <v>2678289</v>
      </c>
      <c r="CZ12" s="80">
        <f>new_category!BQ22</f>
        <v>2692569.8000000003</v>
      </c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80"/>
      <c r="FF12" s="80"/>
      <c r="FG12" s="80"/>
    </row>
    <row r="13" spans="1:163">
      <c r="A13" t="s">
        <v>161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 t="s">
        <v>16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6" spans="1:163">
      <c r="B16" t="b">
        <f>SUM(B4:B4:B11)=B3</f>
        <v>1</v>
      </c>
      <c r="C16" t="b">
        <f>SUM(C4:C4:C11)=C3</f>
        <v>1</v>
      </c>
      <c r="D16" t="b">
        <f>SUM(D4:D4:D11)=D3</f>
        <v>1</v>
      </c>
      <c r="E16" t="b">
        <f>SUM(E4:E4:E11)=E3</f>
        <v>1</v>
      </c>
      <c r="F16" t="b">
        <f>SUM(F4:F4:F11)=F3</f>
        <v>1</v>
      </c>
      <c r="G16" t="b">
        <f>SUM(G4:G4:G11)=G3</f>
        <v>1</v>
      </c>
      <c r="H16" t="b">
        <f>SUM(H4:H4:H11)=H3</f>
        <v>1</v>
      </c>
      <c r="I16" t="b">
        <f>SUM(I4:I4:I11)=I3</f>
        <v>1</v>
      </c>
      <c r="J16" t="b">
        <f>SUM(J4:J4:J11)=J3</f>
        <v>1</v>
      </c>
      <c r="K16" t="b">
        <f>SUM(K4:K4:K11)=K3</f>
        <v>1</v>
      </c>
      <c r="L16" t="b">
        <f>SUM(L4:L4:L11)=L3</f>
        <v>1</v>
      </c>
      <c r="M16" t="b">
        <f>SUM(M4:M4:M11)=M3</f>
        <v>1</v>
      </c>
      <c r="N16" t="b">
        <f>SUM(N4:N4:N11)=N3</f>
        <v>1</v>
      </c>
      <c r="O16" t="b">
        <f>SUM(O4:O4:O11)=O3</f>
        <v>1</v>
      </c>
      <c r="P16" t="b">
        <f>SUM(P4:P4:P11)=P3</f>
        <v>1</v>
      </c>
      <c r="Q16" t="b">
        <f>SUM(Q4:Q4:Q11)=Q3</f>
        <v>1</v>
      </c>
      <c r="R16" t="b">
        <f>SUM(R4:R4:R11)=R3</f>
        <v>1</v>
      </c>
      <c r="S16" t="b">
        <f>SUM(S4:S4:S11)=S3</f>
        <v>1</v>
      </c>
      <c r="T16" t="b">
        <f>SUM(T4:T4:T11)=T3</f>
        <v>1</v>
      </c>
      <c r="U16" t="b">
        <f>SUM(U4:U4:U11)=U3</f>
        <v>1</v>
      </c>
      <c r="V16" t="b">
        <f>SUM(V4:V4:V11)=V3</f>
        <v>1</v>
      </c>
      <c r="W16" t="b">
        <f>SUM(W4:W4:W11)=W3</f>
        <v>1</v>
      </c>
      <c r="X16" t="b">
        <f>SUM(X4:X4:X11)=X3</f>
        <v>1</v>
      </c>
      <c r="Y16" t="b">
        <f>SUM(Y4:Y4:Y11)=Y3</f>
        <v>1</v>
      </c>
      <c r="Z16" t="b">
        <f>SUM(Z4:Z4:Z11)=Z3</f>
        <v>1</v>
      </c>
      <c r="AA16" t="b">
        <f>SUM(AA4:AA4:AA11)=AA3</f>
        <v>1</v>
      </c>
      <c r="AB16" t="b">
        <f>SUM(AB4:AB4:AB11)=AB3</f>
        <v>1</v>
      </c>
      <c r="AC16" t="b">
        <f>SUM(AC4:AC4:AC11)=AC3</f>
        <v>1</v>
      </c>
      <c r="AD16" t="b">
        <f>SUM(AD4:AD4:AD11)=AD3</f>
        <v>1</v>
      </c>
      <c r="AE16" t="b">
        <f>SUM(AE4:AE4:AE11)=AE3</f>
        <v>1</v>
      </c>
      <c r="AF16" t="b">
        <f>SUM(AF4:AF4:AF11)=AF3</f>
        <v>1</v>
      </c>
      <c r="AG16" t="b">
        <f>SUM(AG4:AG4:AG11)=AG3</f>
        <v>1</v>
      </c>
      <c r="AH16" t="b">
        <f>SUM(AH4:AH4:AH11)=AH3</f>
        <v>1</v>
      </c>
      <c r="AI16" t="b">
        <f>SUM(AI4:AI4:AI11)=AI3</f>
        <v>1</v>
      </c>
      <c r="AJ16" t="b">
        <f>SUM(AJ4:AJ4:AJ11)=AJ3</f>
        <v>1</v>
      </c>
      <c r="AK16" t="b">
        <f>SUM(AK4:AK4:AK11)=AK3</f>
        <v>1</v>
      </c>
      <c r="AL16" t="b">
        <f>SUM(AL4:AL4:AL11)=AL3</f>
        <v>1</v>
      </c>
      <c r="AM16" t="b">
        <f>SUM(AM4:AM4:AM11)=AM3</f>
        <v>0</v>
      </c>
      <c r="AN16" t="b">
        <f>SUM(AN4:AN4:AN11)=AN3</f>
        <v>1</v>
      </c>
      <c r="AO16" t="b">
        <f>SUM(AO4:AO4:AO11)=AO3</f>
        <v>1</v>
      </c>
      <c r="AP16" t="b">
        <f>SUM(AP4:AP4:AP11)=AP3</f>
        <v>1</v>
      </c>
      <c r="AQ16" t="b">
        <f>SUM(AQ4:AQ4:AQ11)=AQ3</f>
        <v>1</v>
      </c>
      <c r="AR16" t="b">
        <f>SUM(AR4:AR4:AR11)=AR3</f>
        <v>1</v>
      </c>
      <c r="AS16" t="b">
        <f>SUM(AS4:AS4:AS11)=AS3</f>
        <v>1</v>
      </c>
      <c r="AT16" t="b">
        <f>SUM(AT4:AT4:AT11)=AT3</f>
        <v>1</v>
      </c>
      <c r="AU16" t="b">
        <f>SUM(AU4:AU4:AU11)=AU3</f>
        <v>1</v>
      </c>
      <c r="AV16" t="b">
        <f>SUM(AV4:AV4:AV11)=AV3</f>
        <v>1</v>
      </c>
      <c r="AW16" t="b">
        <f>SUM(AW4:AW4:AW11)=AW3</f>
        <v>1</v>
      </c>
      <c r="AX16" t="b">
        <f>SUM(AX4:AX4:AX11)=AX3</f>
        <v>1</v>
      </c>
      <c r="AY16" t="b">
        <f>SUM(AY4:AY4:AY11)=AY3</f>
        <v>1</v>
      </c>
      <c r="AZ16" t="b">
        <f>SUM(AZ4:AZ4:AZ11)=AZ3</f>
        <v>1</v>
      </c>
      <c r="BA16" t="b">
        <f>SUM(BA4:BA4:BA11)=BA3</f>
        <v>1</v>
      </c>
      <c r="BB16" t="b">
        <f>SUM(BB4:BB4:BB11)=BB3</f>
        <v>1</v>
      </c>
      <c r="BC16" t="b">
        <f>SUM(BC4:BC4:BC11)=BC3</f>
        <v>1</v>
      </c>
      <c r="BD16" t="b">
        <f>SUM(BD4:BD4:BD11)=BD3</f>
        <v>1</v>
      </c>
      <c r="BE16" t="b">
        <f>SUM(BE4:BE4:BE11)=BE3</f>
        <v>1</v>
      </c>
      <c r="BF16" t="b">
        <f>SUM(BF4:BF4:BF11)=BF3</f>
        <v>1</v>
      </c>
      <c r="BG16" t="b">
        <f>SUM(BG4:BG4:BG11)=BG3</f>
        <v>1</v>
      </c>
      <c r="BH16" t="b">
        <f>SUM(BH4:BH4:BH11)=BH3</f>
        <v>1</v>
      </c>
      <c r="BI16" t="b">
        <f>SUM(BI4:BI4:BI11)=BI3</f>
        <v>1</v>
      </c>
      <c r="BJ16" t="b">
        <f>SUM(BJ4:BJ4:BJ11)=BJ3</f>
        <v>1</v>
      </c>
      <c r="BK16" t="b">
        <f>SUM(BK4:BK4:BK11)=BK3</f>
        <v>1</v>
      </c>
      <c r="BL16" t="b">
        <f>SUM(BL4:BL4:BL11)=BL3</f>
        <v>1</v>
      </c>
      <c r="BM16" t="b">
        <f>SUM(BM4:BM4:BM11)=BM3</f>
        <v>1</v>
      </c>
      <c r="BN16" t="b">
        <f>SUM(BN4:BN4:BN11)=BN3</f>
        <v>1</v>
      </c>
      <c r="BO16" t="b">
        <f>SUM(BO4:BO4:BO11)=BO3</f>
        <v>1</v>
      </c>
      <c r="BP16" t="b">
        <f>SUM(BP4:BP4:BP11)=BP3</f>
        <v>1</v>
      </c>
      <c r="BQ16" t="b">
        <f>SUM(BQ4:BQ4:BQ11)=BQ3</f>
        <v>1</v>
      </c>
      <c r="BR16" t="b">
        <f>SUM(BR4:BR4:BR11)=BR3</f>
        <v>1</v>
      </c>
      <c r="BS16" t="b">
        <f>SUM(BS4:BS4:BS11)=BS3</f>
        <v>1</v>
      </c>
      <c r="BT16" t="b">
        <f>SUM(BT4:BT4:BT11)=BT3</f>
        <v>1</v>
      </c>
      <c r="BU16" t="b">
        <f>SUM(BU4:BU4:BU11)=BU3</f>
        <v>1</v>
      </c>
      <c r="BV16" t="b">
        <f>SUM(BV4:BV4:BV11)=BV3</f>
        <v>1</v>
      </c>
      <c r="BW16" t="b">
        <f>SUM(BW4:BW4:BW11)=BW3</f>
        <v>1</v>
      </c>
      <c r="BX16" t="b">
        <f>SUM(BX4:BX4:BX11)=BX3</f>
        <v>1</v>
      </c>
      <c r="BY16" t="b">
        <f>SUM(BY4:BY4:BY11)=BY3</f>
        <v>1</v>
      </c>
      <c r="BZ16" t="b">
        <f>SUM(BZ4:BZ4:BZ11)=BZ3</f>
        <v>1</v>
      </c>
      <c r="CA16" t="b">
        <f>SUM(CA4:CA4:CA11)=CA3</f>
        <v>1</v>
      </c>
      <c r="CB16" t="b">
        <f>SUM(CB4:CB4:CB11)=CB3</f>
        <v>1</v>
      </c>
      <c r="CC16" t="b">
        <f>SUM(CC4:CC4:CC11)=CC3</f>
        <v>1</v>
      </c>
      <c r="CD16" t="b">
        <f>SUM(CD4:CD4:CD11)=CD3</f>
        <v>1</v>
      </c>
      <c r="CE16" t="b">
        <f>SUM(CE4:CE4:CE11)=CE3</f>
        <v>1</v>
      </c>
      <c r="CF16" t="b">
        <f>SUM(CF4:CF4:CF11)=CF3</f>
        <v>1</v>
      </c>
      <c r="CG16" t="b">
        <f>SUM(CG4:CG4:CG11)=CG3</f>
        <v>1</v>
      </c>
      <c r="CH16" t="b">
        <f>SUM(CH4:CH4:CH11)=CH3</f>
        <v>1</v>
      </c>
      <c r="CI16" t="b">
        <f>SUM(CI4:CI4:CI11)=CI3</f>
        <v>1</v>
      </c>
      <c r="CJ16" t="b">
        <f>SUM(CJ4:CJ4:CJ11)=CJ3</f>
        <v>1</v>
      </c>
      <c r="CK16" t="b">
        <f>SUM(CK4:CK4:CK11)=CK3</f>
        <v>1</v>
      </c>
      <c r="CL16" t="b">
        <f>SUM(CL4:CL4:CL11)=CL3</f>
        <v>1</v>
      </c>
      <c r="CM16" t="b">
        <f>SUM(CM4:CM4:CM11)=CM3</f>
        <v>1</v>
      </c>
      <c r="CN16" t="b">
        <f>SUM(CN4:CN4:CN11)=CN3</f>
        <v>1</v>
      </c>
      <c r="CO16" t="b">
        <f>SUM(CO4:CO4:CO11)=CO3</f>
        <v>1</v>
      </c>
      <c r="CP16" t="b">
        <f>SUM(CP4:CP4:CP11)=CP3</f>
        <v>1</v>
      </c>
      <c r="CQ16" t="b">
        <f>SUM(CQ4:CQ4:CQ11)=CQ3</f>
        <v>1</v>
      </c>
      <c r="CR16" t="b">
        <f>SUM(CR4:CR4:CR11)=CR3</f>
        <v>1</v>
      </c>
      <c r="CS16" t="b">
        <f>SUM(CS4:CS4:CS11)=CS3</f>
        <v>1</v>
      </c>
      <c r="CT16" t="b">
        <f>SUM(CT4:CT4:CT11)=CT3</f>
        <v>1</v>
      </c>
      <c r="CU16" t="b">
        <f>SUM(CU4:CU4:CU11)=CU3</f>
        <v>1</v>
      </c>
      <c r="CV16" t="b">
        <f>SUM(CV4:CV4:CV11)=CV3</f>
        <v>1</v>
      </c>
      <c r="CW16" t="b">
        <f>SUM(CW4:CW4:CW11)=CW3</f>
        <v>1</v>
      </c>
      <c r="CX16" t="b">
        <f>SUM(CX4:CX4:CX11)=CX3</f>
        <v>1</v>
      </c>
      <c r="CY16" t="b">
        <f>SUM(CY4:CY4:CY11)=CY3</f>
        <v>1</v>
      </c>
      <c r="CZ16" t="b">
        <f>SUM(CZ4:CZ4:CZ11)=CZ3</f>
        <v>1</v>
      </c>
    </row>
  </sheetData>
  <conditionalFormatting sqref="B16:CZ16">
    <cfRule type="containsText" dxfId="2" priority="1" operator="containsText" text="FAUX">
      <formula>NOT(ISERROR(SEARCH("FAUX",B16)))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5AA6-9090-439D-8472-C282ABA4C711}">
  <dimension ref="A1:CZ15"/>
  <sheetViews>
    <sheetView workbookViewId="0">
      <selection activeCell="CZ1" sqref="CZ1"/>
    </sheetView>
  </sheetViews>
  <sheetFormatPr defaultColWidth="11.42578125" defaultRowHeight="14.45"/>
  <sheetData>
    <row r="1" spans="1:104">
      <c r="A1" t="s">
        <v>24</v>
      </c>
      <c r="B1">
        <v>3</v>
      </c>
      <c r="C1">
        <v>6</v>
      </c>
      <c r="D1">
        <v>9</v>
      </c>
      <c r="E1">
        <v>12</v>
      </c>
      <c r="F1">
        <v>3</v>
      </c>
      <c r="G1">
        <v>6</v>
      </c>
      <c r="H1">
        <v>9</v>
      </c>
      <c r="I1">
        <v>12</v>
      </c>
      <c r="J1">
        <v>3</v>
      </c>
      <c r="K1">
        <v>6</v>
      </c>
      <c r="L1">
        <v>9</v>
      </c>
      <c r="M1">
        <v>12</v>
      </c>
      <c r="N1">
        <v>3</v>
      </c>
      <c r="O1">
        <v>6</v>
      </c>
      <c r="P1">
        <v>9</v>
      </c>
      <c r="Q1">
        <v>12</v>
      </c>
      <c r="R1">
        <v>3</v>
      </c>
      <c r="S1">
        <v>6</v>
      </c>
      <c r="T1">
        <v>9</v>
      </c>
      <c r="U1">
        <v>12</v>
      </c>
      <c r="V1">
        <v>3</v>
      </c>
      <c r="W1">
        <v>6</v>
      </c>
      <c r="X1">
        <v>9</v>
      </c>
      <c r="Y1">
        <v>12</v>
      </c>
      <c r="Z1">
        <v>3</v>
      </c>
      <c r="AA1">
        <v>6</v>
      </c>
      <c r="AB1">
        <v>9</v>
      </c>
      <c r="AC1">
        <v>12</v>
      </c>
      <c r="AD1">
        <v>3</v>
      </c>
      <c r="AE1">
        <v>6</v>
      </c>
      <c r="AF1">
        <v>9</v>
      </c>
      <c r="AG1">
        <v>12</v>
      </c>
      <c r="AH1">
        <v>12</v>
      </c>
      <c r="AI1">
        <v>12</v>
      </c>
      <c r="AJ1">
        <v>12</v>
      </c>
      <c r="AK1">
        <v>12</v>
      </c>
      <c r="AL1">
        <v>12</v>
      </c>
      <c r="AM1">
        <v>12</v>
      </c>
      <c r="AN1">
        <v>12</v>
      </c>
      <c r="AO1">
        <v>12</v>
      </c>
      <c r="AP1">
        <v>12</v>
      </c>
      <c r="AQ1">
        <v>3</v>
      </c>
      <c r="AR1">
        <v>6</v>
      </c>
      <c r="AS1">
        <v>9</v>
      </c>
      <c r="AT1">
        <v>12</v>
      </c>
      <c r="AU1">
        <v>3</v>
      </c>
      <c r="AV1">
        <v>6</v>
      </c>
      <c r="AW1">
        <v>9</v>
      </c>
      <c r="AX1">
        <v>11</v>
      </c>
      <c r="AY1">
        <v>12</v>
      </c>
      <c r="AZ1">
        <v>1</v>
      </c>
      <c r="BA1">
        <v>3</v>
      </c>
      <c r="BB1">
        <v>4</v>
      </c>
      <c r="BC1">
        <v>5</v>
      </c>
      <c r="BD1">
        <v>6</v>
      </c>
      <c r="BE1">
        <v>7</v>
      </c>
      <c r="BF1">
        <v>8</v>
      </c>
      <c r="BG1">
        <v>9</v>
      </c>
      <c r="BH1">
        <v>10</v>
      </c>
      <c r="BI1">
        <v>11</v>
      </c>
      <c r="BJ1">
        <v>12</v>
      </c>
      <c r="BK1">
        <v>1</v>
      </c>
      <c r="BL1">
        <v>2</v>
      </c>
      <c r="BM1">
        <v>3</v>
      </c>
      <c r="BN1">
        <v>4</v>
      </c>
      <c r="BO1">
        <v>5</v>
      </c>
      <c r="BP1">
        <v>6</v>
      </c>
      <c r="BQ1">
        <v>7</v>
      </c>
      <c r="BR1">
        <v>8</v>
      </c>
      <c r="BS1">
        <v>9</v>
      </c>
      <c r="BT1">
        <v>10</v>
      </c>
      <c r="BU1">
        <v>11</v>
      </c>
      <c r="BV1">
        <v>12</v>
      </c>
      <c r="BW1">
        <v>1</v>
      </c>
      <c r="BX1">
        <v>2</v>
      </c>
      <c r="BY1">
        <v>3</v>
      </c>
      <c r="BZ1">
        <v>4</v>
      </c>
      <c r="CA1">
        <v>5</v>
      </c>
      <c r="CB1">
        <v>6</v>
      </c>
      <c r="CC1">
        <v>7</v>
      </c>
      <c r="CD1">
        <v>8</v>
      </c>
      <c r="CE1">
        <v>9</v>
      </c>
      <c r="CF1">
        <v>10</v>
      </c>
      <c r="CG1">
        <v>11</v>
      </c>
      <c r="CH1">
        <v>12</v>
      </c>
      <c r="CI1">
        <v>1</v>
      </c>
      <c r="CJ1">
        <v>2</v>
      </c>
      <c r="CK1">
        <v>3</v>
      </c>
      <c r="CL1">
        <v>4</v>
      </c>
      <c r="CM1">
        <v>5</v>
      </c>
      <c r="CN1">
        <v>6</v>
      </c>
      <c r="CO1">
        <v>7</v>
      </c>
      <c r="CP1">
        <v>8</v>
      </c>
      <c r="CQ1">
        <v>9</v>
      </c>
      <c r="CR1">
        <v>10</v>
      </c>
      <c r="CS1">
        <v>11</v>
      </c>
      <c r="CT1">
        <v>12</v>
      </c>
      <c r="CU1">
        <v>1</v>
      </c>
      <c r="CV1">
        <v>2</v>
      </c>
      <c r="CW1">
        <v>3</v>
      </c>
      <c r="CX1">
        <v>4</v>
      </c>
      <c r="CY1">
        <v>5</v>
      </c>
      <c r="CZ1">
        <v>6</v>
      </c>
    </row>
    <row r="2" spans="1:104">
      <c r="A2" t="s">
        <v>0</v>
      </c>
      <c r="B2">
        <v>2001</v>
      </c>
      <c r="C2">
        <v>2001</v>
      </c>
      <c r="D2">
        <v>2001</v>
      </c>
      <c r="E2">
        <v>2001</v>
      </c>
      <c r="F2">
        <v>2002</v>
      </c>
      <c r="G2">
        <v>2002</v>
      </c>
      <c r="H2">
        <v>2002</v>
      </c>
      <c r="I2">
        <v>2002</v>
      </c>
      <c r="J2">
        <v>2003</v>
      </c>
      <c r="K2">
        <v>2003</v>
      </c>
      <c r="L2">
        <v>2003</v>
      </c>
      <c r="M2">
        <v>2003</v>
      </c>
      <c r="N2">
        <v>2004</v>
      </c>
      <c r="O2">
        <v>2004</v>
      </c>
      <c r="P2">
        <v>2004</v>
      </c>
      <c r="Q2">
        <v>2004</v>
      </c>
      <c r="R2">
        <v>2005</v>
      </c>
      <c r="S2">
        <v>2005</v>
      </c>
      <c r="T2">
        <v>2005</v>
      </c>
      <c r="U2">
        <v>2005</v>
      </c>
      <c r="V2">
        <v>2006</v>
      </c>
      <c r="W2">
        <v>2006</v>
      </c>
      <c r="X2">
        <v>2006</v>
      </c>
      <c r="Y2">
        <v>2006</v>
      </c>
      <c r="Z2">
        <v>2007</v>
      </c>
      <c r="AA2">
        <v>2007</v>
      </c>
      <c r="AB2">
        <v>2007</v>
      </c>
      <c r="AC2">
        <v>2007</v>
      </c>
      <c r="AD2">
        <v>2008</v>
      </c>
      <c r="AE2">
        <v>2008</v>
      </c>
      <c r="AF2">
        <v>2008</v>
      </c>
      <c r="AG2">
        <v>2008</v>
      </c>
      <c r="AH2">
        <v>2009</v>
      </c>
      <c r="AI2">
        <v>2010</v>
      </c>
      <c r="AJ2">
        <v>2011</v>
      </c>
      <c r="AK2">
        <v>2012</v>
      </c>
      <c r="AL2">
        <v>2013</v>
      </c>
      <c r="AM2">
        <v>2014</v>
      </c>
      <c r="AN2">
        <v>2015</v>
      </c>
      <c r="AO2">
        <v>2016</v>
      </c>
      <c r="AP2">
        <v>2017</v>
      </c>
      <c r="AQ2">
        <v>2018</v>
      </c>
      <c r="AR2">
        <v>2018</v>
      </c>
      <c r="AS2">
        <v>2018</v>
      </c>
      <c r="AT2">
        <v>2018</v>
      </c>
      <c r="AU2">
        <v>2019</v>
      </c>
      <c r="AV2">
        <v>2019</v>
      </c>
      <c r="AW2">
        <v>2019</v>
      </c>
      <c r="AX2">
        <v>2019</v>
      </c>
      <c r="AY2">
        <v>2019</v>
      </c>
      <c r="AZ2">
        <v>2020</v>
      </c>
      <c r="BA2">
        <v>2020</v>
      </c>
      <c r="BB2">
        <v>2020</v>
      </c>
      <c r="BC2">
        <v>2020</v>
      </c>
      <c r="BD2">
        <v>2020</v>
      </c>
      <c r="BE2">
        <v>2020</v>
      </c>
      <c r="BF2">
        <v>2020</v>
      </c>
      <c r="BG2">
        <v>2020</v>
      </c>
      <c r="BH2">
        <v>2020</v>
      </c>
      <c r="BI2">
        <v>2020</v>
      </c>
      <c r="BJ2">
        <v>2020</v>
      </c>
      <c r="BK2">
        <v>2021</v>
      </c>
      <c r="BL2">
        <v>2021</v>
      </c>
      <c r="BM2">
        <v>2021</v>
      </c>
      <c r="BN2">
        <v>2021</v>
      </c>
      <c r="BO2">
        <v>2021</v>
      </c>
      <c r="BP2">
        <v>2021</v>
      </c>
      <c r="BQ2">
        <v>2021</v>
      </c>
      <c r="BR2">
        <v>2021</v>
      </c>
      <c r="BS2">
        <v>2021</v>
      </c>
      <c r="BT2">
        <v>2021</v>
      </c>
      <c r="BU2">
        <v>2021</v>
      </c>
      <c r="BV2">
        <v>2021</v>
      </c>
      <c r="BW2">
        <v>2022</v>
      </c>
      <c r="BX2">
        <v>2022</v>
      </c>
      <c r="BY2">
        <v>2022</v>
      </c>
      <c r="BZ2">
        <v>2022</v>
      </c>
      <c r="CA2">
        <v>2022</v>
      </c>
      <c r="CB2">
        <v>2022</v>
      </c>
      <c r="CC2">
        <v>2022</v>
      </c>
      <c r="CD2">
        <v>2022</v>
      </c>
      <c r="CE2">
        <v>2022</v>
      </c>
      <c r="CF2">
        <v>2022</v>
      </c>
      <c r="CG2">
        <v>2022</v>
      </c>
      <c r="CH2">
        <v>2022</v>
      </c>
      <c r="CI2">
        <v>2023</v>
      </c>
      <c r="CJ2">
        <v>2023</v>
      </c>
      <c r="CK2">
        <v>2023</v>
      </c>
      <c r="CL2">
        <v>2023</v>
      </c>
      <c r="CM2">
        <v>2023</v>
      </c>
      <c r="CN2">
        <v>2023</v>
      </c>
      <c r="CO2">
        <v>2023</v>
      </c>
      <c r="CP2">
        <v>2023</v>
      </c>
      <c r="CQ2">
        <v>2023</v>
      </c>
      <c r="CR2">
        <v>2023</v>
      </c>
      <c r="CS2">
        <v>2023</v>
      </c>
      <c r="CT2">
        <v>2023</v>
      </c>
      <c r="CU2">
        <v>2024</v>
      </c>
      <c r="CV2">
        <v>2024</v>
      </c>
      <c r="CW2">
        <v>2024</v>
      </c>
      <c r="CX2">
        <v>2024</v>
      </c>
      <c r="CY2">
        <v>2024</v>
      </c>
      <c r="CZ2">
        <v>2024</v>
      </c>
    </row>
    <row r="3" spans="1:104">
      <c r="A3" t="s">
        <v>151</v>
      </c>
      <c r="B3">
        <v>9213</v>
      </c>
      <c r="C3">
        <v>9569</v>
      </c>
      <c r="D3">
        <v>10610</v>
      </c>
      <c r="E3">
        <v>10045</v>
      </c>
      <c r="F3">
        <v>11045</v>
      </c>
      <c r="G3">
        <v>11586</v>
      </c>
      <c r="H3">
        <v>11132</v>
      </c>
      <c r="I3">
        <v>11403</v>
      </c>
      <c r="J3">
        <v>11876</v>
      </c>
      <c r="K3">
        <v>11007</v>
      </c>
      <c r="L3">
        <v>11121</v>
      </c>
      <c r="M3">
        <v>11219</v>
      </c>
      <c r="N3">
        <v>11133</v>
      </c>
      <c r="O3">
        <v>11691</v>
      </c>
      <c r="P3">
        <v>13772</v>
      </c>
      <c r="Q3">
        <v>13553</v>
      </c>
      <c r="R3">
        <v>15718</v>
      </c>
      <c r="S3">
        <v>20014</v>
      </c>
      <c r="T3">
        <v>24993</v>
      </c>
      <c r="U3">
        <v>25394</v>
      </c>
      <c r="V3">
        <v>30276</v>
      </c>
      <c r="W3">
        <v>34039</v>
      </c>
      <c r="X3">
        <v>39621</v>
      </c>
      <c r="Y3">
        <v>49484</v>
      </c>
      <c r="Z3">
        <v>54132</v>
      </c>
      <c r="AA3">
        <v>59038</v>
      </c>
      <c r="AB3">
        <v>67705</v>
      </c>
      <c r="AC3">
        <v>64683</v>
      </c>
      <c r="AD3">
        <v>66536</v>
      </c>
      <c r="AE3">
        <v>70896</v>
      </c>
      <c r="AF3">
        <v>88077</v>
      </c>
      <c r="AG3">
        <v>78738</v>
      </c>
      <c r="AH3">
        <v>88590</v>
      </c>
      <c r="AI3">
        <v>120353</v>
      </c>
      <c r="AJ3">
        <v>112422</v>
      </c>
      <c r="AK3">
        <v>134097</v>
      </c>
      <c r="AL3">
        <v>111767</v>
      </c>
      <c r="AM3">
        <v>154000</v>
      </c>
      <c r="AN3">
        <v>171492</v>
      </c>
      <c r="AO3">
        <v>199050</v>
      </c>
      <c r="AP3">
        <v>191677</v>
      </c>
      <c r="AQ3">
        <v>189451</v>
      </c>
      <c r="AR3">
        <v>190121</v>
      </c>
      <c r="AS3">
        <v>205439</v>
      </c>
      <c r="AT3">
        <v>213413</v>
      </c>
      <c r="AU3">
        <v>208168</v>
      </c>
      <c r="AV3">
        <v>196709</v>
      </c>
      <c r="AW3">
        <v>189771</v>
      </c>
      <c r="AX3">
        <v>204399</v>
      </c>
      <c r="AY3">
        <v>221372</v>
      </c>
      <c r="AZ3">
        <v>210355</v>
      </c>
      <c r="BA3">
        <v>216751</v>
      </c>
      <c r="BB3">
        <v>210355</v>
      </c>
      <c r="BC3">
        <v>202881</v>
      </c>
      <c r="BD3">
        <v>200368</v>
      </c>
      <c r="BE3">
        <v>197001</v>
      </c>
      <c r="BF3">
        <v>189966</v>
      </c>
      <c r="BG3">
        <v>191347</v>
      </c>
      <c r="BH3">
        <v>197025</v>
      </c>
      <c r="BI3">
        <v>196457</v>
      </c>
      <c r="BJ3">
        <v>202443</v>
      </c>
      <c r="BK3">
        <v>198152</v>
      </c>
      <c r="BL3">
        <v>201164</v>
      </c>
      <c r="BM3">
        <v>203514</v>
      </c>
      <c r="BN3">
        <v>211178</v>
      </c>
      <c r="BO3">
        <v>214440</v>
      </c>
      <c r="BP3">
        <v>225711</v>
      </c>
      <c r="BQ3">
        <v>230997</v>
      </c>
      <c r="BR3">
        <v>234491</v>
      </c>
      <c r="BS3">
        <v>243156</v>
      </c>
      <c r="BT3">
        <v>238979</v>
      </c>
      <c r="BU3">
        <v>229747</v>
      </c>
      <c r="BV3">
        <v>230994</v>
      </c>
      <c r="BW3">
        <v>220481</v>
      </c>
      <c r="BX3">
        <v>217490</v>
      </c>
      <c r="BY3">
        <v>214802</v>
      </c>
      <c r="BZ3">
        <v>246536</v>
      </c>
      <c r="CA3">
        <v>243500</v>
      </c>
      <c r="CB3">
        <v>248384</v>
      </c>
      <c r="CC3">
        <v>256283</v>
      </c>
      <c r="CD3">
        <v>238251</v>
      </c>
      <c r="CE3">
        <v>228614</v>
      </c>
      <c r="CF3">
        <v>238313</v>
      </c>
      <c r="CG3">
        <v>223537</v>
      </c>
      <c r="CH3">
        <v>212530</v>
      </c>
      <c r="CI3">
        <v>212859</v>
      </c>
      <c r="CJ3">
        <v>208716</v>
      </c>
      <c r="CK3">
        <v>213355</v>
      </c>
      <c r="CL3">
        <v>215440</v>
      </c>
      <c r="CM3">
        <v>239303</v>
      </c>
      <c r="CN3">
        <v>211148</v>
      </c>
      <c r="CO3">
        <v>202966</v>
      </c>
      <c r="CP3">
        <v>211360</v>
      </c>
      <c r="CQ3">
        <v>190100</v>
      </c>
      <c r="CR3">
        <v>204134</v>
      </c>
      <c r="CS3">
        <v>185134</v>
      </c>
      <c r="CT3">
        <v>202047</v>
      </c>
      <c r="CU3">
        <v>197897</v>
      </c>
      <c r="CV3">
        <v>207669</v>
      </c>
      <c r="CW3">
        <v>220931</v>
      </c>
      <c r="CX3">
        <v>214424</v>
      </c>
      <c r="CY3">
        <v>204650</v>
      </c>
      <c r="CZ3">
        <v>221821.5</v>
      </c>
    </row>
    <row r="4" spans="1:104">
      <c r="A4" t="s">
        <v>152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16</v>
      </c>
      <c r="Z4" t="s">
        <v>16</v>
      </c>
      <c r="AA4" t="s">
        <v>16</v>
      </c>
      <c r="AB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t="s">
        <v>16</v>
      </c>
      <c r="AM4" t="s">
        <v>16</v>
      </c>
      <c r="AN4">
        <v>72807</v>
      </c>
      <c r="AO4">
        <v>88352</v>
      </c>
      <c r="AP4">
        <v>88310</v>
      </c>
      <c r="AQ4">
        <v>79909</v>
      </c>
      <c r="AR4">
        <v>80202</v>
      </c>
      <c r="AS4">
        <v>86543</v>
      </c>
      <c r="AT4">
        <v>91889</v>
      </c>
      <c r="AU4">
        <v>85899</v>
      </c>
      <c r="AV4">
        <v>88662</v>
      </c>
      <c r="AW4">
        <v>85012</v>
      </c>
      <c r="AX4">
        <v>84337</v>
      </c>
      <c r="AY4">
        <v>87964</v>
      </c>
      <c r="AZ4">
        <v>83172</v>
      </c>
      <c r="BA4">
        <v>91844</v>
      </c>
      <c r="BB4">
        <v>85242</v>
      </c>
      <c r="BC4">
        <v>83790</v>
      </c>
      <c r="BD4">
        <v>73495</v>
      </c>
      <c r="BE4">
        <v>73140</v>
      </c>
      <c r="BF4">
        <v>74433</v>
      </c>
      <c r="BG4">
        <v>73341</v>
      </c>
      <c r="BH4">
        <v>70632</v>
      </c>
      <c r="BI4">
        <v>71651</v>
      </c>
      <c r="BJ4">
        <v>72250</v>
      </c>
      <c r="BK4">
        <v>69773</v>
      </c>
      <c r="BL4">
        <v>69780</v>
      </c>
      <c r="BM4">
        <v>69533</v>
      </c>
      <c r="BN4">
        <v>72724</v>
      </c>
      <c r="BO4">
        <v>78506</v>
      </c>
      <c r="BP4">
        <v>80330</v>
      </c>
      <c r="BQ4">
        <v>79866</v>
      </c>
      <c r="BR4">
        <v>82086</v>
      </c>
      <c r="BS4">
        <v>82932</v>
      </c>
      <c r="BT4">
        <v>83026</v>
      </c>
      <c r="BU4">
        <v>81287</v>
      </c>
      <c r="BV4">
        <v>82170</v>
      </c>
      <c r="BW4">
        <v>88124</v>
      </c>
      <c r="BX4">
        <v>86540</v>
      </c>
      <c r="BY4">
        <v>92340</v>
      </c>
      <c r="BZ4">
        <v>120726</v>
      </c>
      <c r="CA4">
        <v>123118</v>
      </c>
      <c r="CB4">
        <v>138302</v>
      </c>
      <c r="CC4">
        <v>138693</v>
      </c>
      <c r="CD4">
        <v>122263</v>
      </c>
      <c r="CE4">
        <v>119744</v>
      </c>
      <c r="CF4">
        <v>132719</v>
      </c>
      <c r="CG4">
        <v>116203</v>
      </c>
      <c r="CH4">
        <v>103101</v>
      </c>
      <c r="CI4">
        <v>103291</v>
      </c>
      <c r="CJ4">
        <v>101881</v>
      </c>
      <c r="CK4">
        <v>107722</v>
      </c>
      <c r="CL4">
        <v>104053</v>
      </c>
      <c r="CM4">
        <v>137011</v>
      </c>
      <c r="CN4">
        <v>111929</v>
      </c>
      <c r="CO4">
        <v>95515</v>
      </c>
      <c r="CP4">
        <v>103479</v>
      </c>
      <c r="CQ4">
        <v>105083</v>
      </c>
      <c r="CR4">
        <v>119142</v>
      </c>
      <c r="CS4">
        <v>109572</v>
      </c>
      <c r="CT4">
        <v>110387</v>
      </c>
      <c r="CU4">
        <v>103281</v>
      </c>
      <c r="CV4">
        <v>106829</v>
      </c>
      <c r="CW4">
        <v>117576</v>
      </c>
      <c r="CX4">
        <v>108766</v>
      </c>
      <c r="CY4">
        <v>103087</v>
      </c>
      <c r="CZ4">
        <v>112305.8</v>
      </c>
    </row>
    <row r="5" spans="1:104">
      <c r="A5" t="s">
        <v>153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16</v>
      </c>
      <c r="AN5">
        <v>57606</v>
      </c>
      <c r="AO5">
        <v>70150</v>
      </c>
      <c r="AP5">
        <v>66096</v>
      </c>
      <c r="AQ5">
        <v>70078</v>
      </c>
      <c r="AR5">
        <v>64645</v>
      </c>
      <c r="AS5">
        <v>71618</v>
      </c>
      <c r="AT5">
        <v>68637</v>
      </c>
      <c r="AU5">
        <v>67963</v>
      </c>
      <c r="AV5">
        <v>63053</v>
      </c>
      <c r="AW5">
        <v>61608</v>
      </c>
      <c r="AX5">
        <v>75532</v>
      </c>
      <c r="AY5">
        <v>84026</v>
      </c>
      <c r="AZ5">
        <v>76157</v>
      </c>
      <c r="BA5">
        <v>79707</v>
      </c>
      <c r="BB5">
        <v>80699</v>
      </c>
      <c r="BC5">
        <v>78314</v>
      </c>
      <c r="BD5">
        <v>75382</v>
      </c>
      <c r="BE5">
        <v>71597</v>
      </c>
      <c r="BF5">
        <v>73210</v>
      </c>
      <c r="BG5">
        <v>71676</v>
      </c>
      <c r="BH5">
        <v>82847</v>
      </c>
      <c r="BI5">
        <v>80767</v>
      </c>
      <c r="BJ5">
        <v>84421</v>
      </c>
      <c r="BK5">
        <v>79678</v>
      </c>
      <c r="BL5">
        <v>78332</v>
      </c>
      <c r="BM5">
        <v>86340</v>
      </c>
      <c r="BN5">
        <v>83376</v>
      </c>
      <c r="BO5">
        <v>83623</v>
      </c>
      <c r="BP5">
        <v>81501</v>
      </c>
      <c r="BQ5">
        <v>86415</v>
      </c>
      <c r="BR5">
        <v>91963</v>
      </c>
      <c r="BS5">
        <v>97606</v>
      </c>
      <c r="BT5">
        <v>94926</v>
      </c>
      <c r="BU5">
        <v>90043</v>
      </c>
      <c r="BV5">
        <v>86020</v>
      </c>
      <c r="BW5">
        <v>71720</v>
      </c>
      <c r="BX5">
        <v>64537</v>
      </c>
      <c r="BY5">
        <v>63642</v>
      </c>
      <c r="BZ5">
        <v>58035</v>
      </c>
      <c r="CA5">
        <v>52110</v>
      </c>
      <c r="CB5">
        <v>49497</v>
      </c>
      <c r="CC5">
        <v>49635</v>
      </c>
      <c r="CD5">
        <v>44690</v>
      </c>
      <c r="CE5">
        <v>40588</v>
      </c>
      <c r="CF5">
        <v>41779</v>
      </c>
      <c r="CG5">
        <v>40565</v>
      </c>
      <c r="CH5">
        <v>41171</v>
      </c>
      <c r="CI5">
        <v>39496</v>
      </c>
      <c r="CJ5">
        <v>38922</v>
      </c>
      <c r="CK5">
        <v>37317</v>
      </c>
      <c r="CL5">
        <v>39912</v>
      </c>
      <c r="CM5">
        <v>36666</v>
      </c>
      <c r="CN5">
        <v>35833</v>
      </c>
      <c r="CO5">
        <v>39800</v>
      </c>
      <c r="CP5">
        <v>38551</v>
      </c>
      <c r="CQ5">
        <v>30326</v>
      </c>
      <c r="CR5">
        <v>28249</v>
      </c>
      <c r="CS5">
        <v>22889</v>
      </c>
      <c r="CT5">
        <v>23766</v>
      </c>
      <c r="CU5">
        <v>24220</v>
      </c>
      <c r="CV5">
        <v>24065</v>
      </c>
      <c r="CW5">
        <v>27514</v>
      </c>
      <c r="CX5">
        <v>27724</v>
      </c>
      <c r="CY5">
        <v>33250</v>
      </c>
      <c r="CZ5">
        <v>36024.800000000003</v>
      </c>
    </row>
    <row r="6" spans="1:104">
      <c r="A6" t="s">
        <v>154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>
        <v>27492</v>
      </c>
      <c r="AO6">
        <v>28084</v>
      </c>
      <c r="AP6">
        <v>26497</v>
      </c>
      <c r="AQ6">
        <v>25680</v>
      </c>
      <c r="AR6">
        <v>24937</v>
      </c>
      <c r="AS6">
        <v>24951</v>
      </c>
      <c r="AT6">
        <v>25932</v>
      </c>
      <c r="AU6">
        <v>25920</v>
      </c>
      <c r="AV6">
        <v>25413</v>
      </c>
      <c r="AW6">
        <v>24876</v>
      </c>
      <c r="AX6">
        <v>25187</v>
      </c>
      <c r="AY6">
        <v>24867</v>
      </c>
      <c r="AZ6">
        <v>24547</v>
      </c>
      <c r="BA6">
        <v>23952</v>
      </c>
      <c r="BB6">
        <v>23631</v>
      </c>
      <c r="BC6">
        <v>23880</v>
      </c>
      <c r="BD6">
        <v>23781</v>
      </c>
      <c r="BE6">
        <v>24188</v>
      </c>
      <c r="BF6">
        <v>24347</v>
      </c>
      <c r="BG6">
        <v>24382</v>
      </c>
      <c r="BH6">
        <v>24454</v>
      </c>
      <c r="BI6">
        <v>24417</v>
      </c>
      <c r="BJ6">
        <v>24604</v>
      </c>
      <c r="BK6">
        <v>24754</v>
      </c>
      <c r="BL6">
        <v>25097</v>
      </c>
      <c r="BM6">
        <v>24881</v>
      </c>
      <c r="BN6">
        <v>24990</v>
      </c>
      <c r="BO6">
        <v>25056</v>
      </c>
      <c r="BP6">
        <v>24638</v>
      </c>
      <c r="BQ6">
        <v>24814</v>
      </c>
      <c r="BR6">
        <v>24899</v>
      </c>
      <c r="BS6">
        <v>25665</v>
      </c>
      <c r="BT6">
        <v>25273</v>
      </c>
      <c r="BU6">
        <v>26656</v>
      </c>
      <c r="BV6">
        <v>26261</v>
      </c>
      <c r="BW6">
        <v>26067</v>
      </c>
      <c r="BX6">
        <v>26624</v>
      </c>
      <c r="BY6">
        <v>27377</v>
      </c>
      <c r="BZ6">
        <v>28121</v>
      </c>
      <c r="CA6">
        <v>29340</v>
      </c>
      <c r="CB6">
        <v>29372</v>
      </c>
      <c r="CC6">
        <v>30136</v>
      </c>
      <c r="CD6">
        <v>30543</v>
      </c>
      <c r="CE6">
        <v>31077</v>
      </c>
      <c r="CF6">
        <v>32008</v>
      </c>
      <c r="CG6">
        <v>33110</v>
      </c>
      <c r="CH6">
        <v>33475</v>
      </c>
      <c r="CI6">
        <v>34226</v>
      </c>
      <c r="CJ6">
        <v>33627</v>
      </c>
      <c r="CK6">
        <v>35104</v>
      </c>
      <c r="CL6">
        <v>37019</v>
      </c>
      <c r="CM6">
        <v>36873</v>
      </c>
      <c r="CN6">
        <v>37930</v>
      </c>
      <c r="CO6">
        <v>37255</v>
      </c>
      <c r="CP6">
        <v>37275</v>
      </c>
      <c r="CQ6">
        <v>37683</v>
      </c>
      <c r="CR6">
        <v>39027</v>
      </c>
      <c r="CS6">
        <v>38450</v>
      </c>
      <c r="CT6">
        <v>38960</v>
      </c>
      <c r="CU6">
        <v>39446</v>
      </c>
      <c r="CV6">
        <v>39093</v>
      </c>
      <c r="CW6">
        <v>39130</v>
      </c>
      <c r="CX6">
        <v>38880</v>
      </c>
      <c r="CY6">
        <v>39488</v>
      </c>
      <c r="CZ6">
        <v>40392.199999999997</v>
      </c>
    </row>
    <row r="7" spans="1:104">
      <c r="A7" t="s">
        <v>155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>
        <v>13587</v>
      </c>
      <c r="AO7">
        <v>12464</v>
      </c>
      <c r="AP7">
        <v>10774</v>
      </c>
      <c r="AQ7">
        <v>13784</v>
      </c>
      <c r="AR7">
        <v>20337</v>
      </c>
      <c r="AS7">
        <v>22327</v>
      </c>
      <c r="AT7">
        <v>26955</v>
      </c>
      <c r="AU7">
        <v>28386</v>
      </c>
      <c r="AV7">
        <v>19581</v>
      </c>
      <c r="AW7">
        <v>18275</v>
      </c>
      <c r="AX7">
        <v>19343</v>
      </c>
      <c r="AY7">
        <v>24515</v>
      </c>
      <c r="AZ7">
        <v>26479</v>
      </c>
      <c r="BA7">
        <v>21248</v>
      </c>
      <c r="BB7">
        <v>20783</v>
      </c>
      <c r="BC7">
        <v>16897</v>
      </c>
      <c r="BD7">
        <v>27710</v>
      </c>
      <c r="BE7">
        <v>28076</v>
      </c>
      <c r="BF7">
        <v>17976</v>
      </c>
      <c r="BG7">
        <v>21948</v>
      </c>
      <c r="BH7">
        <v>19092</v>
      </c>
      <c r="BI7">
        <v>19622</v>
      </c>
      <c r="BJ7">
        <v>21168</v>
      </c>
      <c r="BK7">
        <v>23947</v>
      </c>
      <c r="BL7">
        <v>27955</v>
      </c>
      <c r="BM7">
        <v>22760</v>
      </c>
      <c r="BN7">
        <v>30088</v>
      </c>
      <c r="BO7">
        <v>27255</v>
      </c>
      <c r="BP7">
        <v>39242</v>
      </c>
      <c r="BQ7">
        <v>39902</v>
      </c>
      <c r="BR7">
        <v>35543</v>
      </c>
      <c r="BS7">
        <v>36953</v>
      </c>
      <c r="BT7">
        <v>35754</v>
      </c>
      <c r="BU7">
        <v>31761</v>
      </c>
      <c r="BV7">
        <v>36543</v>
      </c>
      <c r="BW7">
        <v>34570</v>
      </c>
      <c r="BX7">
        <v>39789</v>
      </c>
      <c r="BY7">
        <v>31443</v>
      </c>
      <c r="BZ7">
        <v>39654</v>
      </c>
      <c r="CA7">
        <v>38932</v>
      </c>
      <c r="CB7">
        <v>31213</v>
      </c>
      <c r="CC7">
        <v>37819</v>
      </c>
      <c r="CD7">
        <v>40755</v>
      </c>
      <c r="CE7">
        <v>37205</v>
      </c>
      <c r="CF7">
        <v>31807</v>
      </c>
      <c r="CG7">
        <v>33659</v>
      </c>
      <c r="CH7">
        <v>34783</v>
      </c>
      <c r="CI7">
        <v>35846</v>
      </c>
      <c r="CJ7">
        <v>34286</v>
      </c>
      <c r="CK7">
        <v>33212</v>
      </c>
      <c r="CL7">
        <v>34456</v>
      </c>
      <c r="CM7">
        <v>28753</v>
      </c>
      <c r="CN7">
        <v>25456</v>
      </c>
      <c r="CO7">
        <v>30396</v>
      </c>
      <c r="CP7">
        <v>32055</v>
      </c>
      <c r="CQ7">
        <v>17008</v>
      </c>
      <c r="CR7">
        <v>17716</v>
      </c>
      <c r="CS7">
        <v>14223</v>
      </c>
      <c r="CT7">
        <v>28934</v>
      </c>
      <c r="CU7">
        <v>30950</v>
      </c>
      <c r="CV7">
        <v>37682</v>
      </c>
      <c r="CW7">
        <v>36711</v>
      </c>
      <c r="CX7">
        <v>39054</v>
      </c>
      <c r="CY7">
        <v>28825</v>
      </c>
      <c r="CZ7">
        <v>33098.699999999997</v>
      </c>
    </row>
    <row r="8" spans="1:104">
      <c r="A8" t="s">
        <v>156</v>
      </c>
      <c r="B8">
        <v>519</v>
      </c>
      <c r="C8">
        <v>484</v>
      </c>
      <c r="D8">
        <v>895</v>
      </c>
      <c r="E8">
        <v>686</v>
      </c>
      <c r="F8">
        <v>1080</v>
      </c>
      <c r="G8">
        <v>901</v>
      </c>
      <c r="H8">
        <v>872</v>
      </c>
      <c r="I8">
        <v>906</v>
      </c>
      <c r="J8">
        <v>1013</v>
      </c>
      <c r="K8">
        <v>887</v>
      </c>
      <c r="L8">
        <v>1052</v>
      </c>
      <c r="M8">
        <v>980</v>
      </c>
      <c r="N8">
        <v>906</v>
      </c>
      <c r="O8">
        <v>695</v>
      </c>
      <c r="P8">
        <v>1088</v>
      </c>
      <c r="Q8">
        <v>995</v>
      </c>
      <c r="R8">
        <v>712</v>
      </c>
      <c r="S8">
        <v>590</v>
      </c>
      <c r="T8">
        <v>771</v>
      </c>
      <c r="U8">
        <v>1583</v>
      </c>
      <c r="V8">
        <v>1581</v>
      </c>
      <c r="W8">
        <v>1550</v>
      </c>
      <c r="X8">
        <v>1954</v>
      </c>
      <c r="Y8">
        <v>3311</v>
      </c>
      <c r="Z8">
        <v>4345</v>
      </c>
      <c r="AA8">
        <v>4868</v>
      </c>
      <c r="AB8">
        <v>4642</v>
      </c>
      <c r="AC8">
        <v>6057</v>
      </c>
      <c r="AD8">
        <v>6361</v>
      </c>
      <c r="AE8">
        <v>5101</v>
      </c>
      <c r="AF8">
        <v>2714</v>
      </c>
      <c r="AG8">
        <v>5314</v>
      </c>
      <c r="AH8">
        <v>11439</v>
      </c>
      <c r="AI8">
        <v>6877</v>
      </c>
      <c r="AJ8">
        <v>7662</v>
      </c>
      <c r="AK8">
        <v>9204</v>
      </c>
      <c r="AL8">
        <v>4231</v>
      </c>
      <c r="AM8" t="s">
        <v>16</v>
      </c>
      <c r="AN8" t="s">
        <v>16</v>
      </c>
      <c r="AO8" t="s">
        <v>16</v>
      </c>
      <c r="AP8" t="s">
        <v>16</v>
      </c>
      <c r="AQ8" t="s">
        <v>16</v>
      </c>
      <c r="AR8" t="s">
        <v>16</v>
      </c>
      <c r="AS8" t="s">
        <v>16</v>
      </c>
      <c r="AT8" t="s">
        <v>16</v>
      </c>
      <c r="AU8" t="s">
        <v>16</v>
      </c>
      <c r="AV8" t="s">
        <v>16</v>
      </c>
      <c r="AW8" t="s">
        <v>16</v>
      </c>
      <c r="AX8" t="s">
        <v>16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16</v>
      </c>
      <c r="BG8" t="s">
        <v>16</v>
      </c>
      <c r="BH8" t="s">
        <v>16</v>
      </c>
      <c r="BI8" t="s">
        <v>16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16</v>
      </c>
      <c r="BP8" t="s">
        <v>16</v>
      </c>
      <c r="BQ8" t="s">
        <v>16</v>
      </c>
      <c r="BR8" t="s">
        <v>16</v>
      </c>
      <c r="BS8" t="s">
        <v>16</v>
      </c>
      <c r="BT8" t="s">
        <v>16</v>
      </c>
      <c r="BU8" t="s">
        <v>16</v>
      </c>
      <c r="BV8" t="s">
        <v>16</v>
      </c>
      <c r="BW8" t="s">
        <v>16</v>
      </c>
      <c r="BX8" t="s">
        <v>16</v>
      </c>
      <c r="BY8" t="s">
        <v>16</v>
      </c>
      <c r="BZ8" t="s">
        <v>16</v>
      </c>
      <c r="CA8" t="s">
        <v>16</v>
      </c>
      <c r="CB8" t="s">
        <v>16</v>
      </c>
      <c r="CC8" t="s">
        <v>16</v>
      </c>
      <c r="CD8" t="s">
        <v>16</v>
      </c>
      <c r="CE8" t="s">
        <v>16</v>
      </c>
      <c r="CF8" t="s">
        <v>16</v>
      </c>
      <c r="CG8" t="s">
        <v>16</v>
      </c>
      <c r="CH8" t="s">
        <v>16</v>
      </c>
      <c r="CI8" t="s">
        <v>16</v>
      </c>
      <c r="CJ8" t="s">
        <v>16</v>
      </c>
      <c r="CK8" t="s">
        <v>16</v>
      </c>
      <c r="CL8" t="s">
        <v>16</v>
      </c>
      <c r="CM8" t="s">
        <v>16</v>
      </c>
      <c r="CN8" t="s">
        <v>16</v>
      </c>
      <c r="CO8" t="s">
        <v>16</v>
      </c>
      <c r="CP8" t="s">
        <v>16</v>
      </c>
      <c r="CQ8" t="s">
        <v>16</v>
      </c>
      <c r="CR8" t="s">
        <v>16</v>
      </c>
      <c r="CS8" t="s">
        <v>16</v>
      </c>
      <c r="CT8" t="s">
        <v>16</v>
      </c>
      <c r="CU8" t="s">
        <v>16</v>
      </c>
      <c r="CV8" t="s">
        <v>16</v>
      </c>
      <c r="CW8" t="s">
        <v>16</v>
      </c>
      <c r="CX8" t="s">
        <v>16</v>
      </c>
      <c r="CY8" t="s">
        <v>16</v>
      </c>
      <c r="CZ8" t="s">
        <v>16</v>
      </c>
    </row>
    <row r="9" spans="1:104">
      <c r="A9" t="s">
        <v>157</v>
      </c>
      <c r="B9">
        <v>708</v>
      </c>
      <c r="C9">
        <v>848</v>
      </c>
      <c r="D9">
        <v>1564</v>
      </c>
      <c r="E9">
        <v>1485</v>
      </c>
      <c r="F9">
        <v>1553</v>
      </c>
      <c r="G9">
        <v>2603</v>
      </c>
      <c r="H9">
        <v>1806</v>
      </c>
      <c r="I9">
        <v>1598</v>
      </c>
      <c r="J9">
        <v>1550</v>
      </c>
      <c r="K9">
        <v>983</v>
      </c>
      <c r="L9">
        <v>637</v>
      </c>
      <c r="M9">
        <v>805</v>
      </c>
      <c r="N9">
        <v>606</v>
      </c>
      <c r="O9">
        <v>749</v>
      </c>
      <c r="P9">
        <v>1279</v>
      </c>
      <c r="Q9">
        <v>1284</v>
      </c>
      <c r="R9">
        <v>1652</v>
      </c>
      <c r="S9">
        <v>1879</v>
      </c>
      <c r="T9">
        <v>3657</v>
      </c>
      <c r="U9">
        <v>4834</v>
      </c>
      <c r="V9">
        <v>7072</v>
      </c>
      <c r="W9">
        <v>5196</v>
      </c>
      <c r="X9">
        <v>5322</v>
      </c>
      <c r="Y9">
        <v>8630</v>
      </c>
      <c r="Z9">
        <v>7530</v>
      </c>
      <c r="AA9">
        <v>8243</v>
      </c>
      <c r="AB9">
        <v>13832</v>
      </c>
      <c r="AC9">
        <v>14289</v>
      </c>
      <c r="AD9">
        <v>7319</v>
      </c>
      <c r="AE9">
        <v>11424</v>
      </c>
      <c r="AF9">
        <v>18339</v>
      </c>
      <c r="AG9">
        <v>15591</v>
      </c>
      <c r="AH9">
        <v>33426</v>
      </c>
      <c r="AI9">
        <v>48378</v>
      </c>
      <c r="AJ9">
        <v>37159</v>
      </c>
      <c r="AK9">
        <v>47951</v>
      </c>
      <c r="AL9">
        <v>35828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t="s">
        <v>16</v>
      </c>
      <c r="AS9" t="s">
        <v>16</v>
      </c>
      <c r="AT9" t="s">
        <v>16</v>
      </c>
      <c r="AU9" t="s">
        <v>16</v>
      </c>
      <c r="AV9" t="s">
        <v>16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16</v>
      </c>
      <c r="BG9" t="s">
        <v>16</v>
      </c>
      <c r="BH9" t="s">
        <v>16</v>
      </c>
      <c r="BI9" t="s">
        <v>16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16</v>
      </c>
      <c r="BP9" t="s">
        <v>16</v>
      </c>
      <c r="BQ9" t="s">
        <v>16</v>
      </c>
      <c r="BR9" t="s">
        <v>16</v>
      </c>
      <c r="BS9" t="s">
        <v>16</v>
      </c>
      <c r="BT9" t="s">
        <v>16</v>
      </c>
      <c r="BU9" t="s">
        <v>16</v>
      </c>
      <c r="BV9" t="s">
        <v>16</v>
      </c>
      <c r="BW9" t="s">
        <v>16</v>
      </c>
      <c r="BX9" t="s">
        <v>16</v>
      </c>
      <c r="BY9" t="s">
        <v>16</v>
      </c>
      <c r="BZ9" t="s">
        <v>16</v>
      </c>
      <c r="CA9" t="s">
        <v>16</v>
      </c>
      <c r="CB9" t="s">
        <v>16</v>
      </c>
      <c r="CC9" t="s">
        <v>16</v>
      </c>
      <c r="CD9" t="s">
        <v>16</v>
      </c>
      <c r="CE9" t="s">
        <v>16</v>
      </c>
      <c r="CF9" t="s">
        <v>16</v>
      </c>
      <c r="CG9" t="s">
        <v>16</v>
      </c>
      <c r="CH9" t="s">
        <v>16</v>
      </c>
      <c r="CI9" t="s">
        <v>16</v>
      </c>
      <c r="CJ9" t="s">
        <v>16</v>
      </c>
      <c r="CK9" t="s">
        <v>16</v>
      </c>
      <c r="CL9" t="s">
        <v>16</v>
      </c>
      <c r="CM9" t="s">
        <v>16</v>
      </c>
      <c r="CN9" t="s">
        <v>16</v>
      </c>
      <c r="CO9" t="s">
        <v>16</v>
      </c>
      <c r="CP9" t="s">
        <v>16</v>
      </c>
      <c r="CQ9" t="s">
        <v>16</v>
      </c>
      <c r="CR9" t="s">
        <v>16</v>
      </c>
      <c r="CS9" t="s">
        <v>16</v>
      </c>
      <c r="CT9" t="s">
        <v>16</v>
      </c>
      <c r="CU9" t="s">
        <v>16</v>
      </c>
      <c r="CV9" t="s">
        <v>16</v>
      </c>
      <c r="CW9" t="s">
        <v>16</v>
      </c>
      <c r="CX9" t="s">
        <v>16</v>
      </c>
      <c r="CY9" t="s">
        <v>16</v>
      </c>
      <c r="CZ9" t="s">
        <v>16</v>
      </c>
    </row>
    <row r="10" spans="1:104">
      <c r="A10" t="s">
        <v>158</v>
      </c>
      <c r="B10">
        <v>2615</v>
      </c>
      <c r="C10">
        <v>2602</v>
      </c>
      <c r="D10">
        <v>2579</v>
      </c>
      <c r="E10">
        <v>2503</v>
      </c>
      <c r="F10">
        <v>3373</v>
      </c>
      <c r="G10">
        <v>2930</v>
      </c>
      <c r="H10">
        <v>3087</v>
      </c>
      <c r="I10">
        <v>3525</v>
      </c>
      <c r="J10">
        <v>3880</v>
      </c>
      <c r="K10">
        <v>3655</v>
      </c>
      <c r="L10">
        <v>3726</v>
      </c>
      <c r="M10">
        <v>3563</v>
      </c>
      <c r="N10">
        <v>3764</v>
      </c>
      <c r="O10">
        <v>4274</v>
      </c>
      <c r="P10">
        <v>5285</v>
      </c>
      <c r="Q10">
        <v>4715</v>
      </c>
      <c r="R10">
        <v>5026</v>
      </c>
      <c r="S10">
        <v>8201</v>
      </c>
      <c r="T10">
        <v>10203</v>
      </c>
      <c r="U10">
        <v>8849</v>
      </c>
      <c r="V10">
        <v>10117</v>
      </c>
      <c r="W10">
        <v>13888</v>
      </c>
      <c r="X10">
        <v>13846</v>
      </c>
      <c r="Y10">
        <v>15720</v>
      </c>
      <c r="Z10">
        <v>14999</v>
      </c>
      <c r="AA10">
        <v>17388</v>
      </c>
      <c r="AB10">
        <v>18354</v>
      </c>
      <c r="AC10">
        <v>18780</v>
      </c>
      <c r="AD10">
        <v>18632</v>
      </c>
      <c r="AE10">
        <v>24007</v>
      </c>
      <c r="AF10">
        <v>27830</v>
      </c>
      <c r="AG10">
        <v>28580</v>
      </c>
      <c r="AH10">
        <v>22980</v>
      </c>
      <c r="AI10">
        <v>38322</v>
      </c>
      <c r="AJ10">
        <v>38400</v>
      </c>
      <c r="AK10">
        <v>38077</v>
      </c>
      <c r="AL10">
        <v>49337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t="s">
        <v>16</v>
      </c>
      <c r="AS10" t="s">
        <v>16</v>
      </c>
      <c r="AT10" t="s">
        <v>16</v>
      </c>
      <c r="AU10" t="s">
        <v>16</v>
      </c>
      <c r="AV10" t="s">
        <v>16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16</v>
      </c>
      <c r="BG10" t="s">
        <v>16</v>
      </c>
      <c r="BH10" t="s">
        <v>16</v>
      </c>
      <c r="BI10" t="s">
        <v>16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16</v>
      </c>
      <c r="BP10" t="s">
        <v>16</v>
      </c>
      <c r="BQ10" t="s">
        <v>16</v>
      </c>
      <c r="BR10" t="s">
        <v>16</v>
      </c>
      <c r="BS10" t="s">
        <v>16</v>
      </c>
      <c r="BT10" t="s">
        <v>16</v>
      </c>
      <c r="BU10" t="s">
        <v>16</v>
      </c>
      <c r="BV10" t="s">
        <v>16</v>
      </c>
      <c r="BW10" t="s">
        <v>16</v>
      </c>
      <c r="BX10" t="s">
        <v>16</v>
      </c>
      <c r="BY10" t="s">
        <v>16</v>
      </c>
      <c r="BZ10" t="s">
        <v>16</v>
      </c>
      <c r="CA10" t="s">
        <v>16</v>
      </c>
      <c r="CB10" t="s">
        <v>16</v>
      </c>
      <c r="CC10" t="s">
        <v>16</v>
      </c>
      <c r="CD10" t="s">
        <v>16</v>
      </c>
      <c r="CE10" t="s">
        <v>16</v>
      </c>
      <c r="CF10" t="s">
        <v>16</v>
      </c>
      <c r="CG10" t="s">
        <v>16</v>
      </c>
      <c r="CH10" t="s">
        <v>16</v>
      </c>
      <c r="CI10" t="s">
        <v>16</v>
      </c>
      <c r="CJ10" t="s">
        <v>16</v>
      </c>
      <c r="CK10" t="s">
        <v>16</v>
      </c>
      <c r="CL10" t="s">
        <v>16</v>
      </c>
      <c r="CM10" t="s">
        <v>16</v>
      </c>
      <c r="CN10" t="s">
        <v>16</v>
      </c>
      <c r="CO10" t="s">
        <v>16</v>
      </c>
      <c r="CP10" t="s">
        <v>16</v>
      </c>
      <c r="CQ10" t="s">
        <v>16</v>
      </c>
      <c r="CR10" t="s">
        <v>16</v>
      </c>
      <c r="CS10" t="s">
        <v>16</v>
      </c>
      <c r="CT10" t="s">
        <v>16</v>
      </c>
      <c r="CU10" t="s">
        <v>16</v>
      </c>
      <c r="CV10" t="s">
        <v>16</v>
      </c>
      <c r="CW10" t="s">
        <v>16</v>
      </c>
      <c r="CX10" t="s">
        <v>16</v>
      </c>
      <c r="CY10" t="s">
        <v>16</v>
      </c>
      <c r="CZ10" t="s">
        <v>16</v>
      </c>
    </row>
    <row r="11" spans="1:104">
      <c r="A11" t="s">
        <v>159</v>
      </c>
      <c r="B11">
        <v>5371</v>
      </c>
      <c r="C11">
        <v>5635</v>
      </c>
      <c r="D11">
        <v>5572</v>
      </c>
      <c r="E11">
        <v>5371</v>
      </c>
      <c r="F11">
        <v>5039</v>
      </c>
      <c r="G11">
        <v>5152</v>
      </c>
      <c r="H11">
        <v>5367</v>
      </c>
      <c r="I11">
        <v>5374</v>
      </c>
      <c r="J11">
        <v>5433</v>
      </c>
      <c r="K11">
        <v>5482</v>
      </c>
      <c r="L11">
        <v>5706</v>
      </c>
      <c r="M11">
        <v>5871</v>
      </c>
      <c r="N11">
        <v>5857</v>
      </c>
      <c r="O11">
        <v>5973</v>
      </c>
      <c r="P11">
        <v>6120</v>
      </c>
      <c r="Q11">
        <v>6559</v>
      </c>
      <c r="R11">
        <v>8328</v>
      </c>
      <c r="S11">
        <v>9344</v>
      </c>
      <c r="T11">
        <v>10362</v>
      </c>
      <c r="U11">
        <v>10128</v>
      </c>
      <c r="V11">
        <v>11506</v>
      </c>
      <c r="W11">
        <v>13405</v>
      </c>
      <c r="X11">
        <v>18499</v>
      </c>
      <c r="Y11">
        <v>21823</v>
      </c>
      <c r="Z11">
        <v>27258</v>
      </c>
      <c r="AA11">
        <v>28539</v>
      </c>
      <c r="AB11">
        <v>30877</v>
      </c>
      <c r="AC11">
        <v>25557</v>
      </c>
      <c r="AD11">
        <v>34224</v>
      </c>
      <c r="AE11">
        <v>30364</v>
      </c>
      <c r="AF11">
        <v>39194</v>
      </c>
      <c r="AG11">
        <v>29253</v>
      </c>
      <c r="AH11">
        <v>20745</v>
      </c>
      <c r="AI11">
        <v>26776</v>
      </c>
      <c r="AJ11">
        <v>29201</v>
      </c>
      <c r="AK11">
        <v>38865</v>
      </c>
      <c r="AL11">
        <v>22371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t="s">
        <v>16</v>
      </c>
      <c r="AS11" t="s">
        <v>16</v>
      </c>
      <c r="AT11" t="s">
        <v>16</v>
      </c>
      <c r="AU11" t="s">
        <v>16</v>
      </c>
      <c r="AV11" t="s">
        <v>16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16</v>
      </c>
      <c r="BG11" t="s">
        <v>16</v>
      </c>
      <c r="BH11" t="s">
        <v>16</v>
      </c>
      <c r="BI11" t="s">
        <v>16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16</v>
      </c>
      <c r="BP11" t="s">
        <v>16</v>
      </c>
      <c r="BQ11" t="s">
        <v>16</v>
      </c>
      <c r="BR11" t="s">
        <v>16</v>
      </c>
      <c r="BS11" t="s">
        <v>16</v>
      </c>
      <c r="BT11" t="s">
        <v>16</v>
      </c>
      <c r="BU11" t="s">
        <v>16</v>
      </c>
      <c r="BV11" t="s">
        <v>16</v>
      </c>
      <c r="BW11" t="s">
        <v>16</v>
      </c>
      <c r="BX11" t="s">
        <v>16</v>
      </c>
      <c r="BY11" t="s">
        <v>16</v>
      </c>
      <c r="BZ11" t="s">
        <v>16</v>
      </c>
      <c r="CA11" t="s">
        <v>16</v>
      </c>
      <c r="CB11" t="s">
        <v>16</v>
      </c>
      <c r="CC11" t="s">
        <v>16</v>
      </c>
      <c r="CD11" t="s">
        <v>16</v>
      </c>
      <c r="CE11" t="s">
        <v>16</v>
      </c>
      <c r="CF11" t="s">
        <v>16</v>
      </c>
      <c r="CG11" t="s">
        <v>16</v>
      </c>
      <c r="CH11" t="s">
        <v>16</v>
      </c>
      <c r="CI11" t="s">
        <v>16</v>
      </c>
      <c r="CJ11" t="s">
        <v>16</v>
      </c>
      <c r="CK11" t="s">
        <v>16</v>
      </c>
      <c r="CL11" t="s">
        <v>16</v>
      </c>
      <c r="CM11" t="s">
        <v>16</v>
      </c>
      <c r="CN11" t="s">
        <v>16</v>
      </c>
      <c r="CO11" t="s">
        <v>16</v>
      </c>
      <c r="CP11" t="s">
        <v>16</v>
      </c>
      <c r="CQ11" t="s">
        <v>16</v>
      </c>
      <c r="CR11" t="s">
        <v>16</v>
      </c>
      <c r="CS11" t="s">
        <v>16</v>
      </c>
      <c r="CT11" t="s">
        <v>16</v>
      </c>
      <c r="CU11" t="s">
        <v>16</v>
      </c>
      <c r="CV11" t="s">
        <v>16</v>
      </c>
      <c r="CW11" t="s">
        <v>16</v>
      </c>
      <c r="CX11" t="s">
        <v>16</v>
      </c>
      <c r="CY11" t="s">
        <v>16</v>
      </c>
      <c r="CZ11" t="s">
        <v>16</v>
      </c>
    </row>
    <row r="12" spans="1:104">
      <c r="A12" t="s">
        <v>160</v>
      </c>
      <c r="B12">
        <v>174405</v>
      </c>
      <c r="C12">
        <v>179666</v>
      </c>
      <c r="D12">
        <v>181488</v>
      </c>
      <c r="E12">
        <v>182894</v>
      </c>
      <c r="F12">
        <v>188599</v>
      </c>
      <c r="G12">
        <v>193182</v>
      </c>
      <c r="H12">
        <v>198319</v>
      </c>
      <c r="I12">
        <v>209647</v>
      </c>
      <c r="J12">
        <v>210529</v>
      </c>
      <c r="K12">
        <v>213268</v>
      </c>
      <c r="L12">
        <v>224427</v>
      </c>
      <c r="M12">
        <v>232792</v>
      </c>
      <c r="N12">
        <v>247844</v>
      </c>
      <c r="O12">
        <v>253726</v>
      </c>
      <c r="P12">
        <v>268460</v>
      </c>
      <c r="Q12">
        <v>290504</v>
      </c>
      <c r="R12">
        <v>309448</v>
      </c>
      <c r="S12">
        <v>341702</v>
      </c>
      <c r="T12">
        <v>373675</v>
      </c>
      <c r="U12">
        <v>409669</v>
      </c>
      <c r="V12">
        <v>428616</v>
      </c>
      <c r="W12">
        <v>438307</v>
      </c>
      <c r="X12">
        <v>473301</v>
      </c>
      <c r="Y12">
        <v>518806</v>
      </c>
      <c r="Z12">
        <v>555608</v>
      </c>
      <c r="AA12">
        <v>620692</v>
      </c>
      <c r="AB12">
        <v>651494</v>
      </c>
      <c r="AC12">
        <v>716021</v>
      </c>
      <c r="AD12">
        <v>769547</v>
      </c>
      <c r="AE12">
        <v>833919</v>
      </c>
      <c r="AF12">
        <v>867138</v>
      </c>
      <c r="AG12">
        <v>912170</v>
      </c>
      <c r="AH12">
        <v>982579</v>
      </c>
      <c r="AI12">
        <v>1049628</v>
      </c>
      <c r="AJ12">
        <v>1069750</v>
      </c>
      <c r="AK12">
        <v>1167797</v>
      </c>
      <c r="AL12">
        <v>1277028</v>
      </c>
      <c r="AM12">
        <v>1421300</v>
      </c>
      <c r="AN12">
        <v>1471618</v>
      </c>
      <c r="AO12">
        <v>1562949</v>
      </c>
      <c r="AP12">
        <v>1627277</v>
      </c>
      <c r="AQ12">
        <v>1662443</v>
      </c>
      <c r="AR12">
        <v>1684314</v>
      </c>
      <c r="AS12">
        <v>1728300</v>
      </c>
      <c r="AT12">
        <v>1755650</v>
      </c>
      <c r="AU12">
        <v>1748047</v>
      </c>
      <c r="AV12">
        <v>1774317</v>
      </c>
      <c r="AW12">
        <v>1801933</v>
      </c>
      <c r="AX12">
        <v>1819616</v>
      </c>
      <c r="AY12">
        <v>1870184</v>
      </c>
      <c r="AZ12">
        <v>1826293</v>
      </c>
      <c r="BA12">
        <v>1851917</v>
      </c>
      <c r="BB12">
        <v>1872123</v>
      </c>
      <c r="BC12">
        <v>1865415</v>
      </c>
      <c r="BD12">
        <v>1866132</v>
      </c>
      <c r="BE12">
        <v>1887301</v>
      </c>
      <c r="BF12">
        <v>1898897</v>
      </c>
      <c r="BG12">
        <v>1907152</v>
      </c>
      <c r="BH12">
        <v>1910623</v>
      </c>
      <c r="BI12">
        <v>1876126</v>
      </c>
      <c r="BJ12">
        <v>1884545</v>
      </c>
      <c r="BK12">
        <v>1876162</v>
      </c>
      <c r="BL12">
        <v>1878270</v>
      </c>
      <c r="BM12">
        <v>1881268</v>
      </c>
      <c r="BN12">
        <v>1877285</v>
      </c>
      <c r="BO12">
        <v>1874595</v>
      </c>
      <c r="BP12">
        <v>1908655</v>
      </c>
      <c r="BQ12">
        <v>1915117</v>
      </c>
      <c r="BR12">
        <v>1928681</v>
      </c>
      <c r="BS12">
        <v>1942326</v>
      </c>
      <c r="BT12">
        <v>1967269</v>
      </c>
      <c r="BU12">
        <v>1966985</v>
      </c>
      <c r="BV12">
        <v>1996527</v>
      </c>
      <c r="BW12">
        <v>1982385</v>
      </c>
      <c r="BX12">
        <v>1988354</v>
      </c>
      <c r="BY12">
        <v>2006237</v>
      </c>
      <c r="BZ12">
        <v>2008352</v>
      </c>
      <c r="CA12">
        <v>2040531</v>
      </c>
      <c r="CB12">
        <v>2091833</v>
      </c>
      <c r="CC12">
        <v>2132904</v>
      </c>
      <c r="CD12">
        <v>2166611</v>
      </c>
      <c r="CE12">
        <v>2186962</v>
      </c>
      <c r="CF12">
        <v>2204710</v>
      </c>
      <c r="CG12">
        <v>2239297</v>
      </c>
      <c r="CH12">
        <v>2222226</v>
      </c>
      <c r="CI12">
        <v>2242390</v>
      </c>
      <c r="CJ12">
        <v>2233095</v>
      </c>
      <c r="CK12">
        <v>2305909</v>
      </c>
      <c r="CL12">
        <v>2350934</v>
      </c>
      <c r="CM12">
        <v>2405785</v>
      </c>
      <c r="CN12">
        <v>2381999</v>
      </c>
      <c r="CO12">
        <v>2392981</v>
      </c>
      <c r="CP12">
        <v>2403314</v>
      </c>
      <c r="CQ12">
        <v>2420871</v>
      </c>
      <c r="CR12">
        <v>2455350</v>
      </c>
      <c r="CS12">
        <v>2444467</v>
      </c>
      <c r="CT12">
        <v>2521902</v>
      </c>
      <c r="CU12">
        <v>2539885</v>
      </c>
      <c r="CV12">
        <v>2608073</v>
      </c>
      <c r="CW12">
        <v>2657279</v>
      </c>
      <c r="CX12">
        <v>2717428</v>
      </c>
      <c r="CY12">
        <v>2678289</v>
      </c>
      <c r="CZ12">
        <v>2692569.8000000003</v>
      </c>
    </row>
    <row r="13" spans="1:104">
      <c r="A13" t="s">
        <v>161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 t="s">
        <v>16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5" spans="1:104">
      <c r="B15" t="b">
        <f>+SUM(B4:B11)=B3</f>
        <v>1</v>
      </c>
      <c r="C15" t="b">
        <f t="shared" ref="C15:BN15" si="0">+SUM(C4:C11)=C3</f>
        <v>1</v>
      </c>
      <c r="D15" t="b">
        <f t="shared" si="0"/>
        <v>1</v>
      </c>
      <c r="E15" t="b">
        <f t="shared" si="0"/>
        <v>1</v>
      </c>
      <c r="F15" t="b">
        <f t="shared" si="0"/>
        <v>1</v>
      </c>
      <c r="G15" t="b">
        <f t="shared" si="0"/>
        <v>1</v>
      </c>
      <c r="H15" t="b">
        <f t="shared" si="0"/>
        <v>1</v>
      </c>
      <c r="I15" t="b">
        <f t="shared" si="0"/>
        <v>1</v>
      </c>
      <c r="J15" t="b">
        <f t="shared" si="0"/>
        <v>1</v>
      </c>
      <c r="K15" t="b">
        <f t="shared" si="0"/>
        <v>1</v>
      </c>
      <c r="L15" t="b">
        <f t="shared" si="0"/>
        <v>1</v>
      </c>
      <c r="M15" t="b">
        <f t="shared" si="0"/>
        <v>1</v>
      </c>
      <c r="N15" t="b">
        <f t="shared" si="0"/>
        <v>1</v>
      </c>
      <c r="O15" t="b">
        <f t="shared" si="0"/>
        <v>1</v>
      </c>
      <c r="P15" t="b">
        <f t="shared" si="0"/>
        <v>1</v>
      </c>
      <c r="Q15" t="b">
        <f t="shared" si="0"/>
        <v>1</v>
      </c>
      <c r="R15" t="b">
        <f t="shared" si="0"/>
        <v>1</v>
      </c>
      <c r="S15" t="b">
        <f t="shared" si="0"/>
        <v>1</v>
      </c>
      <c r="T15" t="b">
        <f t="shared" si="0"/>
        <v>1</v>
      </c>
      <c r="U15" t="b">
        <f t="shared" si="0"/>
        <v>1</v>
      </c>
      <c r="V15" t="b">
        <f t="shared" si="0"/>
        <v>1</v>
      </c>
      <c r="W15" t="b">
        <f t="shared" si="0"/>
        <v>1</v>
      </c>
      <c r="X15" t="b">
        <f t="shared" si="0"/>
        <v>1</v>
      </c>
      <c r="Y15" t="b">
        <f t="shared" si="0"/>
        <v>1</v>
      </c>
      <c r="Z15" t="b">
        <f t="shared" si="0"/>
        <v>1</v>
      </c>
      <c r="AA15" t="b">
        <f t="shared" si="0"/>
        <v>1</v>
      </c>
      <c r="AB15" t="b">
        <f t="shared" si="0"/>
        <v>1</v>
      </c>
      <c r="AC15" t="b">
        <f t="shared" si="0"/>
        <v>1</v>
      </c>
      <c r="AD15" t="b">
        <f t="shared" si="0"/>
        <v>1</v>
      </c>
      <c r="AE15" t="b">
        <f t="shared" si="0"/>
        <v>1</v>
      </c>
      <c r="AF15" t="b">
        <f t="shared" si="0"/>
        <v>1</v>
      </c>
      <c r="AG15" t="b">
        <f t="shared" si="0"/>
        <v>1</v>
      </c>
      <c r="AH15" t="b">
        <f t="shared" si="0"/>
        <v>1</v>
      </c>
      <c r="AI15" t="b">
        <f t="shared" si="0"/>
        <v>1</v>
      </c>
      <c r="AJ15" t="b">
        <f t="shared" si="0"/>
        <v>1</v>
      </c>
      <c r="AK15" t="b">
        <f t="shared" si="0"/>
        <v>1</v>
      </c>
      <c r="AL15" t="b">
        <f t="shared" si="0"/>
        <v>1</v>
      </c>
      <c r="AM15" t="b">
        <f t="shared" si="0"/>
        <v>0</v>
      </c>
      <c r="AN15" t="b">
        <f t="shared" si="0"/>
        <v>1</v>
      </c>
      <c r="AO15" t="b">
        <f t="shared" si="0"/>
        <v>1</v>
      </c>
      <c r="AP15" t="b">
        <f t="shared" si="0"/>
        <v>1</v>
      </c>
      <c r="AQ15" t="b">
        <f t="shared" si="0"/>
        <v>1</v>
      </c>
      <c r="AR15" t="b">
        <f t="shared" si="0"/>
        <v>1</v>
      </c>
      <c r="AS15" t="b">
        <f t="shared" si="0"/>
        <v>1</v>
      </c>
      <c r="AT15" t="b">
        <f t="shared" si="0"/>
        <v>1</v>
      </c>
      <c r="AU15" t="b">
        <f t="shared" si="0"/>
        <v>1</v>
      </c>
      <c r="AV15" t="b">
        <f t="shared" si="0"/>
        <v>1</v>
      </c>
      <c r="AW15" t="b">
        <f t="shared" si="0"/>
        <v>1</v>
      </c>
      <c r="AX15" t="b">
        <f t="shared" si="0"/>
        <v>1</v>
      </c>
      <c r="AY15" t="b">
        <f t="shared" si="0"/>
        <v>1</v>
      </c>
      <c r="AZ15" t="b">
        <f t="shared" si="0"/>
        <v>1</v>
      </c>
      <c r="BA15" t="b">
        <f t="shared" si="0"/>
        <v>1</v>
      </c>
      <c r="BB15" t="b">
        <f t="shared" si="0"/>
        <v>1</v>
      </c>
      <c r="BC15" t="b">
        <f t="shared" si="0"/>
        <v>1</v>
      </c>
      <c r="BD15" t="b">
        <f t="shared" si="0"/>
        <v>1</v>
      </c>
      <c r="BE15" t="b">
        <f t="shared" si="0"/>
        <v>1</v>
      </c>
      <c r="BF15" t="b">
        <f t="shared" si="0"/>
        <v>1</v>
      </c>
      <c r="BG15" t="b">
        <f t="shared" si="0"/>
        <v>1</v>
      </c>
      <c r="BH15" t="b">
        <f t="shared" si="0"/>
        <v>1</v>
      </c>
      <c r="BI15" t="b">
        <f t="shared" si="0"/>
        <v>1</v>
      </c>
      <c r="BJ15" t="b">
        <f t="shared" si="0"/>
        <v>1</v>
      </c>
      <c r="BK15" t="b">
        <f t="shared" si="0"/>
        <v>1</v>
      </c>
      <c r="BL15" t="b">
        <f t="shared" si="0"/>
        <v>1</v>
      </c>
      <c r="BM15" t="b">
        <f t="shared" si="0"/>
        <v>1</v>
      </c>
      <c r="BN15" t="b">
        <f t="shared" si="0"/>
        <v>1</v>
      </c>
      <c r="BO15" t="b">
        <f t="shared" ref="BO15:CZ15" si="1">+SUM(BO4:BO11)=BO3</f>
        <v>1</v>
      </c>
      <c r="BP15" t="b">
        <f t="shared" si="1"/>
        <v>1</v>
      </c>
      <c r="BQ15" t="b">
        <f t="shared" si="1"/>
        <v>1</v>
      </c>
      <c r="BR15" t="b">
        <f t="shared" si="1"/>
        <v>1</v>
      </c>
      <c r="BS15" t="b">
        <f t="shared" si="1"/>
        <v>1</v>
      </c>
      <c r="BT15" t="b">
        <f t="shared" si="1"/>
        <v>1</v>
      </c>
      <c r="BU15" t="b">
        <f t="shared" si="1"/>
        <v>1</v>
      </c>
      <c r="BV15" t="b">
        <f t="shared" si="1"/>
        <v>1</v>
      </c>
      <c r="BW15" t="b">
        <f t="shared" si="1"/>
        <v>1</v>
      </c>
      <c r="BX15" t="b">
        <f t="shared" si="1"/>
        <v>1</v>
      </c>
      <c r="BY15" t="b">
        <f t="shared" si="1"/>
        <v>1</v>
      </c>
      <c r="BZ15" t="b">
        <f t="shared" si="1"/>
        <v>1</v>
      </c>
      <c r="CA15" t="b">
        <f t="shared" si="1"/>
        <v>1</v>
      </c>
      <c r="CB15" t="b">
        <f t="shared" si="1"/>
        <v>1</v>
      </c>
      <c r="CC15" t="b">
        <f t="shared" si="1"/>
        <v>1</v>
      </c>
      <c r="CD15" t="b">
        <f t="shared" si="1"/>
        <v>1</v>
      </c>
      <c r="CE15" t="b">
        <f t="shared" si="1"/>
        <v>1</v>
      </c>
      <c r="CF15" t="b">
        <f t="shared" si="1"/>
        <v>1</v>
      </c>
      <c r="CG15" t="b">
        <f t="shared" si="1"/>
        <v>1</v>
      </c>
      <c r="CH15" t="b">
        <f t="shared" si="1"/>
        <v>1</v>
      </c>
      <c r="CI15" t="b">
        <f t="shared" si="1"/>
        <v>1</v>
      </c>
      <c r="CJ15" t="b">
        <f t="shared" si="1"/>
        <v>1</v>
      </c>
      <c r="CK15" t="b">
        <f t="shared" si="1"/>
        <v>1</v>
      </c>
      <c r="CL15" t="b">
        <f t="shared" si="1"/>
        <v>1</v>
      </c>
      <c r="CM15" t="b">
        <f t="shared" si="1"/>
        <v>1</v>
      </c>
      <c r="CN15" t="b">
        <f t="shared" si="1"/>
        <v>1</v>
      </c>
      <c r="CO15" t="b">
        <f t="shared" si="1"/>
        <v>1</v>
      </c>
      <c r="CP15" t="b">
        <f t="shared" si="1"/>
        <v>1</v>
      </c>
      <c r="CQ15" t="b">
        <f t="shared" si="1"/>
        <v>1</v>
      </c>
      <c r="CR15" t="b">
        <f t="shared" si="1"/>
        <v>1</v>
      </c>
      <c r="CS15" t="b">
        <f t="shared" si="1"/>
        <v>1</v>
      </c>
      <c r="CT15" t="b">
        <f t="shared" si="1"/>
        <v>1</v>
      </c>
      <c r="CU15" t="b">
        <f t="shared" si="1"/>
        <v>1</v>
      </c>
      <c r="CV15" t="b">
        <f t="shared" si="1"/>
        <v>1</v>
      </c>
      <c r="CW15" t="b">
        <f t="shared" si="1"/>
        <v>1</v>
      </c>
      <c r="CX15" t="b">
        <f t="shared" si="1"/>
        <v>1</v>
      </c>
      <c r="CY15" t="b">
        <f t="shared" si="1"/>
        <v>1</v>
      </c>
      <c r="CZ15" t="b">
        <f t="shared" si="1"/>
        <v>1</v>
      </c>
    </row>
  </sheetData>
  <conditionalFormatting sqref="B15:CZ15">
    <cfRule type="containsText" dxfId="1" priority="1" operator="containsText" text="FAUX">
      <formula>NOT(ISERROR(SEARCH("FAUX",B15)))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FBB-1A98-43D2-B80C-04B5EF1F37F1}">
  <dimension ref="A1:M104"/>
  <sheetViews>
    <sheetView tabSelected="1" workbookViewId="0">
      <selection activeCell="P6" sqref="P6"/>
    </sheetView>
  </sheetViews>
  <sheetFormatPr defaultColWidth="11.42578125" defaultRowHeight="14.45"/>
  <cols>
    <col min="1" max="1" width="6.5703125" customWidth="1"/>
    <col min="2" max="2" width="5.5703125" customWidth="1"/>
    <col min="3" max="3" width="13.5703125" customWidth="1"/>
    <col min="12" max="12" width="13.42578125" customWidth="1"/>
    <col min="15" max="15" width="11.5703125" customWidth="1"/>
  </cols>
  <sheetData>
    <row r="1" spans="1:13">
      <c r="A1" t="s">
        <v>24</v>
      </c>
      <c r="B1" t="s">
        <v>0</v>
      </c>
      <c r="C1" t="s">
        <v>151</v>
      </c>
      <c r="D1" t="s">
        <v>152</v>
      </c>
      <c r="E1" t="s">
        <v>162</v>
      </c>
      <c r="F1" t="s">
        <v>154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160</v>
      </c>
      <c r="M1" t="s">
        <v>161</v>
      </c>
    </row>
    <row r="2" spans="1:13">
      <c r="A2">
        <v>3</v>
      </c>
      <c r="B2">
        <v>2001</v>
      </c>
      <c r="C2">
        <v>9213</v>
      </c>
      <c r="H2">
        <v>519</v>
      </c>
      <c r="I2">
        <v>708</v>
      </c>
      <c r="J2">
        <v>2615</v>
      </c>
      <c r="K2">
        <v>5371</v>
      </c>
      <c r="L2">
        <v>174405</v>
      </c>
      <c r="M2">
        <v>1</v>
      </c>
    </row>
    <row r="3" spans="1:13">
      <c r="A3">
        <v>6</v>
      </c>
      <c r="B3">
        <v>2001</v>
      </c>
      <c r="C3">
        <v>9569</v>
      </c>
      <c r="H3">
        <v>484</v>
      </c>
      <c r="I3">
        <v>848</v>
      </c>
      <c r="J3">
        <v>2602</v>
      </c>
      <c r="K3">
        <v>5635</v>
      </c>
      <c r="L3">
        <v>179666</v>
      </c>
      <c r="M3">
        <v>1</v>
      </c>
    </row>
    <row r="4" spans="1:13">
      <c r="A4">
        <v>9</v>
      </c>
      <c r="B4">
        <v>2001</v>
      </c>
      <c r="C4">
        <v>10610</v>
      </c>
      <c r="H4">
        <v>895</v>
      </c>
      <c r="I4">
        <v>1564</v>
      </c>
      <c r="J4">
        <v>2579</v>
      </c>
      <c r="K4">
        <v>5572</v>
      </c>
      <c r="L4">
        <v>181488</v>
      </c>
      <c r="M4">
        <v>1</v>
      </c>
    </row>
    <row r="5" spans="1:13">
      <c r="A5">
        <v>12</v>
      </c>
      <c r="B5">
        <v>2001</v>
      </c>
      <c r="C5">
        <v>10045</v>
      </c>
      <c r="H5">
        <v>686</v>
      </c>
      <c r="I5">
        <v>1485</v>
      </c>
      <c r="J5">
        <v>2503</v>
      </c>
      <c r="K5">
        <v>5371</v>
      </c>
      <c r="L5">
        <v>182894</v>
      </c>
      <c r="M5">
        <v>1</v>
      </c>
    </row>
    <row r="6" spans="1:13">
      <c r="A6">
        <v>3</v>
      </c>
      <c r="B6">
        <v>2002</v>
      </c>
      <c r="C6">
        <v>11045</v>
      </c>
      <c r="H6">
        <v>1080</v>
      </c>
      <c r="I6">
        <v>1553</v>
      </c>
      <c r="J6">
        <v>3373</v>
      </c>
      <c r="K6">
        <v>5039</v>
      </c>
      <c r="L6">
        <v>188599</v>
      </c>
      <c r="M6">
        <v>1</v>
      </c>
    </row>
    <row r="7" spans="1:13">
      <c r="A7">
        <v>6</v>
      </c>
      <c r="B7">
        <v>2002</v>
      </c>
      <c r="C7">
        <v>11586</v>
      </c>
      <c r="H7">
        <v>901</v>
      </c>
      <c r="I7">
        <v>2603</v>
      </c>
      <c r="J7">
        <v>2930</v>
      </c>
      <c r="K7">
        <v>5152</v>
      </c>
      <c r="L7">
        <v>193182</v>
      </c>
      <c r="M7">
        <v>1</v>
      </c>
    </row>
    <row r="8" spans="1:13">
      <c r="A8">
        <v>9</v>
      </c>
      <c r="B8">
        <v>2002</v>
      </c>
      <c r="C8">
        <v>11132</v>
      </c>
      <c r="H8">
        <v>872</v>
      </c>
      <c r="I8">
        <v>1806</v>
      </c>
      <c r="J8">
        <v>3087</v>
      </c>
      <c r="K8">
        <v>5367</v>
      </c>
      <c r="L8">
        <v>198319</v>
      </c>
      <c r="M8">
        <v>1</v>
      </c>
    </row>
    <row r="9" spans="1:13">
      <c r="A9">
        <v>12</v>
      </c>
      <c r="B9">
        <v>2002</v>
      </c>
      <c r="C9">
        <v>11403</v>
      </c>
      <c r="H9">
        <v>906</v>
      </c>
      <c r="I9">
        <v>1598</v>
      </c>
      <c r="J9">
        <v>3525</v>
      </c>
      <c r="K9">
        <v>5374</v>
      </c>
      <c r="L9">
        <v>209647</v>
      </c>
      <c r="M9">
        <v>1</v>
      </c>
    </row>
    <row r="10" spans="1:13">
      <c r="A10">
        <v>3</v>
      </c>
      <c r="B10">
        <v>2003</v>
      </c>
      <c r="C10">
        <v>11876</v>
      </c>
      <c r="H10">
        <v>1013</v>
      </c>
      <c r="I10">
        <v>1550</v>
      </c>
      <c r="J10">
        <v>3880</v>
      </c>
      <c r="K10">
        <v>5433</v>
      </c>
      <c r="L10">
        <v>210529</v>
      </c>
      <c r="M10">
        <v>1</v>
      </c>
    </row>
    <row r="11" spans="1:13">
      <c r="A11">
        <v>6</v>
      </c>
      <c r="B11">
        <v>2003</v>
      </c>
      <c r="C11">
        <v>11007</v>
      </c>
      <c r="H11">
        <v>887</v>
      </c>
      <c r="I11">
        <v>983</v>
      </c>
      <c r="J11">
        <v>3655</v>
      </c>
      <c r="K11">
        <v>5482</v>
      </c>
      <c r="L11">
        <v>213268</v>
      </c>
      <c r="M11">
        <v>1</v>
      </c>
    </row>
    <row r="12" spans="1:13">
      <c r="A12">
        <v>9</v>
      </c>
      <c r="B12">
        <v>2003</v>
      </c>
      <c r="C12">
        <v>11121</v>
      </c>
      <c r="H12">
        <v>1052</v>
      </c>
      <c r="I12">
        <v>637</v>
      </c>
      <c r="J12">
        <v>3726</v>
      </c>
      <c r="K12">
        <v>5706</v>
      </c>
      <c r="L12">
        <v>224427</v>
      </c>
      <c r="M12">
        <v>1</v>
      </c>
    </row>
    <row r="13" spans="1:13">
      <c r="A13">
        <v>12</v>
      </c>
      <c r="B13">
        <v>2003</v>
      </c>
      <c r="C13">
        <v>11219</v>
      </c>
      <c r="H13">
        <v>980</v>
      </c>
      <c r="I13">
        <v>805</v>
      </c>
      <c r="J13">
        <v>3563</v>
      </c>
      <c r="K13">
        <v>5871</v>
      </c>
      <c r="L13">
        <v>232792</v>
      </c>
      <c r="M13">
        <v>1</v>
      </c>
    </row>
    <row r="14" spans="1:13">
      <c r="A14">
        <v>3</v>
      </c>
      <c r="B14">
        <v>2004</v>
      </c>
      <c r="C14">
        <v>11133</v>
      </c>
      <c r="H14">
        <v>906</v>
      </c>
      <c r="I14">
        <v>606</v>
      </c>
      <c r="J14">
        <v>3764</v>
      </c>
      <c r="K14">
        <v>5857</v>
      </c>
      <c r="L14">
        <v>247844</v>
      </c>
      <c r="M14">
        <v>1</v>
      </c>
    </row>
    <row r="15" spans="1:13">
      <c r="A15">
        <v>6</v>
      </c>
      <c r="B15">
        <v>2004</v>
      </c>
      <c r="C15">
        <v>11691</v>
      </c>
      <c r="H15">
        <v>695</v>
      </c>
      <c r="I15">
        <v>749</v>
      </c>
      <c r="J15">
        <v>4274</v>
      </c>
      <c r="K15">
        <v>5973</v>
      </c>
      <c r="L15">
        <v>253726</v>
      </c>
      <c r="M15">
        <v>1</v>
      </c>
    </row>
    <row r="16" spans="1:13">
      <c r="A16">
        <v>9</v>
      </c>
      <c r="B16">
        <v>2004</v>
      </c>
      <c r="C16">
        <v>13772</v>
      </c>
      <c r="H16">
        <v>1088</v>
      </c>
      <c r="I16">
        <v>1279</v>
      </c>
      <c r="J16">
        <v>5285</v>
      </c>
      <c r="K16">
        <v>6120</v>
      </c>
      <c r="L16">
        <v>268460</v>
      </c>
      <c r="M16">
        <v>1</v>
      </c>
    </row>
    <row r="17" spans="1:13">
      <c r="A17">
        <v>12</v>
      </c>
      <c r="B17">
        <v>2004</v>
      </c>
      <c r="C17">
        <v>13553</v>
      </c>
      <c r="H17">
        <v>995</v>
      </c>
      <c r="I17">
        <v>1284</v>
      </c>
      <c r="J17">
        <v>4715</v>
      </c>
      <c r="K17">
        <v>6559</v>
      </c>
      <c r="L17">
        <v>290504</v>
      </c>
      <c r="M17">
        <v>1</v>
      </c>
    </row>
    <row r="18" spans="1:13">
      <c r="A18">
        <v>3</v>
      </c>
      <c r="B18">
        <v>2005</v>
      </c>
      <c r="C18">
        <v>15718</v>
      </c>
      <c r="H18">
        <v>712</v>
      </c>
      <c r="I18">
        <v>1652</v>
      </c>
      <c r="J18">
        <v>5026</v>
      </c>
      <c r="K18">
        <v>8328</v>
      </c>
      <c r="L18">
        <v>309448</v>
      </c>
      <c r="M18">
        <v>1</v>
      </c>
    </row>
    <row r="19" spans="1:13">
      <c r="A19">
        <v>6</v>
      </c>
      <c r="B19">
        <v>2005</v>
      </c>
      <c r="C19">
        <v>20014</v>
      </c>
      <c r="H19">
        <v>590</v>
      </c>
      <c r="I19">
        <v>1879</v>
      </c>
      <c r="J19">
        <v>8201</v>
      </c>
      <c r="K19">
        <v>9344</v>
      </c>
      <c r="L19">
        <v>341702</v>
      </c>
      <c r="M19">
        <v>1</v>
      </c>
    </row>
    <row r="20" spans="1:13">
      <c r="A20">
        <v>9</v>
      </c>
      <c r="B20">
        <v>2005</v>
      </c>
      <c r="C20">
        <v>24993</v>
      </c>
      <c r="H20">
        <v>771</v>
      </c>
      <c r="I20">
        <v>3657</v>
      </c>
      <c r="J20">
        <v>10203</v>
      </c>
      <c r="K20">
        <v>10362</v>
      </c>
      <c r="L20">
        <v>373675</v>
      </c>
      <c r="M20">
        <v>1</v>
      </c>
    </row>
    <row r="21" spans="1:13">
      <c r="A21">
        <v>12</v>
      </c>
      <c r="B21">
        <v>2005</v>
      </c>
      <c r="C21">
        <v>25394</v>
      </c>
      <c r="H21">
        <v>1583</v>
      </c>
      <c r="I21">
        <v>4834</v>
      </c>
      <c r="J21">
        <v>8849</v>
      </c>
      <c r="K21">
        <v>10128</v>
      </c>
      <c r="L21">
        <v>409669</v>
      </c>
      <c r="M21">
        <v>1</v>
      </c>
    </row>
    <row r="22" spans="1:13">
      <c r="A22">
        <v>3</v>
      </c>
      <c r="B22">
        <v>2006</v>
      </c>
      <c r="C22">
        <v>30276</v>
      </c>
      <c r="H22">
        <v>1581</v>
      </c>
      <c r="I22">
        <v>7072</v>
      </c>
      <c r="J22">
        <v>10117</v>
      </c>
      <c r="K22">
        <v>11506</v>
      </c>
      <c r="L22">
        <v>428616</v>
      </c>
      <c r="M22">
        <v>1</v>
      </c>
    </row>
    <row r="23" spans="1:13">
      <c r="A23">
        <v>6</v>
      </c>
      <c r="B23">
        <v>2006</v>
      </c>
      <c r="C23">
        <v>34039</v>
      </c>
      <c r="H23">
        <v>1550</v>
      </c>
      <c r="I23">
        <v>5196</v>
      </c>
      <c r="J23">
        <v>13888</v>
      </c>
      <c r="K23">
        <v>13405</v>
      </c>
      <c r="L23">
        <v>438307</v>
      </c>
      <c r="M23">
        <v>1</v>
      </c>
    </row>
    <row r="24" spans="1:13">
      <c r="A24">
        <v>9</v>
      </c>
      <c r="B24">
        <v>2006</v>
      </c>
      <c r="C24">
        <v>39621</v>
      </c>
      <c r="H24">
        <v>1954</v>
      </c>
      <c r="I24">
        <v>5322</v>
      </c>
      <c r="J24">
        <v>13846</v>
      </c>
      <c r="K24">
        <v>18499</v>
      </c>
      <c r="L24">
        <v>473301</v>
      </c>
      <c r="M24">
        <v>1</v>
      </c>
    </row>
    <row r="25" spans="1:13">
      <c r="A25">
        <v>12</v>
      </c>
      <c r="B25">
        <v>2006</v>
      </c>
      <c r="C25">
        <v>49484</v>
      </c>
      <c r="H25">
        <v>3311</v>
      </c>
      <c r="I25">
        <v>8630</v>
      </c>
      <c r="J25">
        <v>15720</v>
      </c>
      <c r="K25">
        <v>21823</v>
      </c>
      <c r="L25">
        <v>518806</v>
      </c>
      <c r="M25">
        <v>1</v>
      </c>
    </row>
    <row r="26" spans="1:13">
      <c r="A26">
        <v>3</v>
      </c>
      <c r="B26">
        <v>2007</v>
      </c>
      <c r="C26">
        <v>54132</v>
      </c>
      <c r="H26">
        <v>4345</v>
      </c>
      <c r="I26">
        <v>7530</v>
      </c>
      <c r="J26">
        <v>14999</v>
      </c>
      <c r="K26">
        <v>27258</v>
      </c>
      <c r="L26">
        <v>555608</v>
      </c>
      <c r="M26">
        <v>1</v>
      </c>
    </row>
    <row r="27" spans="1:13">
      <c r="A27">
        <v>6</v>
      </c>
      <c r="B27">
        <v>2007</v>
      </c>
      <c r="C27">
        <v>59038</v>
      </c>
      <c r="H27">
        <v>4868</v>
      </c>
      <c r="I27">
        <v>8243</v>
      </c>
      <c r="J27">
        <v>17388</v>
      </c>
      <c r="K27">
        <v>28539</v>
      </c>
      <c r="L27">
        <v>620692</v>
      </c>
      <c r="M27">
        <v>1</v>
      </c>
    </row>
    <row r="28" spans="1:13">
      <c r="A28">
        <v>9</v>
      </c>
      <c r="B28">
        <v>2007</v>
      </c>
      <c r="C28">
        <v>67705</v>
      </c>
      <c r="H28">
        <v>4642</v>
      </c>
      <c r="I28">
        <v>13832</v>
      </c>
      <c r="J28">
        <v>18354</v>
      </c>
      <c r="K28">
        <v>30877</v>
      </c>
      <c r="L28">
        <v>651494</v>
      </c>
      <c r="M28">
        <v>1</v>
      </c>
    </row>
    <row r="29" spans="1:13">
      <c r="A29">
        <v>12</v>
      </c>
      <c r="B29">
        <v>2007</v>
      </c>
      <c r="C29">
        <v>64683</v>
      </c>
      <c r="H29">
        <v>6057</v>
      </c>
      <c r="I29">
        <v>14289</v>
      </c>
      <c r="J29">
        <v>18780</v>
      </c>
      <c r="K29">
        <v>25557</v>
      </c>
      <c r="L29">
        <v>716021</v>
      </c>
      <c r="M29">
        <v>1</v>
      </c>
    </row>
    <row r="30" spans="1:13">
      <c r="A30">
        <v>3</v>
      </c>
      <c r="B30">
        <v>2008</v>
      </c>
      <c r="C30">
        <v>66536</v>
      </c>
      <c r="H30">
        <v>6361</v>
      </c>
      <c r="I30">
        <v>7319</v>
      </c>
      <c r="J30">
        <v>18632</v>
      </c>
      <c r="K30">
        <v>34224</v>
      </c>
      <c r="L30">
        <v>769547</v>
      </c>
      <c r="M30">
        <v>1</v>
      </c>
    </row>
    <row r="31" spans="1:13">
      <c r="A31">
        <v>6</v>
      </c>
      <c r="B31">
        <v>2008</v>
      </c>
      <c r="C31">
        <v>70896</v>
      </c>
      <c r="H31">
        <v>5101</v>
      </c>
      <c r="I31">
        <v>11424</v>
      </c>
      <c r="J31">
        <v>24007</v>
      </c>
      <c r="K31">
        <v>30364</v>
      </c>
      <c r="L31">
        <v>833919</v>
      </c>
      <c r="M31">
        <v>1</v>
      </c>
    </row>
    <row r="32" spans="1:13">
      <c r="A32">
        <v>9</v>
      </c>
      <c r="B32">
        <v>2008</v>
      </c>
      <c r="C32">
        <v>88077</v>
      </c>
      <c r="H32">
        <v>2714</v>
      </c>
      <c r="I32">
        <v>18339</v>
      </c>
      <c r="J32">
        <v>27830</v>
      </c>
      <c r="K32">
        <v>39194</v>
      </c>
      <c r="L32">
        <v>867138</v>
      </c>
      <c r="M32">
        <v>1</v>
      </c>
    </row>
    <row r="33" spans="1:13">
      <c r="A33">
        <v>12</v>
      </c>
      <c r="B33">
        <v>2008</v>
      </c>
      <c r="C33">
        <v>78738</v>
      </c>
      <c r="H33">
        <v>5314</v>
      </c>
      <c r="I33">
        <v>15591</v>
      </c>
      <c r="J33">
        <v>28580</v>
      </c>
      <c r="K33">
        <v>29253</v>
      </c>
      <c r="L33">
        <v>912170</v>
      </c>
      <c r="M33">
        <v>1</v>
      </c>
    </row>
    <row r="34" spans="1:13">
      <c r="A34">
        <v>12</v>
      </c>
      <c r="B34">
        <v>2009</v>
      </c>
      <c r="C34">
        <v>88590</v>
      </c>
      <c r="H34">
        <v>11439</v>
      </c>
      <c r="I34">
        <v>33426</v>
      </c>
      <c r="J34">
        <v>22980</v>
      </c>
      <c r="K34">
        <v>20745</v>
      </c>
      <c r="L34">
        <v>982579</v>
      </c>
      <c r="M34">
        <v>1</v>
      </c>
    </row>
    <row r="35" spans="1:13">
      <c r="A35">
        <v>12</v>
      </c>
      <c r="B35">
        <v>2010</v>
      </c>
      <c r="C35">
        <v>120353</v>
      </c>
      <c r="H35">
        <v>6877</v>
      </c>
      <c r="I35">
        <v>48378</v>
      </c>
      <c r="J35">
        <v>38322</v>
      </c>
      <c r="K35">
        <v>26776</v>
      </c>
      <c r="L35">
        <v>1049628</v>
      </c>
      <c r="M35">
        <v>1</v>
      </c>
    </row>
    <row r="36" spans="1:13">
      <c r="A36">
        <v>12</v>
      </c>
      <c r="B36">
        <v>2011</v>
      </c>
      <c r="C36">
        <v>112422</v>
      </c>
      <c r="H36">
        <v>7662</v>
      </c>
      <c r="I36">
        <v>37159</v>
      </c>
      <c r="J36">
        <v>38400</v>
      </c>
      <c r="K36">
        <v>29201</v>
      </c>
      <c r="L36">
        <v>1069750</v>
      </c>
      <c r="M36">
        <v>1</v>
      </c>
    </row>
    <row r="37" spans="1:13">
      <c r="A37">
        <v>12</v>
      </c>
      <c r="B37">
        <v>2012</v>
      </c>
      <c r="C37">
        <v>134097</v>
      </c>
      <c r="H37">
        <v>9204</v>
      </c>
      <c r="I37">
        <v>47951</v>
      </c>
      <c r="J37">
        <v>38077</v>
      </c>
      <c r="K37">
        <v>38865</v>
      </c>
      <c r="L37">
        <v>1167797</v>
      </c>
      <c r="M37">
        <v>1</v>
      </c>
    </row>
    <row r="38" spans="1:13">
      <c r="A38">
        <v>12</v>
      </c>
      <c r="B38">
        <v>2013</v>
      </c>
      <c r="C38">
        <v>111767</v>
      </c>
      <c r="H38">
        <v>4231</v>
      </c>
      <c r="I38">
        <v>35828</v>
      </c>
      <c r="J38">
        <v>49337</v>
      </c>
      <c r="K38">
        <v>22371</v>
      </c>
      <c r="L38">
        <v>1277028</v>
      </c>
      <c r="M38">
        <v>1</v>
      </c>
    </row>
    <row r="39" spans="1:13">
      <c r="A39">
        <v>12</v>
      </c>
      <c r="B39">
        <v>2014</v>
      </c>
      <c r="C39">
        <v>154000</v>
      </c>
      <c r="L39">
        <v>1421300</v>
      </c>
    </row>
    <row r="40" spans="1:13">
      <c r="A40">
        <v>12</v>
      </c>
      <c r="B40">
        <v>2015</v>
      </c>
      <c r="C40">
        <v>171492</v>
      </c>
      <c r="D40">
        <v>72807</v>
      </c>
      <c r="E40">
        <v>57606</v>
      </c>
      <c r="F40">
        <v>27492</v>
      </c>
      <c r="G40">
        <v>13587</v>
      </c>
      <c r="L40">
        <v>1471618</v>
      </c>
      <c r="M40">
        <v>0</v>
      </c>
    </row>
    <row r="41" spans="1:13">
      <c r="A41">
        <v>12</v>
      </c>
      <c r="B41">
        <v>2016</v>
      </c>
      <c r="C41">
        <v>199050</v>
      </c>
      <c r="D41">
        <v>88352</v>
      </c>
      <c r="E41">
        <v>70150</v>
      </c>
      <c r="F41">
        <v>28084</v>
      </c>
      <c r="G41">
        <v>12464</v>
      </c>
      <c r="L41">
        <v>1562949</v>
      </c>
      <c r="M41">
        <v>0</v>
      </c>
    </row>
    <row r="42" spans="1:13">
      <c r="A42">
        <v>12</v>
      </c>
      <c r="B42">
        <v>2017</v>
      </c>
      <c r="C42">
        <v>191677</v>
      </c>
      <c r="D42">
        <v>88310</v>
      </c>
      <c r="E42">
        <v>66096</v>
      </c>
      <c r="F42">
        <v>26497</v>
      </c>
      <c r="G42">
        <v>10774</v>
      </c>
      <c r="L42">
        <v>1627277</v>
      </c>
      <c r="M42">
        <v>0</v>
      </c>
    </row>
    <row r="43" spans="1:13">
      <c r="A43">
        <v>3</v>
      </c>
      <c r="B43">
        <v>2018</v>
      </c>
      <c r="C43">
        <v>189451</v>
      </c>
      <c r="D43">
        <v>79909</v>
      </c>
      <c r="E43">
        <v>70078</v>
      </c>
      <c r="F43">
        <v>25680</v>
      </c>
      <c r="G43">
        <v>13784</v>
      </c>
      <c r="L43">
        <v>1662443</v>
      </c>
      <c r="M43">
        <v>0</v>
      </c>
    </row>
    <row r="44" spans="1:13">
      <c r="A44">
        <v>6</v>
      </c>
      <c r="B44">
        <v>2018</v>
      </c>
      <c r="C44">
        <v>190121</v>
      </c>
      <c r="D44">
        <v>80202</v>
      </c>
      <c r="E44">
        <v>64645</v>
      </c>
      <c r="F44">
        <v>24937</v>
      </c>
      <c r="G44">
        <v>20337</v>
      </c>
      <c r="L44">
        <v>1684314</v>
      </c>
      <c r="M44">
        <v>0</v>
      </c>
    </row>
    <row r="45" spans="1:13">
      <c r="A45">
        <v>9</v>
      </c>
      <c r="B45">
        <v>2018</v>
      </c>
      <c r="C45">
        <v>205439</v>
      </c>
      <c r="D45">
        <v>86543</v>
      </c>
      <c r="E45">
        <v>71618</v>
      </c>
      <c r="F45">
        <v>24951</v>
      </c>
      <c r="G45">
        <v>22327</v>
      </c>
      <c r="L45">
        <v>1728300</v>
      </c>
      <c r="M45">
        <v>0</v>
      </c>
    </row>
    <row r="46" spans="1:13">
      <c r="A46">
        <v>12</v>
      </c>
      <c r="B46">
        <v>2018</v>
      </c>
      <c r="C46">
        <v>213413</v>
      </c>
      <c r="D46">
        <v>91889</v>
      </c>
      <c r="E46">
        <v>68637</v>
      </c>
      <c r="F46">
        <v>25932</v>
      </c>
      <c r="G46">
        <v>26955</v>
      </c>
      <c r="L46">
        <v>1755650</v>
      </c>
      <c r="M46">
        <v>0</v>
      </c>
    </row>
    <row r="47" spans="1:13">
      <c r="A47">
        <v>3</v>
      </c>
      <c r="B47">
        <v>2019</v>
      </c>
      <c r="C47">
        <v>208168</v>
      </c>
      <c r="D47">
        <v>85899</v>
      </c>
      <c r="E47">
        <v>67963</v>
      </c>
      <c r="F47">
        <v>25920</v>
      </c>
      <c r="G47">
        <v>28386</v>
      </c>
      <c r="L47">
        <v>1748047</v>
      </c>
      <c r="M47">
        <v>0</v>
      </c>
    </row>
    <row r="48" spans="1:13">
      <c r="A48">
        <v>6</v>
      </c>
      <c r="B48">
        <v>2019</v>
      </c>
      <c r="C48">
        <v>196709</v>
      </c>
      <c r="D48">
        <v>88662</v>
      </c>
      <c r="E48">
        <v>63053</v>
      </c>
      <c r="F48">
        <v>25413</v>
      </c>
      <c r="G48">
        <v>19581</v>
      </c>
      <c r="L48">
        <v>1774317</v>
      </c>
      <c r="M48">
        <v>0</v>
      </c>
    </row>
    <row r="49" spans="1:13">
      <c r="A49">
        <v>9</v>
      </c>
      <c r="B49">
        <v>2019</v>
      </c>
      <c r="C49">
        <v>189771</v>
      </c>
      <c r="D49">
        <v>85012</v>
      </c>
      <c r="E49">
        <v>61608</v>
      </c>
      <c r="F49">
        <v>24876</v>
      </c>
      <c r="G49">
        <v>18275</v>
      </c>
      <c r="L49">
        <v>1801933</v>
      </c>
      <c r="M49">
        <v>0</v>
      </c>
    </row>
    <row r="50" spans="1:13">
      <c r="A50">
        <v>11</v>
      </c>
      <c r="B50">
        <v>2019</v>
      </c>
      <c r="C50">
        <v>204399</v>
      </c>
      <c r="D50">
        <v>84337</v>
      </c>
      <c r="E50">
        <v>75532</v>
      </c>
      <c r="F50">
        <v>25187</v>
      </c>
      <c r="G50">
        <v>19343</v>
      </c>
      <c r="L50">
        <v>1819616</v>
      </c>
      <c r="M50">
        <v>0</v>
      </c>
    </row>
    <row r="51" spans="1:13">
      <c r="A51">
        <v>12</v>
      </c>
      <c r="B51">
        <v>2019</v>
      </c>
      <c r="C51">
        <v>221372</v>
      </c>
      <c r="D51">
        <v>87964</v>
      </c>
      <c r="E51">
        <v>84026</v>
      </c>
      <c r="F51">
        <v>24867</v>
      </c>
      <c r="G51">
        <v>24515</v>
      </c>
      <c r="L51">
        <v>1870184</v>
      </c>
      <c r="M51">
        <v>0</v>
      </c>
    </row>
    <row r="52" spans="1:13">
      <c r="A52">
        <v>1</v>
      </c>
      <c r="B52">
        <v>2020</v>
      </c>
      <c r="C52">
        <v>210355</v>
      </c>
      <c r="D52">
        <v>83172</v>
      </c>
      <c r="E52">
        <v>76157</v>
      </c>
      <c r="F52">
        <v>24547</v>
      </c>
      <c r="G52">
        <v>26479</v>
      </c>
      <c r="L52">
        <v>1826293</v>
      </c>
      <c r="M52">
        <v>0</v>
      </c>
    </row>
    <row r="53" spans="1:13">
      <c r="A53">
        <v>3</v>
      </c>
      <c r="B53">
        <v>2020</v>
      </c>
      <c r="C53">
        <v>216751</v>
      </c>
      <c r="D53">
        <v>91844</v>
      </c>
      <c r="E53">
        <v>79707</v>
      </c>
      <c r="F53">
        <v>23952</v>
      </c>
      <c r="G53">
        <v>21248</v>
      </c>
      <c r="L53">
        <v>1851917</v>
      </c>
      <c r="M53">
        <v>0</v>
      </c>
    </row>
    <row r="54" spans="1:13">
      <c r="A54">
        <v>4</v>
      </c>
      <c r="B54">
        <v>2020</v>
      </c>
      <c r="C54">
        <v>210355</v>
      </c>
      <c r="D54">
        <v>85242</v>
      </c>
      <c r="E54">
        <v>80699</v>
      </c>
      <c r="F54">
        <v>23631</v>
      </c>
      <c r="G54">
        <v>20783</v>
      </c>
      <c r="L54">
        <v>1872123</v>
      </c>
      <c r="M54">
        <v>0</v>
      </c>
    </row>
    <row r="55" spans="1:13">
      <c r="A55">
        <v>5</v>
      </c>
      <c r="B55">
        <v>2020</v>
      </c>
      <c r="C55">
        <v>202881</v>
      </c>
      <c r="D55">
        <v>83790</v>
      </c>
      <c r="E55">
        <v>78314</v>
      </c>
      <c r="F55">
        <v>23880</v>
      </c>
      <c r="G55">
        <v>16897</v>
      </c>
      <c r="L55">
        <v>1865415</v>
      </c>
      <c r="M55">
        <v>0</v>
      </c>
    </row>
    <row r="56" spans="1:13">
      <c r="A56">
        <v>6</v>
      </c>
      <c r="B56">
        <v>2020</v>
      </c>
      <c r="C56">
        <v>200368</v>
      </c>
      <c r="D56">
        <v>73495</v>
      </c>
      <c r="E56">
        <v>75382</v>
      </c>
      <c r="F56">
        <v>23781</v>
      </c>
      <c r="G56">
        <v>27710</v>
      </c>
      <c r="L56">
        <v>1866132</v>
      </c>
      <c r="M56">
        <v>0</v>
      </c>
    </row>
    <row r="57" spans="1:13">
      <c r="A57">
        <v>7</v>
      </c>
      <c r="B57">
        <v>2020</v>
      </c>
      <c r="C57">
        <v>197001</v>
      </c>
      <c r="D57">
        <v>73140</v>
      </c>
      <c r="E57">
        <v>71597</v>
      </c>
      <c r="F57">
        <v>24188</v>
      </c>
      <c r="G57">
        <v>28076</v>
      </c>
      <c r="L57">
        <v>1887301</v>
      </c>
      <c r="M57">
        <v>0</v>
      </c>
    </row>
    <row r="58" spans="1:13">
      <c r="A58">
        <v>8</v>
      </c>
      <c r="B58">
        <v>2020</v>
      </c>
      <c r="C58">
        <v>189966</v>
      </c>
      <c r="D58">
        <v>74433</v>
      </c>
      <c r="E58">
        <v>73210</v>
      </c>
      <c r="F58">
        <v>24347</v>
      </c>
      <c r="G58">
        <v>17976</v>
      </c>
      <c r="L58">
        <v>1898897</v>
      </c>
      <c r="M58">
        <v>0</v>
      </c>
    </row>
    <row r="59" spans="1:13">
      <c r="A59">
        <v>9</v>
      </c>
      <c r="B59">
        <v>2020</v>
      </c>
      <c r="C59">
        <v>191347</v>
      </c>
      <c r="D59">
        <v>73341</v>
      </c>
      <c r="E59">
        <v>71676</v>
      </c>
      <c r="F59">
        <v>24382</v>
      </c>
      <c r="G59">
        <v>21948</v>
      </c>
      <c r="L59">
        <v>1907152</v>
      </c>
      <c r="M59">
        <v>0</v>
      </c>
    </row>
    <row r="60" spans="1:13">
      <c r="A60">
        <v>10</v>
      </c>
      <c r="B60">
        <v>2020</v>
      </c>
      <c r="C60">
        <v>197025</v>
      </c>
      <c r="D60">
        <v>70632</v>
      </c>
      <c r="E60">
        <v>82847</v>
      </c>
      <c r="F60">
        <v>24454</v>
      </c>
      <c r="G60">
        <v>19092</v>
      </c>
      <c r="L60">
        <v>1910623</v>
      </c>
      <c r="M60">
        <v>0</v>
      </c>
    </row>
    <row r="61" spans="1:13">
      <c r="A61">
        <v>11</v>
      </c>
      <c r="B61">
        <v>2020</v>
      </c>
      <c r="C61">
        <v>196457</v>
      </c>
      <c r="D61">
        <v>71651</v>
      </c>
      <c r="E61">
        <v>80767</v>
      </c>
      <c r="F61">
        <v>24417</v>
      </c>
      <c r="G61">
        <v>19622</v>
      </c>
      <c r="L61">
        <v>1876126</v>
      </c>
      <c r="M61">
        <v>0</v>
      </c>
    </row>
    <row r="62" spans="1:13">
      <c r="A62">
        <v>12</v>
      </c>
      <c r="B62">
        <v>2020</v>
      </c>
      <c r="C62">
        <v>202443</v>
      </c>
      <c r="D62">
        <v>72250</v>
      </c>
      <c r="E62">
        <v>84421</v>
      </c>
      <c r="F62">
        <v>24604</v>
      </c>
      <c r="G62">
        <v>21168</v>
      </c>
      <c r="L62">
        <v>1884545</v>
      </c>
      <c r="M62">
        <v>0</v>
      </c>
    </row>
    <row r="63" spans="1:13">
      <c r="A63">
        <v>1</v>
      </c>
      <c r="B63">
        <v>2021</v>
      </c>
      <c r="C63">
        <v>198152</v>
      </c>
      <c r="D63">
        <v>69773</v>
      </c>
      <c r="E63">
        <v>79678</v>
      </c>
      <c r="F63">
        <v>24754</v>
      </c>
      <c r="G63">
        <v>23947</v>
      </c>
      <c r="L63">
        <v>1876162</v>
      </c>
      <c r="M63">
        <v>0</v>
      </c>
    </row>
    <row r="64" spans="1:13">
      <c r="A64">
        <v>2</v>
      </c>
      <c r="B64">
        <v>2021</v>
      </c>
      <c r="C64">
        <v>201164</v>
      </c>
      <c r="D64">
        <v>69780</v>
      </c>
      <c r="E64">
        <v>78332</v>
      </c>
      <c r="F64">
        <v>25097</v>
      </c>
      <c r="G64">
        <v>27955</v>
      </c>
      <c r="L64">
        <v>1878270</v>
      </c>
      <c r="M64">
        <v>0</v>
      </c>
    </row>
    <row r="65" spans="1:13">
      <c r="A65">
        <v>3</v>
      </c>
      <c r="B65">
        <v>2021</v>
      </c>
      <c r="C65">
        <v>203514</v>
      </c>
      <c r="D65">
        <v>69533</v>
      </c>
      <c r="E65">
        <v>86340</v>
      </c>
      <c r="F65">
        <v>24881</v>
      </c>
      <c r="G65">
        <v>22760</v>
      </c>
      <c r="L65">
        <v>1881268</v>
      </c>
      <c r="M65">
        <v>0</v>
      </c>
    </row>
    <row r="66" spans="1:13">
      <c r="A66">
        <v>4</v>
      </c>
      <c r="B66">
        <v>2021</v>
      </c>
      <c r="C66">
        <v>211178</v>
      </c>
      <c r="D66">
        <v>72724</v>
      </c>
      <c r="E66">
        <v>83376</v>
      </c>
      <c r="F66">
        <v>24990</v>
      </c>
      <c r="G66">
        <v>30088</v>
      </c>
      <c r="L66">
        <v>1877285</v>
      </c>
      <c r="M66">
        <v>0</v>
      </c>
    </row>
    <row r="67" spans="1:13">
      <c r="A67">
        <v>5</v>
      </c>
      <c r="B67">
        <v>2021</v>
      </c>
      <c r="C67">
        <v>214440</v>
      </c>
      <c r="D67">
        <v>78506</v>
      </c>
      <c r="E67">
        <v>83623</v>
      </c>
      <c r="F67">
        <v>25056</v>
      </c>
      <c r="G67">
        <v>27255</v>
      </c>
      <c r="L67">
        <v>1874595</v>
      </c>
      <c r="M67">
        <v>0</v>
      </c>
    </row>
    <row r="68" spans="1:13">
      <c r="A68">
        <v>6</v>
      </c>
      <c r="B68">
        <v>2021</v>
      </c>
      <c r="C68">
        <v>225711</v>
      </c>
      <c r="D68">
        <v>80330</v>
      </c>
      <c r="E68">
        <v>81501</v>
      </c>
      <c r="F68">
        <v>24638</v>
      </c>
      <c r="G68">
        <v>39242</v>
      </c>
      <c r="L68">
        <v>1908655</v>
      </c>
      <c r="M68">
        <v>0</v>
      </c>
    </row>
    <row r="69" spans="1:13">
      <c r="A69">
        <v>7</v>
      </c>
      <c r="B69">
        <v>2021</v>
      </c>
      <c r="C69">
        <v>230997</v>
      </c>
      <c r="D69">
        <v>79866</v>
      </c>
      <c r="E69">
        <v>86415</v>
      </c>
      <c r="F69">
        <v>24814</v>
      </c>
      <c r="G69">
        <v>39902</v>
      </c>
      <c r="L69">
        <v>1915117</v>
      </c>
      <c r="M69">
        <v>0</v>
      </c>
    </row>
    <row r="70" spans="1:13">
      <c r="A70">
        <v>8</v>
      </c>
      <c r="B70">
        <v>2021</v>
      </c>
      <c r="C70">
        <v>234491</v>
      </c>
      <c r="D70">
        <v>82086</v>
      </c>
      <c r="E70">
        <v>91963</v>
      </c>
      <c r="F70">
        <v>24899</v>
      </c>
      <c r="G70">
        <v>35543</v>
      </c>
      <c r="L70">
        <v>1928681</v>
      </c>
      <c r="M70">
        <v>0</v>
      </c>
    </row>
    <row r="71" spans="1:13">
      <c r="A71">
        <v>9</v>
      </c>
      <c r="B71">
        <v>2021</v>
      </c>
      <c r="C71">
        <v>243156</v>
      </c>
      <c r="D71">
        <v>82932</v>
      </c>
      <c r="E71">
        <v>97606</v>
      </c>
      <c r="F71">
        <v>25665</v>
      </c>
      <c r="G71">
        <v>36953</v>
      </c>
      <c r="L71">
        <v>1942326</v>
      </c>
      <c r="M71">
        <v>0</v>
      </c>
    </row>
    <row r="72" spans="1:13">
      <c r="A72">
        <v>10</v>
      </c>
      <c r="B72">
        <v>2021</v>
      </c>
      <c r="C72">
        <v>238979</v>
      </c>
      <c r="D72">
        <v>83026</v>
      </c>
      <c r="E72">
        <v>94926</v>
      </c>
      <c r="F72">
        <v>25273</v>
      </c>
      <c r="G72">
        <v>35754</v>
      </c>
      <c r="L72">
        <v>1967269</v>
      </c>
      <c r="M72">
        <v>0</v>
      </c>
    </row>
    <row r="73" spans="1:13">
      <c r="A73">
        <v>11</v>
      </c>
      <c r="B73">
        <v>2021</v>
      </c>
      <c r="C73">
        <v>229747</v>
      </c>
      <c r="D73">
        <v>81287</v>
      </c>
      <c r="E73">
        <v>90043</v>
      </c>
      <c r="F73">
        <v>26656</v>
      </c>
      <c r="G73">
        <v>31761</v>
      </c>
      <c r="L73">
        <v>1966985</v>
      </c>
      <c r="M73">
        <v>0</v>
      </c>
    </row>
    <row r="74" spans="1:13">
      <c r="A74">
        <v>12</v>
      </c>
      <c r="B74">
        <v>2021</v>
      </c>
      <c r="C74">
        <v>230994</v>
      </c>
      <c r="D74">
        <v>82170</v>
      </c>
      <c r="E74">
        <v>86020</v>
      </c>
      <c r="F74">
        <v>26261</v>
      </c>
      <c r="G74">
        <v>36543</v>
      </c>
      <c r="L74">
        <v>1996527</v>
      </c>
      <c r="M74">
        <v>0</v>
      </c>
    </row>
    <row r="75" spans="1:13">
      <c r="A75">
        <v>1</v>
      </c>
      <c r="B75">
        <v>2022</v>
      </c>
      <c r="C75">
        <v>220481</v>
      </c>
      <c r="D75">
        <v>88124</v>
      </c>
      <c r="E75">
        <v>71720</v>
      </c>
      <c r="F75">
        <v>26067</v>
      </c>
      <c r="G75">
        <v>34570</v>
      </c>
      <c r="L75">
        <v>1982385</v>
      </c>
      <c r="M75">
        <v>0</v>
      </c>
    </row>
    <row r="76" spans="1:13">
      <c r="A76">
        <v>2</v>
      </c>
      <c r="B76">
        <v>2022</v>
      </c>
      <c r="C76">
        <v>217490</v>
      </c>
      <c r="D76">
        <v>86540</v>
      </c>
      <c r="E76">
        <v>64537</v>
      </c>
      <c r="F76">
        <v>26624</v>
      </c>
      <c r="G76">
        <v>39789</v>
      </c>
      <c r="L76">
        <v>1988354</v>
      </c>
      <c r="M76">
        <v>0</v>
      </c>
    </row>
    <row r="77" spans="1:13">
      <c r="A77">
        <v>3</v>
      </c>
      <c r="B77">
        <v>2022</v>
      </c>
      <c r="C77">
        <v>214802</v>
      </c>
      <c r="D77">
        <v>92340</v>
      </c>
      <c r="E77">
        <v>63642</v>
      </c>
      <c r="F77">
        <v>27377</v>
      </c>
      <c r="G77">
        <v>31443</v>
      </c>
      <c r="L77">
        <v>2006237</v>
      </c>
      <c r="M77">
        <v>0</v>
      </c>
    </row>
    <row r="78" spans="1:13">
      <c r="A78">
        <v>4</v>
      </c>
      <c r="B78">
        <v>2022</v>
      </c>
      <c r="C78">
        <v>246536</v>
      </c>
      <c r="D78">
        <v>120726</v>
      </c>
      <c r="E78">
        <v>58035</v>
      </c>
      <c r="F78">
        <v>28121</v>
      </c>
      <c r="G78">
        <v>39654</v>
      </c>
      <c r="L78">
        <v>2008352</v>
      </c>
      <c r="M78">
        <v>0</v>
      </c>
    </row>
    <row r="79" spans="1:13">
      <c r="A79">
        <v>5</v>
      </c>
      <c r="B79">
        <v>2022</v>
      </c>
      <c r="C79">
        <v>243500</v>
      </c>
      <c r="D79">
        <v>123118</v>
      </c>
      <c r="E79">
        <v>52110</v>
      </c>
      <c r="F79">
        <v>29340</v>
      </c>
      <c r="G79">
        <v>38932</v>
      </c>
      <c r="L79">
        <v>2040531</v>
      </c>
      <c r="M79">
        <v>0</v>
      </c>
    </row>
    <row r="80" spans="1:13">
      <c r="A80">
        <v>6</v>
      </c>
      <c r="B80">
        <v>2022</v>
      </c>
      <c r="C80">
        <v>248384</v>
      </c>
      <c r="D80">
        <v>138302</v>
      </c>
      <c r="E80">
        <v>49497</v>
      </c>
      <c r="F80">
        <v>29372</v>
      </c>
      <c r="G80">
        <v>31213</v>
      </c>
      <c r="L80">
        <v>2091833</v>
      </c>
      <c r="M80">
        <v>0</v>
      </c>
    </row>
    <row r="81" spans="1:13">
      <c r="A81">
        <v>7</v>
      </c>
      <c r="B81">
        <v>2022</v>
      </c>
      <c r="C81">
        <v>256283</v>
      </c>
      <c r="D81">
        <v>138693</v>
      </c>
      <c r="E81">
        <v>49635</v>
      </c>
      <c r="F81">
        <v>30136</v>
      </c>
      <c r="G81">
        <v>37819</v>
      </c>
      <c r="L81">
        <v>2132904</v>
      </c>
      <c r="M81">
        <v>0</v>
      </c>
    </row>
    <row r="82" spans="1:13">
      <c r="A82">
        <v>8</v>
      </c>
      <c r="B82">
        <v>2022</v>
      </c>
      <c r="C82">
        <v>238251</v>
      </c>
      <c r="D82">
        <v>122263</v>
      </c>
      <c r="E82">
        <v>44690</v>
      </c>
      <c r="F82">
        <v>30543</v>
      </c>
      <c r="G82">
        <v>40755</v>
      </c>
      <c r="L82">
        <v>2166611</v>
      </c>
      <c r="M82">
        <v>0</v>
      </c>
    </row>
    <row r="83" spans="1:13">
      <c r="A83">
        <v>9</v>
      </c>
      <c r="B83">
        <v>2022</v>
      </c>
      <c r="C83">
        <v>228614</v>
      </c>
      <c r="D83">
        <v>119744</v>
      </c>
      <c r="E83">
        <v>40588</v>
      </c>
      <c r="F83">
        <v>31077</v>
      </c>
      <c r="G83">
        <v>37205</v>
      </c>
      <c r="L83">
        <v>2186962</v>
      </c>
      <c r="M83">
        <v>0</v>
      </c>
    </row>
    <row r="84" spans="1:13">
      <c r="A84">
        <v>10</v>
      </c>
      <c r="B84">
        <v>2022</v>
      </c>
      <c r="C84">
        <v>238313</v>
      </c>
      <c r="D84">
        <v>132719</v>
      </c>
      <c r="E84">
        <v>41779</v>
      </c>
      <c r="F84">
        <v>32008</v>
      </c>
      <c r="G84">
        <v>31807</v>
      </c>
      <c r="L84">
        <v>2204710</v>
      </c>
      <c r="M84">
        <v>0</v>
      </c>
    </row>
    <row r="85" spans="1:13">
      <c r="A85">
        <v>11</v>
      </c>
      <c r="B85">
        <v>2022</v>
      </c>
      <c r="C85">
        <v>223537</v>
      </c>
      <c r="D85">
        <v>116203</v>
      </c>
      <c r="E85">
        <v>40565</v>
      </c>
      <c r="F85">
        <v>33110</v>
      </c>
      <c r="G85">
        <v>33659</v>
      </c>
      <c r="L85">
        <v>2239297</v>
      </c>
      <c r="M85">
        <v>0</v>
      </c>
    </row>
    <row r="86" spans="1:13">
      <c r="A86">
        <v>12</v>
      </c>
      <c r="B86">
        <v>2022</v>
      </c>
      <c r="C86">
        <v>212530</v>
      </c>
      <c r="D86">
        <v>103101</v>
      </c>
      <c r="E86">
        <v>41171</v>
      </c>
      <c r="F86">
        <v>33475</v>
      </c>
      <c r="G86">
        <v>34783</v>
      </c>
      <c r="L86">
        <v>2222226</v>
      </c>
      <c r="M86">
        <v>0</v>
      </c>
    </row>
    <row r="87" spans="1:13">
      <c r="A87">
        <v>1</v>
      </c>
      <c r="B87">
        <v>2023</v>
      </c>
      <c r="C87">
        <v>212859</v>
      </c>
      <c r="D87">
        <v>103291</v>
      </c>
      <c r="E87">
        <v>39496</v>
      </c>
      <c r="F87">
        <v>34226</v>
      </c>
      <c r="G87">
        <v>35846</v>
      </c>
      <c r="L87">
        <v>2242390</v>
      </c>
      <c r="M87">
        <v>0</v>
      </c>
    </row>
    <row r="88" spans="1:13">
      <c r="A88">
        <v>2</v>
      </c>
      <c r="B88">
        <v>2023</v>
      </c>
      <c r="C88">
        <v>208716</v>
      </c>
      <c r="D88">
        <v>101881</v>
      </c>
      <c r="E88">
        <v>38922</v>
      </c>
      <c r="F88">
        <v>33627</v>
      </c>
      <c r="G88">
        <v>34286</v>
      </c>
      <c r="L88">
        <v>2233095</v>
      </c>
      <c r="M88">
        <v>0</v>
      </c>
    </row>
    <row r="89" spans="1:13">
      <c r="A89">
        <v>3</v>
      </c>
      <c r="B89">
        <v>2023</v>
      </c>
      <c r="C89">
        <v>213355</v>
      </c>
      <c r="D89">
        <v>107722</v>
      </c>
      <c r="E89">
        <v>37317</v>
      </c>
      <c r="F89">
        <v>35104</v>
      </c>
      <c r="G89">
        <v>33212</v>
      </c>
      <c r="L89">
        <v>2305909</v>
      </c>
      <c r="M89">
        <v>0</v>
      </c>
    </row>
    <row r="90" spans="1:13">
      <c r="A90">
        <v>4</v>
      </c>
      <c r="B90">
        <v>2023</v>
      </c>
      <c r="C90">
        <v>215440</v>
      </c>
      <c r="D90">
        <v>104053</v>
      </c>
      <c r="E90">
        <v>39912</v>
      </c>
      <c r="F90">
        <v>37019</v>
      </c>
      <c r="G90">
        <v>34456</v>
      </c>
      <c r="L90">
        <v>2350934</v>
      </c>
      <c r="M90">
        <v>0</v>
      </c>
    </row>
    <row r="91" spans="1:13">
      <c r="A91">
        <v>5</v>
      </c>
      <c r="B91">
        <v>2023</v>
      </c>
      <c r="C91">
        <v>239303</v>
      </c>
      <c r="D91">
        <v>137011</v>
      </c>
      <c r="E91">
        <v>36666</v>
      </c>
      <c r="F91">
        <v>36873</v>
      </c>
      <c r="G91">
        <v>28753</v>
      </c>
      <c r="L91">
        <v>2405785</v>
      </c>
      <c r="M91">
        <v>0</v>
      </c>
    </row>
    <row r="92" spans="1:13">
      <c r="A92">
        <v>6</v>
      </c>
      <c r="B92">
        <v>2023</v>
      </c>
      <c r="C92">
        <v>211148</v>
      </c>
      <c r="D92">
        <v>111929</v>
      </c>
      <c r="E92">
        <v>35833</v>
      </c>
      <c r="F92">
        <v>37930</v>
      </c>
      <c r="G92">
        <v>25456</v>
      </c>
      <c r="L92">
        <v>2381999</v>
      </c>
      <c r="M92">
        <v>0</v>
      </c>
    </row>
    <row r="93" spans="1:13">
      <c r="A93">
        <v>7</v>
      </c>
      <c r="B93">
        <v>2023</v>
      </c>
      <c r="C93">
        <v>202966</v>
      </c>
      <c r="D93">
        <v>95515</v>
      </c>
      <c r="E93">
        <v>39800</v>
      </c>
      <c r="F93">
        <v>37255</v>
      </c>
      <c r="G93">
        <v>30396</v>
      </c>
      <c r="L93">
        <v>2392981</v>
      </c>
      <c r="M93">
        <v>0</v>
      </c>
    </row>
    <row r="94" spans="1:13">
      <c r="A94">
        <v>8</v>
      </c>
      <c r="B94">
        <v>2023</v>
      </c>
      <c r="C94">
        <v>211360</v>
      </c>
      <c r="D94">
        <v>103479</v>
      </c>
      <c r="E94">
        <v>38551</v>
      </c>
      <c r="F94">
        <v>37275</v>
      </c>
      <c r="G94">
        <v>32055</v>
      </c>
      <c r="L94">
        <v>2403314</v>
      </c>
      <c r="M94">
        <v>0</v>
      </c>
    </row>
    <row r="95" spans="1:13">
      <c r="A95">
        <v>9</v>
      </c>
      <c r="B95">
        <v>2023</v>
      </c>
      <c r="C95">
        <v>190100</v>
      </c>
      <c r="D95">
        <v>105083</v>
      </c>
      <c r="E95">
        <v>30326</v>
      </c>
      <c r="F95">
        <v>37683</v>
      </c>
      <c r="G95">
        <v>17008</v>
      </c>
      <c r="L95">
        <v>2420871</v>
      </c>
      <c r="M95">
        <v>0</v>
      </c>
    </row>
    <row r="96" spans="1:13">
      <c r="A96">
        <v>10</v>
      </c>
      <c r="B96">
        <v>2023</v>
      </c>
      <c r="C96">
        <v>204134</v>
      </c>
      <c r="D96">
        <v>119142</v>
      </c>
      <c r="E96">
        <v>28249</v>
      </c>
      <c r="F96">
        <v>39027</v>
      </c>
      <c r="G96">
        <v>17716</v>
      </c>
      <c r="L96">
        <v>2455350</v>
      </c>
      <c r="M96">
        <v>0</v>
      </c>
    </row>
    <row r="97" spans="1:13">
      <c r="A97">
        <v>11</v>
      </c>
      <c r="B97">
        <v>2023</v>
      </c>
      <c r="C97">
        <v>185134</v>
      </c>
      <c r="D97">
        <v>109572</v>
      </c>
      <c r="E97">
        <v>22889</v>
      </c>
      <c r="F97">
        <v>38450</v>
      </c>
      <c r="G97">
        <v>14223</v>
      </c>
      <c r="L97">
        <v>2444467</v>
      </c>
      <c r="M97">
        <v>0</v>
      </c>
    </row>
    <row r="98" spans="1:13">
      <c r="A98">
        <v>12</v>
      </c>
      <c r="B98">
        <v>2023</v>
      </c>
      <c r="C98">
        <v>202047</v>
      </c>
      <c r="D98">
        <v>110387</v>
      </c>
      <c r="E98">
        <v>23766</v>
      </c>
      <c r="F98">
        <v>38960</v>
      </c>
      <c r="G98">
        <v>28934</v>
      </c>
      <c r="L98">
        <v>2521902</v>
      </c>
      <c r="M98">
        <v>0</v>
      </c>
    </row>
    <row r="99" spans="1:13">
      <c r="A99">
        <v>1</v>
      </c>
      <c r="B99">
        <v>2024</v>
      </c>
      <c r="C99">
        <v>197897</v>
      </c>
      <c r="D99">
        <v>103281</v>
      </c>
      <c r="E99">
        <v>24220</v>
      </c>
      <c r="F99">
        <v>39446</v>
      </c>
      <c r="G99">
        <v>30950</v>
      </c>
      <c r="L99">
        <v>2539885</v>
      </c>
      <c r="M99">
        <v>0</v>
      </c>
    </row>
    <row r="100" spans="1:13">
      <c r="A100">
        <v>2</v>
      </c>
      <c r="B100">
        <v>2024</v>
      </c>
      <c r="C100">
        <v>207669</v>
      </c>
      <c r="D100">
        <v>106829</v>
      </c>
      <c r="E100">
        <v>24065</v>
      </c>
      <c r="F100">
        <v>39093</v>
      </c>
      <c r="G100">
        <v>37682</v>
      </c>
      <c r="L100">
        <v>2608073</v>
      </c>
      <c r="M100">
        <v>0</v>
      </c>
    </row>
    <row r="101" spans="1:13">
      <c r="A101">
        <v>3</v>
      </c>
      <c r="B101">
        <v>2024</v>
      </c>
      <c r="C101">
        <v>220931</v>
      </c>
      <c r="D101">
        <v>117576</v>
      </c>
      <c r="E101">
        <v>27514</v>
      </c>
      <c r="F101">
        <v>39130</v>
      </c>
      <c r="G101">
        <v>36711</v>
      </c>
      <c r="L101">
        <v>2657279</v>
      </c>
      <c r="M101">
        <v>0</v>
      </c>
    </row>
    <row r="102" spans="1:13">
      <c r="A102">
        <v>4</v>
      </c>
      <c r="B102">
        <v>2024</v>
      </c>
      <c r="C102">
        <v>214424</v>
      </c>
      <c r="D102">
        <v>108766</v>
      </c>
      <c r="E102">
        <v>27724</v>
      </c>
      <c r="F102">
        <v>38880</v>
      </c>
      <c r="G102">
        <v>39054</v>
      </c>
      <c r="L102">
        <v>2717428</v>
      </c>
      <c r="M102">
        <v>0</v>
      </c>
    </row>
    <row r="103" spans="1:13">
      <c r="A103">
        <v>5</v>
      </c>
      <c r="B103">
        <v>2024</v>
      </c>
      <c r="C103">
        <v>204650</v>
      </c>
      <c r="D103">
        <v>103087</v>
      </c>
      <c r="E103">
        <v>33250</v>
      </c>
      <c r="F103">
        <v>39488</v>
      </c>
      <c r="G103">
        <v>28825</v>
      </c>
      <c r="L103">
        <v>2678289</v>
      </c>
      <c r="M103">
        <v>0</v>
      </c>
    </row>
    <row r="104" spans="1:13">
      <c r="A104">
        <v>6</v>
      </c>
      <c r="B104">
        <v>2024</v>
      </c>
      <c r="C104">
        <v>221821.5</v>
      </c>
      <c r="D104">
        <v>112305.8</v>
      </c>
      <c r="E104">
        <v>36024.800000000003</v>
      </c>
      <c r="F104">
        <v>40392.199999999997</v>
      </c>
      <c r="G104">
        <v>33098.699999999997</v>
      </c>
      <c r="L104">
        <v>2692569.8000000003</v>
      </c>
      <c r="M104">
        <v>0</v>
      </c>
    </row>
  </sheetData>
  <conditionalFormatting sqref="O2:O104">
    <cfRule type="containsText" dxfId="0" priority="1" operator="containsText" text="FAUX">
      <formula>NOT(ISERROR(SEARCH("FAUX",O2)))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Moura</dc:creator>
  <cp:keywords/>
  <dc:description/>
  <cp:lastModifiedBy>Carolina Moniz De Moura</cp:lastModifiedBy>
  <cp:revision/>
  <dcterms:created xsi:type="dcterms:W3CDTF">2024-09-16T12:48:20Z</dcterms:created>
  <dcterms:modified xsi:type="dcterms:W3CDTF">2025-08-10T19:43:15Z</dcterms:modified>
  <cp:category/>
  <cp:contentStatus/>
</cp:coreProperties>
</file>