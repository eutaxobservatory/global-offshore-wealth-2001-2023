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showInkAnnotation="0" autoCompressPictures="0"/>
  <mc:AlternateContent xmlns:mc="http://schemas.openxmlformats.org/markup-compatibility/2006">
    <mc:Choice Requires="x15">
      <x15ac:absPath xmlns:x15ac="http://schemas.microsoft.com/office/spreadsheetml/2010/11/ac" url="C:\Users\sgodar\Dropbox\FGZ2023OffshoreWealth\work-sarah\BoP\Zucman2013Data\"/>
    </mc:Choice>
  </mc:AlternateContent>
  <xr:revisionPtr revIDLastSave="0" documentId="13_ncr:1_{BBF6BF7E-337D-4782-BB48-BCA7661A32CA}" xr6:coauthVersionLast="47" xr6:coauthVersionMax="47" xr10:uidLastSave="{00000000-0000-0000-0000-000000000000}"/>
  <bookViews>
    <workbookView xWindow="28680" yWindow="-120" windowWidth="29040" windowHeight="15990" tabRatio="847" firstSheet="12" activeTab="21" xr2:uid="{00000000-000D-0000-FFFF-FFFF00000000}"/>
  </bookViews>
  <sheets>
    <sheet name="Table A0" sheetId="7" r:id="rId1"/>
    <sheet name="Table A1" sheetId="10" r:id="rId2"/>
    <sheet name="Table A2" sheetId="9" r:id="rId3"/>
    <sheet name="Table A3" sheetId="17" r:id="rId4"/>
    <sheet name="Table A4" sheetId="24" r:id="rId5"/>
    <sheet name="Table A5" sheetId="31" r:id="rId6"/>
    <sheet name="Table A6" sheetId="12" r:id="rId7"/>
    <sheet name="Table A7" sheetId="11" r:id="rId8"/>
    <sheet name="Table A8" sheetId="18" r:id="rId9"/>
    <sheet name="Table A9" sheetId="19" r:id="rId10"/>
    <sheet name="Table A9B" sheetId="59" r:id="rId11"/>
    <sheet name="Table A9C" sheetId="60" r:id="rId12"/>
    <sheet name="Table A10" sheetId="15" r:id="rId13"/>
    <sheet name="Table A11" sheetId="16" r:id="rId14"/>
    <sheet name="Table A12" sheetId="20" r:id="rId15"/>
    <sheet name="Table A13" sheetId="22" r:id="rId16"/>
    <sheet name="Table A14" sheetId="23" r:id="rId17"/>
    <sheet name="Table A15" sheetId="42" r:id="rId18"/>
    <sheet name="Table A16" sheetId="41" r:id="rId19"/>
    <sheet name="Table A17" sheetId="32" r:id="rId20"/>
    <sheet name="Table A18" sheetId="58" r:id="rId21"/>
    <sheet name="Table A19" sheetId="25" r:id="rId22"/>
    <sheet name="Table A20" sheetId="27" r:id="rId23"/>
    <sheet name="Table A21" sheetId="26" r:id="rId24"/>
    <sheet name="Table A22" sheetId="28" r:id="rId25"/>
    <sheet name="Table A23" sheetId="54" r:id="rId26"/>
    <sheet name="Table A24" sheetId="43" r:id="rId27"/>
    <sheet name="Table A25" sheetId="44" r:id="rId28"/>
    <sheet name="Table A26" sheetId="45" r:id="rId29"/>
    <sheet name="Table A27" sheetId="49" r:id="rId30"/>
    <sheet name="Table A28" sheetId="51" r:id="rId31"/>
    <sheet name="Table A29" sheetId="56" r:id="rId32"/>
    <sheet name="Table A30" sheetId="50" r:id="rId33"/>
    <sheet name="Table A31" sheetId="55" r:id="rId34"/>
    <sheet name="Table A32" sheetId="57" r:id="rId35"/>
    <sheet name="RawDataSources" sheetId="1" r:id="rId36"/>
    <sheet name="Exchange Rates" sheetId="48" r:id="rId37"/>
  </sheets>
  <definedNames>
    <definedName name="column_headings" localSheetId="20">#REF!</definedName>
    <definedName name="column_headings" localSheetId="25">#REF!</definedName>
    <definedName name="column_headings" localSheetId="30">#REF!</definedName>
    <definedName name="column_headings" localSheetId="31">#REF!</definedName>
    <definedName name="column_headings" localSheetId="33">#REF!</definedName>
    <definedName name="column_headings" localSheetId="34">#REF!</definedName>
    <definedName name="column_headings" localSheetId="10">#REF!</definedName>
    <definedName name="column_headings" localSheetId="11">#REF!</definedName>
    <definedName name="column_headings">#REF!</definedName>
    <definedName name="column_numbers" localSheetId="20">#REF!</definedName>
    <definedName name="column_numbers" localSheetId="25">#REF!</definedName>
    <definedName name="column_numbers" localSheetId="30">#REF!</definedName>
    <definedName name="column_numbers" localSheetId="31">#REF!</definedName>
    <definedName name="column_numbers" localSheetId="33">#REF!</definedName>
    <definedName name="column_numbers" localSheetId="34">#REF!</definedName>
    <definedName name="column_numbers" localSheetId="10">#REF!</definedName>
    <definedName name="column_numbers" localSheetId="11">#REF!</definedName>
    <definedName name="column_numbers">#REF!</definedName>
    <definedName name="d" localSheetId="20">#REF!</definedName>
    <definedName name="d" localSheetId="25">#REF!</definedName>
    <definedName name="d" localSheetId="30">#REF!</definedName>
    <definedName name="d" localSheetId="31">#REF!</definedName>
    <definedName name="d" localSheetId="33">#REF!</definedName>
    <definedName name="d" localSheetId="34">#REF!</definedName>
    <definedName name="d" localSheetId="10">#REF!</definedName>
    <definedName name="d" localSheetId="11">#REF!</definedName>
    <definedName name="d">#REF!</definedName>
    <definedName name="data" localSheetId="20">#REF!</definedName>
    <definedName name="data" localSheetId="25">#REF!</definedName>
    <definedName name="data" localSheetId="30">#REF!</definedName>
    <definedName name="data" localSheetId="31">#REF!</definedName>
    <definedName name="data" localSheetId="33">#REF!</definedName>
    <definedName name="data" localSheetId="34">#REF!</definedName>
    <definedName name="data" localSheetId="10">#REF!</definedName>
    <definedName name="data" localSheetId="11">#REF!</definedName>
    <definedName name="data">#REF!</definedName>
    <definedName name="_xlnm.Print_Area" localSheetId="1">'Table A1'!$A$2:$R$1048576</definedName>
    <definedName name="e" localSheetId="20">#REF!</definedName>
    <definedName name="e" localSheetId="25">#REF!</definedName>
    <definedName name="e" localSheetId="30">#REF!</definedName>
    <definedName name="e" localSheetId="31">#REF!</definedName>
    <definedName name="e" localSheetId="33">#REF!</definedName>
    <definedName name="e" localSheetId="34">#REF!</definedName>
    <definedName name="e" localSheetId="10">#REF!</definedName>
    <definedName name="e" localSheetId="11">#REF!</definedName>
    <definedName name="e">#REF!</definedName>
    <definedName name="ea_flux" localSheetId="20">#REF!</definedName>
    <definedName name="ea_flux" localSheetId="25">#REF!</definedName>
    <definedName name="ea_flux" localSheetId="30">#REF!</definedName>
    <definedName name="ea_flux" localSheetId="31">#REF!</definedName>
    <definedName name="ea_flux" localSheetId="33">#REF!</definedName>
    <definedName name="ea_flux" localSheetId="34">#REF!</definedName>
    <definedName name="ea_flux" localSheetId="10">#REF!</definedName>
    <definedName name="ea_flux" localSheetId="11">#REF!</definedName>
    <definedName name="ea_flux">#REF!</definedName>
    <definedName name="Equilibre" localSheetId="20">#REF!</definedName>
    <definedName name="Equilibre" localSheetId="25">#REF!</definedName>
    <definedName name="Equilibre" localSheetId="30">#REF!</definedName>
    <definedName name="Equilibre" localSheetId="31">#REF!</definedName>
    <definedName name="Equilibre" localSheetId="33">#REF!</definedName>
    <definedName name="Equilibre" localSheetId="34">#REF!</definedName>
    <definedName name="Equilibre" localSheetId="10">#REF!</definedName>
    <definedName name="Equilibre" localSheetId="11">#REF!</definedName>
    <definedName name="Equilibre">#REF!</definedName>
    <definedName name="f" localSheetId="20">#REF!</definedName>
    <definedName name="f" localSheetId="25">#REF!</definedName>
    <definedName name="f" localSheetId="30">#REF!</definedName>
    <definedName name="f" localSheetId="31">#REF!</definedName>
    <definedName name="f" localSheetId="33">#REF!</definedName>
    <definedName name="f" localSheetId="34">#REF!</definedName>
    <definedName name="f" localSheetId="10">#REF!</definedName>
    <definedName name="f" localSheetId="11">#REF!</definedName>
    <definedName name="f">#REF!</definedName>
    <definedName name="footnotes" localSheetId="20">#REF!</definedName>
    <definedName name="footnotes" localSheetId="21">#REF!</definedName>
    <definedName name="footnotes" localSheetId="22">#REF!</definedName>
    <definedName name="footnotes" localSheetId="23">#REF!</definedName>
    <definedName name="footnotes" localSheetId="24">#REF!</definedName>
    <definedName name="footnotes" localSheetId="25">#REF!</definedName>
    <definedName name="footnotes" localSheetId="30">#REF!</definedName>
    <definedName name="footnotes" localSheetId="31">#REF!</definedName>
    <definedName name="footnotes" localSheetId="3">#REF!</definedName>
    <definedName name="footnotes" localSheetId="33">#REF!</definedName>
    <definedName name="footnotes" localSheetId="34">#REF!</definedName>
    <definedName name="footnotes" localSheetId="4">#REF!</definedName>
    <definedName name="footnotes" localSheetId="9">#REF!</definedName>
    <definedName name="footnotes" localSheetId="10">#REF!</definedName>
    <definedName name="footnotes" localSheetId="11">#REF!</definedName>
    <definedName name="footnotes">#REF!</definedName>
    <definedName name="gg" localSheetId="20">#REF!</definedName>
    <definedName name="gg" localSheetId="25">#REF!</definedName>
    <definedName name="gg" localSheetId="30">#REF!</definedName>
    <definedName name="gg" localSheetId="31">#REF!</definedName>
    <definedName name="gg" localSheetId="33">#REF!</definedName>
    <definedName name="gg" localSheetId="34">#REF!</definedName>
    <definedName name="gg" localSheetId="10">#REF!</definedName>
    <definedName name="gg" localSheetId="11">#REF!</definedName>
    <definedName name="gg">#REF!</definedName>
    <definedName name="head" localSheetId="20">#REF!</definedName>
    <definedName name="head" localSheetId="25">#REF!</definedName>
    <definedName name="head" localSheetId="30">#REF!</definedName>
    <definedName name="head" localSheetId="31">#REF!</definedName>
    <definedName name="head" localSheetId="33">#REF!</definedName>
    <definedName name="head" localSheetId="34">#REF!</definedName>
    <definedName name="head" localSheetId="10">#REF!</definedName>
    <definedName name="head" localSheetId="11">#REF!</definedName>
    <definedName name="head">#REF!</definedName>
    <definedName name="name" localSheetId="20">#REF!</definedName>
    <definedName name="name" localSheetId="25">#REF!</definedName>
    <definedName name="name" localSheetId="30">#REF!</definedName>
    <definedName name="name" localSheetId="31">#REF!</definedName>
    <definedName name="name" localSheetId="33">#REF!</definedName>
    <definedName name="name" localSheetId="34">#REF!</definedName>
    <definedName name="name" localSheetId="10">#REF!</definedName>
    <definedName name="name" localSheetId="11">#REF!</definedName>
    <definedName name="name">#REF!</definedName>
    <definedName name="name2" localSheetId="20">#REF!</definedName>
    <definedName name="name2" localSheetId="25">#REF!</definedName>
    <definedName name="name2" localSheetId="30">#REF!</definedName>
    <definedName name="name2" localSheetId="31">#REF!</definedName>
    <definedName name="name2" localSheetId="33">#REF!</definedName>
    <definedName name="name2" localSheetId="34">#REF!</definedName>
    <definedName name="name2" localSheetId="10">#REF!</definedName>
    <definedName name="name2" localSheetId="11">#REF!</definedName>
    <definedName name="name2">#REF!</definedName>
    <definedName name="name3" localSheetId="20">#REF!</definedName>
    <definedName name="name3" localSheetId="25">#REF!</definedName>
    <definedName name="name3" localSheetId="30">#REF!</definedName>
    <definedName name="name3" localSheetId="31">#REF!</definedName>
    <definedName name="name3" localSheetId="33">#REF!</definedName>
    <definedName name="name3" localSheetId="34">#REF!</definedName>
    <definedName name="name3" localSheetId="10">#REF!</definedName>
    <definedName name="name3" localSheetId="11">#REF!</definedName>
    <definedName name="name3">#REF!</definedName>
    <definedName name="name4" localSheetId="20">#REF!</definedName>
    <definedName name="name4" localSheetId="25">#REF!</definedName>
    <definedName name="name4" localSheetId="30">#REF!</definedName>
    <definedName name="name4" localSheetId="31">#REF!</definedName>
    <definedName name="name4" localSheetId="33">#REF!</definedName>
    <definedName name="name4" localSheetId="34">#REF!</definedName>
    <definedName name="name4" localSheetId="10">#REF!</definedName>
    <definedName name="name4" localSheetId="11">#REF!</definedName>
    <definedName name="name4">#REF!</definedName>
    <definedName name="nb" localSheetId="20">#REF!</definedName>
    <definedName name="nb" localSheetId="25">#REF!</definedName>
    <definedName name="nb" localSheetId="30">#REF!</definedName>
    <definedName name="nb" localSheetId="31">#REF!</definedName>
    <definedName name="nb" localSheetId="33">#REF!</definedName>
    <definedName name="nb" localSheetId="34">#REF!</definedName>
    <definedName name="nb" localSheetId="10">#REF!</definedName>
    <definedName name="nb" localSheetId="11">#REF!</definedName>
    <definedName name="nb">#REF!</definedName>
    <definedName name="PIB" localSheetId="20">#REF!</definedName>
    <definedName name="PIB" localSheetId="25">#REF!</definedName>
    <definedName name="PIB" localSheetId="30">#REF!</definedName>
    <definedName name="PIB" localSheetId="31">#REF!</definedName>
    <definedName name="PIB" localSheetId="33">#REF!</definedName>
    <definedName name="PIB" localSheetId="34">#REF!</definedName>
    <definedName name="PIB" localSheetId="10">#REF!</definedName>
    <definedName name="PIB" localSheetId="11">#REF!</definedName>
    <definedName name="PIB">#REF!</definedName>
    <definedName name="ressources" localSheetId="20">#REF!</definedName>
    <definedName name="ressources" localSheetId="25">#REF!</definedName>
    <definedName name="ressources" localSheetId="30">#REF!</definedName>
    <definedName name="ressources" localSheetId="31">#REF!</definedName>
    <definedName name="ressources" localSheetId="33">#REF!</definedName>
    <definedName name="ressources" localSheetId="34">#REF!</definedName>
    <definedName name="ressources" localSheetId="10">#REF!</definedName>
    <definedName name="ressources" localSheetId="11">#REF!</definedName>
    <definedName name="ressources">#REF!</definedName>
    <definedName name="rpflux" localSheetId="20">#REF!</definedName>
    <definedName name="rpflux" localSheetId="25">#REF!</definedName>
    <definedName name="rpflux" localSheetId="30">#REF!</definedName>
    <definedName name="rpflux" localSheetId="31">#REF!</definedName>
    <definedName name="rpflux" localSheetId="33">#REF!</definedName>
    <definedName name="rpflux" localSheetId="34">#REF!</definedName>
    <definedName name="rpflux" localSheetId="10">#REF!</definedName>
    <definedName name="rpflux" localSheetId="11">#REF!</definedName>
    <definedName name="rpflux">#REF!</definedName>
    <definedName name="rptof" localSheetId="20">#REF!</definedName>
    <definedName name="rptof" localSheetId="25">#REF!</definedName>
    <definedName name="rptof" localSheetId="30">#REF!</definedName>
    <definedName name="rptof" localSheetId="31">#REF!</definedName>
    <definedName name="rptof" localSheetId="33">#REF!</definedName>
    <definedName name="rptof" localSheetId="34">#REF!</definedName>
    <definedName name="rptof" localSheetId="10">#REF!</definedName>
    <definedName name="rptof" localSheetId="11">#REF!</definedName>
    <definedName name="rptof">#REF!</definedName>
    <definedName name="spanners_level1" localSheetId="20">#REF!</definedName>
    <definedName name="spanners_level1" localSheetId="21">#REF!</definedName>
    <definedName name="spanners_level1" localSheetId="22">#REF!</definedName>
    <definedName name="spanners_level1" localSheetId="23">#REF!</definedName>
    <definedName name="spanners_level1" localSheetId="24">#REF!</definedName>
    <definedName name="spanners_level1" localSheetId="25">#REF!</definedName>
    <definedName name="spanners_level1" localSheetId="30">#REF!</definedName>
    <definedName name="spanners_level1" localSheetId="31">#REF!</definedName>
    <definedName name="spanners_level1" localSheetId="3">#REF!</definedName>
    <definedName name="spanners_level1" localSheetId="33">#REF!</definedName>
    <definedName name="spanners_level1" localSheetId="34">#REF!</definedName>
    <definedName name="spanners_level1" localSheetId="4">#REF!</definedName>
    <definedName name="spanners_level1" localSheetId="9">#REF!</definedName>
    <definedName name="spanners_level1" localSheetId="10">#REF!</definedName>
    <definedName name="spanners_level1" localSheetId="11">#REF!</definedName>
    <definedName name="spanners_level1">#REF!</definedName>
    <definedName name="spanners_level2" localSheetId="20">#REF!</definedName>
    <definedName name="spanners_level2" localSheetId="21">#REF!</definedName>
    <definedName name="spanners_level2" localSheetId="22">#REF!</definedName>
    <definedName name="spanners_level2" localSheetId="23">#REF!</definedName>
    <definedName name="spanners_level2" localSheetId="24">#REF!</definedName>
    <definedName name="spanners_level2" localSheetId="25">#REF!</definedName>
    <definedName name="spanners_level2" localSheetId="30">#REF!</definedName>
    <definedName name="spanners_level2" localSheetId="31">#REF!</definedName>
    <definedName name="spanners_level2" localSheetId="3">#REF!</definedName>
    <definedName name="spanners_level2" localSheetId="33">#REF!</definedName>
    <definedName name="spanners_level2" localSheetId="34">#REF!</definedName>
    <definedName name="spanners_level2" localSheetId="4">#REF!</definedName>
    <definedName name="spanners_level2" localSheetId="9">#REF!</definedName>
    <definedName name="spanners_level2" localSheetId="10">#REF!</definedName>
    <definedName name="spanners_level2" localSheetId="11">#REF!</definedName>
    <definedName name="spanners_level2">#REF!</definedName>
    <definedName name="spanners_level3" localSheetId="20">#REF!</definedName>
    <definedName name="spanners_level3" localSheetId="21">#REF!</definedName>
    <definedName name="spanners_level3" localSheetId="22">#REF!</definedName>
    <definedName name="spanners_level3" localSheetId="23">#REF!</definedName>
    <definedName name="spanners_level3" localSheetId="24">#REF!</definedName>
    <definedName name="spanners_level3" localSheetId="25">#REF!</definedName>
    <definedName name="spanners_level3" localSheetId="30">#REF!</definedName>
    <definedName name="spanners_level3" localSheetId="31">#REF!</definedName>
    <definedName name="spanners_level3" localSheetId="3">#REF!</definedName>
    <definedName name="spanners_level3" localSheetId="33">#REF!</definedName>
    <definedName name="spanners_level3" localSheetId="34">#REF!</definedName>
    <definedName name="spanners_level3" localSheetId="4">#REF!</definedName>
    <definedName name="spanners_level3" localSheetId="9">#REF!</definedName>
    <definedName name="spanners_level3" localSheetId="10">#REF!</definedName>
    <definedName name="spanners_level3" localSheetId="11">#REF!</definedName>
    <definedName name="spanners_level3">#REF!</definedName>
    <definedName name="spanners_level4" localSheetId="20">#REF!</definedName>
    <definedName name="spanners_level4" localSheetId="21">#REF!</definedName>
    <definedName name="spanners_level4" localSheetId="22">#REF!</definedName>
    <definedName name="spanners_level4" localSheetId="23">#REF!</definedName>
    <definedName name="spanners_level4" localSheetId="24">#REF!</definedName>
    <definedName name="spanners_level4" localSheetId="25">#REF!</definedName>
    <definedName name="spanners_level4" localSheetId="30">#REF!</definedName>
    <definedName name="spanners_level4" localSheetId="31">#REF!</definedName>
    <definedName name="spanners_level4" localSheetId="3">#REF!</definedName>
    <definedName name="spanners_level4" localSheetId="33">#REF!</definedName>
    <definedName name="spanners_level4" localSheetId="34">#REF!</definedName>
    <definedName name="spanners_level4" localSheetId="4">#REF!</definedName>
    <definedName name="spanners_level4" localSheetId="9">#REF!</definedName>
    <definedName name="spanners_level4" localSheetId="10">#REF!</definedName>
    <definedName name="spanners_level4" localSheetId="11">#REF!</definedName>
    <definedName name="spanners_level4">#REF!</definedName>
    <definedName name="spanners_level5" localSheetId="20">#REF!</definedName>
    <definedName name="spanners_level5" localSheetId="21">#REF!</definedName>
    <definedName name="spanners_level5" localSheetId="22">#REF!</definedName>
    <definedName name="spanners_level5" localSheetId="23">#REF!</definedName>
    <definedName name="spanners_level5" localSheetId="24">#REF!</definedName>
    <definedName name="spanners_level5" localSheetId="25">#REF!</definedName>
    <definedName name="spanners_level5" localSheetId="30">#REF!</definedName>
    <definedName name="spanners_level5" localSheetId="31">#REF!</definedName>
    <definedName name="spanners_level5" localSheetId="3">#REF!</definedName>
    <definedName name="spanners_level5" localSheetId="33">#REF!</definedName>
    <definedName name="spanners_level5" localSheetId="34">#REF!</definedName>
    <definedName name="spanners_level5" localSheetId="4">#REF!</definedName>
    <definedName name="spanners_level5" localSheetId="9">#REF!</definedName>
    <definedName name="spanners_level5" localSheetId="10">#REF!</definedName>
    <definedName name="spanners_level5" localSheetId="11">#REF!</definedName>
    <definedName name="spanners_level5">#REF!</definedName>
    <definedName name="stub_lines" localSheetId="20">#REF!</definedName>
    <definedName name="stub_lines" localSheetId="25">#REF!</definedName>
    <definedName name="stub_lines" localSheetId="30">#REF!</definedName>
    <definedName name="stub_lines" localSheetId="31">#REF!</definedName>
    <definedName name="stub_lines" localSheetId="33">#REF!</definedName>
    <definedName name="stub_lines" localSheetId="34">#REF!</definedName>
    <definedName name="stub_lines" localSheetId="10">#REF!</definedName>
    <definedName name="stub_lines" localSheetId="11">#REF!</definedName>
    <definedName name="stub_lines">#REF!</definedName>
    <definedName name="titles" localSheetId="20">#REF!</definedName>
    <definedName name="titles" localSheetId="25">#REF!</definedName>
    <definedName name="titles" localSheetId="30">#REF!</definedName>
    <definedName name="titles" localSheetId="31">#REF!</definedName>
    <definedName name="titles" localSheetId="33">#REF!</definedName>
    <definedName name="titles" localSheetId="34">#REF!</definedName>
    <definedName name="titles" localSheetId="10">#REF!</definedName>
    <definedName name="titles" localSheetId="11">#REF!</definedName>
    <definedName name="titles">#REF!</definedName>
    <definedName name="totals" localSheetId="20">#REF!</definedName>
    <definedName name="totals" localSheetId="25">#REF!</definedName>
    <definedName name="totals" localSheetId="30">#REF!</definedName>
    <definedName name="totals" localSheetId="31">#REF!</definedName>
    <definedName name="totals" localSheetId="33">#REF!</definedName>
    <definedName name="totals" localSheetId="34">#REF!</definedName>
    <definedName name="totals" localSheetId="10">#REF!</definedName>
    <definedName name="totals" localSheetId="11">#REF!</definedName>
    <definedName name="totals">#REF!</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V39" i="28" l="1"/>
  <c r="R14" i="25"/>
  <c r="T14" i="25"/>
  <c r="T14" i="26"/>
  <c r="T14" i="27"/>
  <c r="R14" i="28"/>
  <c r="R15" i="25"/>
  <c r="T15" i="25"/>
  <c r="T15" i="26"/>
  <c r="T15" i="27"/>
  <c r="R15" i="28"/>
  <c r="R16" i="25"/>
  <c r="T16" i="25"/>
  <c r="T16" i="26"/>
  <c r="T16" i="27"/>
  <c r="R16" i="28"/>
  <c r="R17" i="25"/>
  <c r="T17" i="25"/>
  <c r="T17" i="26"/>
  <c r="T17" i="27"/>
  <c r="R17" i="28"/>
  <c r="R18" i="25"/>
  <c r="T18" i="25"/>
  <c r="T18" i="26"/>
  <c r="T18" i="27"/>
  <c r="R18" i="28"/>
  <c r="R19" i="25"/>
  <c r="T19" i="25"/>
  <c r="T19" i="26"/>
  <c r="T19" i="27"/>
  <c r="R19" i="28"/>
  <c r="R20" i="25"/>
  <c r="T20" i="25"/>
  <c r="T20" i="26"/>
  <c r="T20" i="27"/>
  <c r="R20" i="28"/>
  <c r="R21" i="25"/>
  <c r="T21" i="25"/>
  <c r="T21" i="26"/>
  <c r="T21" i="27"/>
  <c r="R21" i="28"/>
  <c r="R22" i="25"/>
  <c r="T22" i="25"/>
  <c r="T22" i="26"/>
  <c r="T22" i="27"/>
  <c r="R22" i="28"/>
  <c r="R23" i="25"/>
  <c r="T23" i="25"/>
  <c r="T23" i="26"/>
  <c r="T23" i="27"/>
  <c r="R23" i="28"/>
  <c r="R24" i="25"/>
  <c r="T24" i="25"/>
  <c r="T24" i="26"/>
  <c r="T24" i="27"/>
  <c r="R24" i="28"/>
  <c r="R25" i="25"/>
  <c r="T25" i="25"/>
  <c r="T25" i="26"/>
  <c r="T25" i="27"/>
  <c r="R25" i="28"/>
  <c r="R26" i="25"/>
  <c r="T26" i="25"/>
  <c r="T26" i="26"/>
  <c r="T26" i="27"/>
  <c r="R26" i="28"/>
  <c r="R27" i="25"/>
  <c r="T27" i="25"/>
  <c r="T27" i="26"/>
  <c r="T27" i="27"/>
  <c r="R27" i="28"/>
  <c r="R28" i="25"/>
  <c r="T28" i="25"/>
  <c r="T28" i="26"/>
  <c r="T28" i="27"/>
  <c r="R28" i="28"/>
  <c r="R29" i="25"/>
  <c r="T29" i="25"/>
  <c r="T29" i="26"/>
  <c r="T29" i="27"/>
  <c r="R29" i="28"/>
  <c r="R30" i="25"/>
  <c r="T30" i="25"/>
  <c r="T30" i="26"/>
  <c r="T30" i="27"/>
  <c r="R30" i="28"/>
  <c r="R31" i="25"/>
  <c r="T31" i="25"/>
  <c r="T31" i="26"/>
  <c r="T31" i="27"/>
  <c r="R31" i="28"/>
  <c r="T32" i="27"/>
  <c r="R32" i="28"/>
  <c r="T33" i="27"/>
  <c r="R33" i="28"/>
  <c r="T34" i="27"/>
  <c r="R34" i="28"/>
  <c r="T35" i="27"/>
  <c r="R35" i="28"/>
  <c r="T36" i="27"/>
  <c r="R36" i="28"/>
  <c r="T37" i="27"/>
  <c r="R37" i="28"/>
  <c r="T38" i="27"/>
  <c r="R38" i="28"/>
  <c r="T39" i="27"/>
  <c r="R39" i="28"/>
  <c r="T40" i="27"/>
  <c r="R40" i="28"/>
  <c r="T41" i="27"/>
  <c r="R41" i="28"/>
  <c r="T42" i="27"/>
  <c r="R42" i="28"/>
  <c r="T43" i="27"/>
  <c r="R43" i="28"/>
  <c r="T44" i="27"/>
  <c r="R44" i="28"/>
  <c r="T45" i="27"/>
  <c r="R45" i="28"/>
  <c r="T46" i="27"/>
  <c r="R46" i="28"/>
  <c r="R13" i="25"/>
  <c r="T13" i="25"/>
  <c r="T13" i="26"/>
  <c r="T13" i="27"/>
  <c r="R13" i="28"/>
  <c r="V14" i="26"/>
  <c r="V15" i="26"/>
  <c r="V16" i="26"/>
  <c r="V17" i="26"/>
  <c r="V18" i="26"/>
  <c r="V19" i="26"/>
  <c r="V20" i="26"/>
  <c r="V21" i="26"/>
  <c r="V22" i="26"/>
  <c r="V23" i="26"/>
  <c r="V24" i="26"/>
  <c r="V25" i="26"/>
  <c r="V26" i="26"/>
  <c r="V27" i="26"/>
  <c r="V28" i="26"/>
  <c r="V29" i="26"/>
  <c r="V30" i="26"/>
  <c r="V31" i="26"/>
  <c r="V32" i="26"/>
  <c r="V33" i="26"/>
  <c r="V34" i="26"/>
  <c r="V35" i="26"/>
  <c r="V36" i="26"/>
  <c r="V37" i="26"/>
  <c r="V38" i="26"/>
  <c r="V39" i="26"/>
  <c r="V40" i="26"/>
  <c r="V41" i="26"/>
  <c r="V42" i="26"/>
  <c r="V43" i="26"/>
  <c r="V44" i="26"/>
  <c r="V45" i="26"/>
  <c r="V46" i="26"/>
  <c r="V13" i="26"/>
  <c r="C20" i="9"/>
  <c r="C30" i="9"/>
  <c r="C10" i="9"/>
  <c r="E30" i="9"/>
  <c r="E10" i="9"/>
  <c r="F20" i="9"/>
  <c r="F30" i="9"/>
  <c r="F10" i="9"/>
  <c r="G20" i="9"/>
  <c r="G30" i="9"/>
  <c r="G10" i="9"/>
  <c r="C21" i="9"/>
  <c r="C31" i="9"/>
  <c r="C11" i="9"/>
  <c r="E31" i="9"/>
  <c r="E11" i="9"/>
  <c r="F21" i="9"/>
  <c r="F31" i="9"/>
  <c r="F11" i="9"/>
  <c r="G21" i="9"/>
  <c r="G31" i="9"/>
  <c r="G11" i="9"/>
  <c r="C22" i="9"/>
  <c r="C32" i="9"/>
  <c r="C12" i="9"/>
  <c r="E32" i="9"/>
  <c r="E12" i="9"/>
  <c r="F22" i="9"/>
  <c r="F32" i="9"/>
  <c r="F12" i="9"/>
  <c r="G22" i="9"/>
  <c r="G32" i="9"/>
  <c r="G12" i="9"/>
  <c r="C23" i="9"/>
  <c r="C33" i="9"/>
  <c r="C13" i="9"/>
  <c r="E33" i="9"/>
  <c r="E13" i="9"/>
  <c r="F23" i="9"/>
  <c r="F33" i="9"/>
  <c r="F13" i="9"/>
  <c r="G23" i="9"/>
  <c r="G33" i="9"/>
  <c r="G13" i="9"/>
  <c r="C24" i="9"/>
  <c r="C34" i="9"/>
  <c r="C14" i="9"/>
  <c r="E34" i="9"/>
  <c r="E14" i="9"/>
  <c r="F24" i="9"/>
  <c r="F34" i="9"/>
  <c r="F14" i="9"/>
  <c r="G24" i="9"/>
  <c r="G34" i="9"/>
  <c r="G14" i="9"/>
  <c r="C25" i="9"/>
  <c r="C35" i="9"/>
  <c r="C15" i="9"/>
  <c r="E35" i="9"/>
  <c r="E15" i="9"/>
  <c r="F25" i="9"/>
  <c r="F35" i="9"/>
  <c r="F15" i="9"/>
  <c r="G25" i="9"/>
  <c r="G35" i="9"/>
  <c r="G15" i="9"/>
  <c r="C26" i="9"/>
  <c r="C36" i="9"/>
  <c r="C16" i="9"/>
  <c r="E36" i="9"/>
  <c r="E16" i="9"/>
  <c r="F26" i="9"/>
  <c r="F36" i="9"/>
  <c r="F16" i="9"/>
  <c r="G26" i="9"/>
  <c r="G36" i="9"/>
  <c r="G16" i="9"/>
  <c r="C27" i="9"/>
  <c r="C37" i="9"/>
  <c r="C17" i="9"/>
  <c r="E37" i="9"/>
  <c r="E17" i="9"/>
  <c r="F27" i="9"/>
  <c r="F37" i="9"/>
  <c r="F17" i="9"/>
  <c r="G27" i="9"/>
  <c r="G37" i="9"/>
  <c r="G17" i="9"/>
  <c r="D31" i="9"/>
  <c r="D32" i="9"/>
  <c r="D33" i="9"/>
  <c r="D34" i="9"/>
  <c r="D35" i="9"/>
  <c r="D36" i="9"/>
  <c r="D37" i="9"/>
  <c r="D30" i="9"/>
  <c r="D21" i="9"/>
  <c r="D22" i="9"/>
  <c r="D23" i="9"/>
  <c r="D24" i="9"/>
  <c r="D25" i="9"/>
  <c r="D26" i="9"/>
  <c r="D27" i="9"/>
  <c r="D20" i="9"/>
  <c r="D22" i="10"/>
  <c r="D23" i="10"/>
  <c r="D24" i="10"/>
  <c r="D25" i="10"/>
  <c r="D26" i="10"/>
  <c r="D27" i="10"/>
  <c r="D28" i="10"/>
  <c r="D21" i="10"/>
  <c r="D32" i="10"/>
  <c r="D33" i="10"/>
  <c r="D34" i="10"/>
  <c r="D35" i="10"/>
  <c r="D36" i="10"/>
  <c r="D37" i="10"/>
  <c r="D38" i="10"/>
  <c r="D31" i="10"/>
  <c r="C32" i="10"/>
  <c r="C33" i="10"/>
  <c r="C34" i="10"/>
  <c r="C35" i="10"/>
  <c r="C36" i="10"/>
  <c r="C37" i="10"/>
  <c r="C38" i="10"/>
  <c r="C31" i="10"/>
  <c r="C22" i="10"/>
  <c r="C23" i="10"/>
  <c r="C24" i="10"/>
  <c r="C25" i="10"/>
  <c r="C26" i="10"/>
  <c r="C27" i="10"/>
  <c r="C28" i="10"/>
  <c r="C21" i="10"/>
  <c r="F32" i="10"/>
  <c r="F33" i="10"/>
  <c r="F34" i="10"/>
  <c r="F35" i="10"/>
  <c r="F36" i="10"/>
  <c r="F37" i="10"/>
  <c r="F38" i="10"/>
  <c r="F31" i="10"/>
  <c r="F22" i="10"/>
  <c r="F23" i="10"/>
  <c r="F24" i="10"/>
  <c r="F25" i="10"/>
  <c r="F26" i="10"/>
  <c r="F27" i="10"/>
  <c r="F28" i="10"/>
  <c r="F21" i="10"/>
  <c r="F12" i="10"/>
  <c r="C12" i="10"/>
  <c r="G15" i="12"/>
  <c r="G16" i="12"/>
  <c r="G14" i="12"/>
  <c r="H15" i="12"/>
  <c r="H16" i="12"/>
  <c r="H14" i="12"/>
  <c r="G32" i="12"/>
  <c r="F15" i="12"/>
  <c r="F16" i="12"/>
  <c r="F14" i="12"/>
  <c r="F32" i="12"/>
  <c r="E15" i="12"/>
  <c r="E16" i="12"/>
  <c r="E14" i="12"/>
  <c r="E32" i="12"/>
  <c r="E34" i="12"/>
  <c r="E31" i="12"/>
  <c r="L21" i="9"/>
  <c r="L31" i="9"/>
  <c r="L11" i="9"/>
  <c r="T40" i="28"/>
  <c r="F13" i="10"/>
  <c r="C13" i="10"/>
  <c r="F34" i="12"/>
  <c r="F31" i="12"/>
  <c r="L22" i="9"/>
  <c r="L32" i="9"/>
  <c r="L12" i="9"/>
  <c r="T41" i="28"/>
  <c r="F14" i="10"/>
  <c r="C14" i="10"/>
  <c r="G34" i="12"/>
  <c r="G31" i="12"/>
  <c r="L23" i="9"/>
  <c r="L33" i="9"/>
  <c r="L13" i="9"/>
  <c r="T42" i="28"/>
  <c r="F15" i="10"/>
  <c r="C15" i="10"/>
  <c r="L24" i="9"/>
  <c r="L34" i="9"/>
  <c r="L14" i="9"/>
  <c r="T43" i="28"/>
  <c r="F16" i="10"/>
  <c r="C16" i="10"/>
  <c r="L25" i="9"/>
  <c r="L35" i="9"/>
  <c r="L15" i="9"/>
  <c r="T44" i="28"/>
  <c r="F17" i="10"/>
  <c r="C17" i="10"/>
  <c r="L26" i="9"/>
  <c r="L36" i="9"/>
  <c r="L16" i="9"/>
  <c r="T45" i="28"/>
  <c r="F18" i="10"/>
  <c r="C18" i="10"/>
  <c r="L27" i="9"/>
  <c r="L37" i="9"/>
  <c r="L17" i="9"/>
  <c r="T46" i="28"/>
  <c r="F11" i="10"/>
  <c r="C11" i="10"/>
  <c r="D15" i="12"/>
  <c r="D16" i="12"/>
  <c r="D14" i="12"/>
  <c r="D32" i="12"/>
  <c r="D34" i="12"/>
  <c r="D31" i="12"/>
  <c r="L20" i="9"/>
  <c r="L30" i="9"/>
  <c r="L10" i="9"/>
  <c r="T39" i="28"/>
  <c r="K11" i="50"/>
  <c r="J11" i="50"/>
  <c r="I11" i="50"/>
  <c r="H11" i="50"/>
  <c r="G11" i="50"/>
  <c r="O13" i="27"/>
  <c r="P13" i="27"/>
  <c r="Q13" i="26"/>
  <c r="Q13" i="27"/>
  <c r="R13" i="27"/>
  <c r="S13" i="27"/>
  <c r="U13" i="25"/>
  <c r="U13" i="26"/>
  <c r="U13" i="27"/>
  <c r="O14" i="27"/>
  <c r="P14" i="27"/>
  <c r="Q14" i="26"/>
  <c r="Q14" i="27"/>
  <c r="R14" i="27"/>
  <c r="S14" i="27"/>
  <c r="U14" i="25"/>
  <c r="U14" i="26"/>
  <c r="U14" i="27"/>
  <c r="O15" i="27"/>
  <c r="P15" i="27"/>
  <c r="Q15" i="26"/>
  <c r="Q15" i="27"/>
  <c r="R15" i="27"/>
  <c r="S15" i="27"/>
  <c r="U15" i="25"/>
  <c r="U15" i="26"/>
  <c r="U15" i="27"/>
  <c r="O16" i="27"/>
  <c r="P16" i="27"/>
  <c r="Q16" i="26"/>
  <c r="Q16" i="27"/>
  <c r="R16" i="27"/>
  <c r="S16" i="27"/>
  <c r="U16" i="25"/>
  <c r="U16" i="26"/>
  <c r="U16" i="27"/>
  <c r="O17" i="27"/>
  <c r="P17" i="27"/>
  <c r="Q17" i="26"/>
  <c r="Q17" i="27"/>
  <c r="R17" i="27"/>
  <c r="S17" i="27"/>
  <c r="U17" i="25"/>
  <c r="U17" i="26"/>
  <c r="U17" i="27"/>
  <c r="O18" i="27"/>
  <c r="P18" i="27"/>
  <c r="Q18" i="26"/>
  <c r="Q18" i="27"/>
  <c r="R18" i="27"/>
  <c r="S18" i="27"/>
  <c r="U18" i="25"/>
  <c r="U18" i="26"/>
  <c r="U18" i="27"/>
  <c r="O19" i="27"/>
  <c r="P19" i="27"/>
  <c r="Q19" i="26"/>
  <c r="Q19" i="27"/>
  <c r="R19" i="27"/>
  <c r="S19" i="27"/>
  <c r="U19" i="25"/>
  <c r="U19" i="26"/>
  <c r="U19" i="27"/>
  <c r="O20" i="27"/>
  <c r="P20" i="27"/>
  <c r="Q20" i="26"/>
  <c r="Q20" i="27"/>
  <c r="R20" i="27"/>
  <c r="S20" i="27"/>
  <c r="U20" i="25"/>
  <c r="U20" i="26"/>
  <c r="U20" i="27"/>
  <c r="O21" i="27"/>
  <c r="P21" i="27"/>
  <c r="Q21" i="26"/>
  <c r="Q21" i="27"/>
  <c r="R21" i="27"/>
  <c r="S21" i="27"/>
  <c r="U21" i="25"/>
  <c r="U21" i="26"/>
  <c r="U21" i="27"/>
  <c r="O22" i="27"/>
  <c r="P22" i="27"/>
  <c r="Q22" i="26"/>
  <c r="Q22" i="27"/>
  <c r="R22" i="27"/>
  <c r="S22" i="27"/>
  <c r="U22" i="25"/>
  <c r="U22" i="26"/>
  <c r="U22" i="27"/>
  <c r="O23" i="27"/>
  <c r="P23" i="27"/>
  <c r="Q23" i="26"/>
  <c r="Q23" i="27"/>
  <c r="R23" i="27"/>
  <c r="S23" i="27"/>
  <c r="U23" i="25"/>
  <c r="U23" i="26"/>
  <c r="U23" i="27"/>
  <c r="O24" i="27"/>
  <c r="P24" i="27"/>
  <c r="Q24" i="26"/>
  <c r="Q24" i="27"/>
  <c r="R24" i="27"/>
  <c r="S24" i="27"/>
  <c r="U24" i="25"/>
  <c r="U24" i="26"/>
  <c r="U24" i="27"/>
  <c r="O25" i="27"/>
  <c r="P25" i="27"/>
  <c r="Q25" i="26"/>
  <c r="Q25" i="27"/>
  <c r="R25" i="27"/>
  <c r="S25" i="27"/>
  <c r="U25" i="25"/>
  <c r="U25" i="26"/>
  <c r="U25" i="27"/>
  <c r="O26" i="27"/>
  <c r="P26" i="27"/>
  <c r="Q26" i="26"/>
  <c r="Q26" i="27"/>
  <c r="R26" i="27"/>
  <c r="S26" i="27"/>
  <c r="U26" i="25"/>
  <c r="U26" i="26"/>
  <c r="U26" i="27"/>
  <c r="O27" i="27"/>
  <c r="P27" i="27"/>
  <c r="Q27" i="26"/>
  <c r="Q27" i="27"/>
  <c r="R27" i="27"/>
  <c r="S27" i="27"/>
  <c r="U27" i="25"/>
  <c r="U27" i="26"/>
  <c r="U27" i="27"/>
  <c r="O28" i="27"/>
  <c r="P28" i="27"/>
  <c r="Q28" i="26"/>
  <c r="Q28" i="27"/>
  <c r="R28" i="27"/>
  <c r="S28" i="27"/>
  <c r="U28" i="25"/>
  <c r="U28" i="26"/>
  <c r="U28" i="27"/>
  <c r="O29" i="27"/>
  <c r="P29" i="27"/>
  <c r="Q29" i="26"/>
  <c r="Q29" i="27"/>
  <c r="R29" i="27"/>
  <c r="S29" i="27"/>
  <c r="U29" i="25"/>
  <c r="U29" i="26"/>
  <c r="U29" i="27"/>
  <c r="O30" i="27"/>
  <c r="P30" i="27"/>
  <c r="Q30" i="26"/>
  <c r="Q30" i="27"/>
  <c r="R30" i="27"/>
  <c r="S30" i="27"/>
  <c r="U30" i="25"/>
  <c r="U30" i="26"/>
  <c r="U30" i="27"/>
  <c r="O31" i="27"/>
  <c r="P31" i="27"/>
  <c r="Q31" i="26"/>
  <c r="Q31" i="27"/>
  <c r="R31" i="27"/>
  <c r="S31" i="27"/>
  <c r="U31" i="25"/>
  <c r="U31" i="26"/>
  <c r="U31" i="27"/>
  <c r="O32" i="27"/>
  <c r="P32" i="27"/>
  <c r="Q32" i="27"/>
  <c r="R32" i="27"/>
  <c r="S32" i="27"/>
  <c r="U32" i="27"/>
  <c r="O33" i="27"/>
  <c r="P33" i="27"/>
  <c r="Q33" i="27"/>
  <c r="R33" i="27"/>
  <c r="S33" i="27"/>
  <c r="U33" i="27"/>
  <c r="O34" i="27"/>
  <c r="P34" i="27"/>
  <c r="Q34" i="27"/>
  <c r="R34" i="27"/>
  <c r="S34" i="27"/>
  <c r="U34" i="27"/>
  <c r="O35" i="27"/>
  <c r="P35" i="27"/>
  <c r="Q35" i="27"/>
  <c r="R35" i="27"/>
  <c r="S35" i="27"/>
  <c r="U35" i="27"/>
  <c r="O36" i="27"/>
  <c r="P36" i="27"/>
  <c r="Q36" i="27"/>
  <c r="R36" i="27"/>
  <c r="S36" i="27"/>
  <c r="U36" i="27"/>
  <c r="O37" i="27"/>
  <c r="P37" i="27"/>
  <c r="Q37" i="27"/>
  <c r="R37" i="27"/>
  <c r="S37" i="27"/>
  <c r="U37" i="27"/>
  <c r="O38" i="27"/>
  <c r="P38" i="27"/>
  <c r="Q38" i="27"/>
  <c r="R38" i="27"/>
  <c r="S38" i="27"/>
  <c r="U38" i="27"/>
  <c r="O39" i="27"/>
  <c r="P39" i="27"/>
  <c r="Q39" i="27"/>
  <c r="R39" i="27"/>
  <c r="S39" i="27"/>
  <c r="U39" i="27"/>
  <c r="O40" i="27"/>
  <c r="P40" i="27"/>
  <c r="Q40" i="27"/>
  <c r="R40" i="27"/>
  <c r="S40" i="27"/>
  <c r="U40" i="27"/>
  <c r="O41" i="27"/>
  <c r="P41" i="27"/>
  <c r="Q41" i="27"/>
  <c r="R41" i="27"/>
  <c r="S41" i="27"/>
  <c r="U41" i="27"/>
  <c r="O42" i="27"/>
  <c r="P42" i="27"/>
  <c r="Q42" i="27"/>
  <c r="R42" i="27"/>
  <c r="S42" i="27"/>
  <c r="U42" i="27"/>
  <c r="O43" i="27"/>
  <c r="P43" i="27"/>
  <c r="Q43" i="27"/>
  <c r="R43" i="27"/>
  <c r="S43" i="27"/>
  <c r="U43" i="27"/>
  <c r="O44" i="27"/>
  <c r="P44" i="27"/>
  <c r="Q44" i="27"/>
  <c r="R44" i="27"/>
  <c r="S44" i="27"/>
  <c r="U44" i="27"/>
  <c r="O45" i="27"/>
  <c r="P45" i="27"/>
  <c r="Q45" i="27"/>
  <c r="R45" i="27"/>
  <c r="S45" i="27"/>
  <c r="U45" i="27"/>
  <c r="O46" i="27"/>
  <c r="P46" i="27"/>
  <c r="Q46" i="27"/>
  <c r="R46" i="27"/>
  <c r="S46" i="27"/>
  <c r="U46" i="27"/>
  <c r="N16" i="27"/>
  <c r="N17" i="27"/>
  <c r="N18" i="27"/>
  <c r="N19" i="27"/>
  <c r="N20" i="27"/>
  <c r="N21" i="27"/>
  <c r="N22" i="27"/>
  <c r="N23" i="27"/>
  <c r="N24" i="27"/>
  <c r="N25" i="27"/>
  <c r="N26" i="27"/>
  <c r="N27" i="27"/>
  <c r="N28" i="27"/>
  <c r="N29" i="27"/>
  <c r="N30" i="27"/>
  <c r="N31" i="27"/>
  <c r="N32" i="27"/>
  <c r="N33" i="27"/>
  <c r="N34" i="27"/>
  <c r="N35" i="27"/>
  <c r="N36" i="27"/>
  <c r="N37" i="27"/>
  <c r="N38" i="27"/>
  <c r="N39" i="27"/>
  <c r="N40" i="27"/>
  <c r="N41" i="27"/>
  <c r="N42" i="27"/>
  <c r="N43" i="27"/>
  <c r="N44" i="27"/>
  <c r="N45" i="27"/>
  <c r="N46" i="27"/>
  <c r="N14" i="27"/>
  <c r="N15" i="27"/>
  <c r="N13" i="27"/>
  <c r="T14" i="28"/>
  <c r="T15" i="28"/>
  <c r="T16" i="28"/>
  <c r="T17" i="28"/>
  <c r="T18" i="28"/>
  <c r="T19" i="28"/>
  <c r="T20" i="28"/>
  <c r="T21" i="28"/>
  <c r="T22" i="28"/>
  <c r="T23" i="28"/>
  <c r="T24" i="28"/>
  <c r="T25" i="28"/>
  <c r="T26" i="28"/>
  <c r="T27" i="28"/>
  <c r="T28" i="28"/>
  <c r="T29" i="28"/>
  <c r="T30" i="28"/>
  <c r="T31" i="28"/>
  <c r="T32" i="28"/>
  <c r="T33" i="28"/>
  <c r="T34" i="28"/>
  <c r="T35" i="28"/>
  <c r="T36" i="28"/>
  <c r="T37" i="28"/>
  <c r="T38" i="28"/>
  <c r="T13" i="28"/>
  <c r="K21" i="9"/>
  <c r="K31" i="9"/>
  <c r="K11" i="9"/>
  <c r="K22" i="9"/>
  <c r="K32" i="9"/>
  <c r="K12" i="9"/>
  <c r="K23" i="9"/>
  <c r="K33" i="9"/>
  <c r="K13" i="9"/>
  <c r="K24" i="9"/>
  <c r="K34" i="9"/>
  <c r="K14" i="9"/>
  <c r="K25" i="9"/>
  <c r="K35" i="9"/>
  <c r="K15" i="9"/>
  <c r="K26" i="9"/>
  <c r="K36" i="9"/>
  <c r="K16" i="9"/>
  <c r="K20" i="9"/>
  <c r="K30" i="9"/>
  <c r="K10" i="9"/>
  <c r="K27" i="9"/>
  <c r="K37" i="9"/>
  <c r="K17" i="9"/>
  <c r="C19" i="58"/>
  <c r="D19" i="58"/>
  <c r="E19" i="58"/>
  <c r="F19" i="58"/>
  <c r="G19" i="58"/>
  <c r="H19" i="58"/>
  <c r="I19" i="58"/>
  <c r="J19" i="58"/>
  <c r="C20" i="58"/>
  <c r="D20" i="58"/>
  <c r="E20" i="58"/>
  <c r="F20" i="58"/>
  <c r="G20" i="58"/>
  <c r="H20" i="58"/>
  <c r="I20" i="58"/>
  <c r="J20" i="58"/>
  <c r="F7" i="58"/>
  <c r="I7" i="58"/>
  <c r="F8" i="58"/>
  <c r="I8" i="58"/>
  <c r="F9" i="58"/>
  <c r="I9" i="58"/>
  <c r="I10" i="58"/>
  <c r="F10" i="58"/>
  <c r="H10" i="58"/>
  <c r="E10" i="58"/>
  <c r="G10" i="58"/>
  <c r="D10" i="58"/>
  <c r="G9" i="58"/>
  <c r="G8" i="58"/>
  <c r="G7" i="58"/>
  <c r="K29" i="49"/>
  <c r="M17" i="56"/>
  <c r="K28" i="49"/>
  <c r="M16" i="56"/>
  <c r="K27" i="49"/>
  <c r="M15" i="56"/>
  <c r="K26" i="49"/>
  <c r="M14" i="56"/>
  <c r="K25" i="49"/>
  <c r="M13" i="56"/>
  <c r="K24" i="49"/>
  <c r="M12" i="56"/>
  <c r="K23" i="49"/>
  <c r="M11" i="56"/>
  <c r="K22" i="49"/>
  <c r="M10" i="56"/>
  <c r="N27" i="49"/>
  <c r="L15" i="51"/>
  <c r="N28" i="49"/>
  <c r="L16" i="51"/>
  <c r="N29" i="49"/>
  <c r="L17" i="51"/>
  <c r="N26" i="49"/>
  <c r="L14" i="51"/>
  <c r="N23" i="49"/>
  <c r="L11" i="51"/>
  <c r="N24" i="49"/>
  <c r="L12" i="51"/>
  <c r="N25" i="49"/>
  <c r="L13" i="51"/>
  <c r="N22" i="49"/>
  <c r="L10" i="51"/>
  <c r="F9" i="54"/>
  <c r="F10" i="54"/>
  <c r="F11" i="54"/>
  <c r="F12" i="54"/>
  <c r="F13" i="54"/>
  <c r="F14" i="54"/>
  <c r="F15" i="54"/>
  <c r="F16" i="54"/>
  <c r="F17" i="54"/>
  <c r="F18" i="54"/>
  <c r="F19" i="54"/>
  <c r="F20" i="54"/>
  <c r="F8" i="54"/>
  <c r="M20" i="54"/>
  <c r="L20" i="54"/>
  <c r="K20" i="54"/>
  <c r="M19" i="54"/>
  <c r="L19" i="54"/>
  <c r="K19" i="54"/>
  <c r="M18" i="54"/>
  <c r="L18" i="54"/>
  <c r="K18" i="54"/>
  <c r="M17" i="54"/>
  <c r="L17" i="54"/>
  <c r="K17" i="54"/>
  <c r="M16" i="54"/>
  <c r="L16" i="54"/>
  <c r="K16" i="54"/>
  <c r="M15" i="54"/>
  <c r="L15" i="54"/>
  <c r="K15" i="54"/>
  <c r="M14" i="54"/>
  <c r="L14" i="54"/>
  <c r="K14" i="54"/>
  <c r="M13" i="54"/>
  <c r="L13" i="54"/>
  <c r="K13" i="54"/>
  <c r="M12" i="54"/>
  <c r="L12" i="54"/>
  <c r="K12" i="54"/>
  <c r="M11" i="54"/>
  <c r="L11" i="54"/>
  <c r="K11" i="54"/>
  <c r="M10" i="54"/>
  <c r="L10" i="54"/>
  <c r="K10" i="54"/>
  <c r="M9" i="54"/>
  <c r="L9" i="54"/>
  <c r="K9" i="54"/>
  <c r="M8" i="54"/>
  <c r="L8" i="54"/>
  <c r="K8" i="54"/>
  <c r="O20" i="20"/>
  <c r="N20" i="20"/>
  <c r="O21" i="20"/>
  <c r="N21" i="20"/>
  <c r="O22" i="20"/>
  <c r="N22" i="20"/>
  <c r="O23" i="20"/>
  <c r="N23" i="20"/>
  <c r="O24" i="20"/>
  <c r="N24" i="20"/>
  <c r="O25" i="20"/>
  <c r="N25" i="20"/>
  <c r="O26" i="20"/>
  <c r="N26" i="20"/>
  <c r="O19" i="20"/>
  <c r="N19" i="20"/>
  <c r="O9" i="20"/>
  <c r="N9" i="20"/>
  <c r="O10" i="20"/>
  <c r="N10" i="20"/>
  <c r="O11" i="20"/>
  <c r="N11" i="20"/>
  <c r="O12" i="20"/>
  <c r="N12" i="20"/>
  <c r="O13" i="20"/>
  <c r="N13" i="20"/>
  <c r="O14" i="20"/>
  <c r="N14" i="20"/>
  <c r="O15" i="20"/>
  <c r="N15" i="20"/>
  <c r="O8" i="20"/>
  <c r="N8" i="20"/>
  <c r="J40" i="18"/>
  <c r="J38" i="18"/>
  <c r="J19" i="18"/>
  <c r="J20" i="18"/>
  <c r="E21" i="18"/>
  <c r="F21" i="18"/>
  <c r="G21" i="18"/>
  <c r="H21" i="18"/>
  <c r="I21" i="18"/>
  <c r="J21" i="18"/>
  <c r="J22" i="18"/>
  <c r="J45" i="18"/>
  <c r="J9" i="50"/>
  <c r="I40" i="18"/>
  <c r="I38" i="18"/>
  <c r="I19" i="18"/>
  <c r="I20" i="18"/>
  <c r="I22" i="18"/>
  <c r="I45" i="18"/>
  <c r="I9" i="50"/>
  <c r="H40" i="18"/>
  <c r="H38" i="18"/>
  <c r="H19" i="18"/>
  <c r="H20" i="18"/>
  <c r="H22" i="18"/>
  <c r="H45" i="18"/>
  <c r="H9" i="50"/>
  <c r="G40" i="18"/>
  <c r="G38" i="18"/>
  <c r="G19" i="18"/>
  <c r="G20" i="18"/>
  <c r="G22" i="18"/>
  <c r="G45" i="18"/>
  <c r="G9" i="50"/>
  <c r="F40" i="18"/>
  <c r="F38" i="18"/>
  <c r="F19" i="18"/>
  <c r="F20" i="18"/>
  <c r="F22" i="18"/>
  <c r="F45" i="18"/>
  <c r="F9" i="50"/>
  <c r="E40" i="18"/>
  <c r="E38" i="18"/>
  <c r="E19" i="18"/>
  <c r="E20" i="18"/>
  <c r="E22" i="18"/>
  <c r="E45" i="18"/>
  <c r="E9" i="50"/>
  <c r="D40" i="18"/>
  <c r="D38" i="18"/>
  <c r="D19" i="18"/>
  <c r="D20" i="18"/>
  <c r="D22" i="18"/>
  <c r="D45" i="18"/>
  <c r="D9" i="50"/>
  <c r="E34" i="18"/>
  <c r="F34" i="18"/>
  <c r="G34" i="18"/>
  <c r="H34" i="18"/>
  <c r="I34" i="18"/>
  <c r="J34" i="18"/>
  <c r="K34" i="18"/>
  <c r="D34" i="18"/>
  <c r="D35" i="18"/>
  <c r="E35" i="18"/>
  <c r="F35" i="18"/>
  <c r="G35" i="18"/>
  <c r="H35" i="18"/>
  <c r="I35" i="18"/>
  <c r="J35" i="18"/>
  <c r="K19" i="18"/>
  <c r="K20" i="18"/>
  <c r="K21" i="18"/>
  <c r="K22" i="18"/>
  <c r="K35" i="18"/>
  <c r="E46" i="18"/>
  <c r="F46" i="18"/>
  <c r="G46" i="18"/>
  <c r="H46" i="18"/>
  <c r="I46" i="18"/>
  <c r="J46" i="18"/>
  <c r="D46" i="18"/>
  <c r="J7" i="49"/>
  <c r="J8" i="49"/>
  <c r="J9" i="49"/>
  <c r="J10" i="49"/>
  <c r="J11" i="49"/>
  <c r="J12" i="49"/>
  <c r="J13" i="49"/>
  <c r="J14" i="49"/>
  <c r="J15" i="49"/>
  <c r="J16" i="49"/>
  <c r="J17" i="49"/>
  <c r="J18" i="49"/>
  <c r="J19" i="49"/>
  <c r="J20" i="49"/>
  <c r="J21" i="49"/>
  <c r="J22" i="49"/>
  <c r="J23" i="49"/>
  <c r="J24" i="49"/>
  <c r="J25" i="49"/>
  <c r="J26" i="49"/>
  <c r="J27" i="49"/>
  <c r="J28" i="49"/>
  <c r="J29" i="49"/>
  <c r="J6" i="49"/>
  <c r="J30" i="49"/>
  <c r="D22" i="49"/>
  <c r="E22" i="49"/>
  <c r="G22" i="49"/>
  <c r="H22" i="49"/>
  <c r="I22" i="49"/>
  <c r="F22" i="49"/>
  <c r="C22" i="49"/>
  <c r="D23" i="49"/>
  <c r="E23" i="49"/>
  <c r="G23" i="49"/>
  <c r="H23" i="49"/>
  <c r="I23" i="49"/>
  <c r="F23" i="49"/>
  <c r="C23" i="49"/>
  <c r="D24" i="49"/>
  <c r="E24" i="49"/>
  <c r="G24" i="49"/>
  <c r="H24" i="49"/>
  <c r="I24" i="49"/>
  <c r="F24" i="49"/>
  <c r="C24" i="49"/>
  <c r="D25" i="49"/>
  <c r="E25" i="49"/>
  <c r="G25" i="49"/>
  <c r="H25" i="49"/>
  <c r="I25" i="49"/>
  <c r="F25" i="49"/>
  <c r="C25" i="49"/>
  <c r="D26" i="49"/>
  <c r="E26" i="49"/>
  <c r="G26" i="49"/>
  <c r="H26" i="49"/>
  <c r="I26" i="49"/>
  <c r="F26" i="49"/>
  <c r="C26" i="49"/>
  <c r="D27" i="49"/>
  <c r="E27" i="49"/>
  <c r="G27" i="49"/>
  <c r="H27" i="49"/>
  <c r="I27" i="49"/>
  <c r="F27" i="49"/>
  <c r="C27" i="49"/>
  <c r="D28" i="49"/>
  <c r="E28" i="49"/>
  <c r="G28" i="49"/>
  <c r="H28" i="49"/>
  <c r="I28" i="49"/>
  <c r="F28" i="49"/>
  <c r="C28" i="49"/>
  <c r="D29" i="49"/>
  <c r="E29" i="49"/>
  <c r="G29" i="49"/>
  <c r="H29" i="49"/>
  <c r="I29" i="49"/>
  <c r="F29" i="49"/>
  <c r="C29" i="49"/>
  <c r="C30" i="49"/>
  <c r="D30" i="49"/>
  <c r="E30" i="49"/>
  <c r="F30" i="49"/>
  <c r="G30" i="49"/>
  <c r="H30" i="49"/>
  <c r="I30" i="49"/>
  <c r="M22" i="49"/>
  <c r="M23" i="49"/>
  <c r="M24" i="49"/>
  <c r="M25" i="49"/>
  <c r="M26" i="49"/>
  <c r="M27" i="49"/>
  <c r="M28" i="49"/>
  <c r="M29" i="49"/>
  <c r="M30" i="49"/>
  <c r="M7" i="49"/>
  <c r="M8" i="49"/>
  <c r="M9" i="49"/>
  <c r="M10" i="49"/>
  <c r="M11" i="49"/>
  <c r="M12" i="49"/>
  <c r="M13" i="49"/>
  <c r="M14" i="49"/>
  <c r="M15" i="49"/>
  <c r="M16" i="49"/>
  <c r="M17" i="49"/>
  <c r="M18" i="49"/>
  <c r="M19" i="49"/>
  <c r="M20" i="49"/>
  <c r="M21" i="49"/>
  <c r="M6" i="49"/>
  <c r="N7" i="49"/>
  <c r="N8" i="49"/>
  <c r="N9" i="49"/>
  <c r="N10" i="49"/>
  <c r="N11" i="49"/>
  <c r="N12" i="49"/>
  <c r="N13" i="49"/>
  <c r="N14" i="49"/>
  <c r="N15" i="49"/>
  <c r="N16" i="49"/>
  <c r="N17" i="49"/>
  <c r="N18" i="49"/>
  <c r="N19" i="49"/>
  <c r="N20" i="49"/>
  <c r="N21" i="49"/>
  <c r="N6" i="49"/>
  <c r="P22" i="49"/>
  <c r="P23" i="49"/>
  <c r="P24" i="49"/>
  <c r="P25" i="49"/>
  <c r="P26" i="49"/>
  <c r="P27" i="49"/>
  <c r="P28" i="49"/>
  <c r="P29" i="49"/>
  <c r="P30" i="49"/>
  <c r="O22" i="49"/>
  <c r="O23" i="49"/>
  <c r="O24" i="49"/>
  <c r="O25" i="49"/>
  <c r="O26" i="49"/>
  <c r="O27" i="49"/>
  <c r="O28" i="49"/>
  <c r="O29" i="49"/>
  <c r="O30" i="49"/>
  <c r="L22" i="49"/>
  <c r="L23" i="49"/>
  <c r="L24" i="49"/>
  <c r="L25" i="49"/>
  <c r="L26" i="49"/>
  <c r="L27" i="49"/>
  <c r="L28" i="49"/>
  <c r="L29" i="49"/>
  <c r="L30" i="49"/>
  <c r="P7" i="49"/>
  <c r="P8" i="49"/>
  <c r="P9" i="49"/>
  <c r="P10" i="49"/>
  <c r="P11" i="49"/>
  <c r="P12" i="49"/>
  <c r="P13" i="49"/>
  <c r="P14" i="49"/>
  <c r="P15" i="49"/>
  <c r="P16" i="49"/>
  <c r="P17" i="49"/>
  <c r="P18" i="49"/>
  <c r="P19" i="49"/>
  <c r="P20" i="49"/>
  <c r="P21" i="49"/>
  <c r="P6" i="49"/>
  <c r="O7" i="49"/>
  <c r="O8" i="49"/>
  <c r="O9" i="49"/>
  <c r="O10" i="49"/>
  <c r="O11" i="49"/>
  <c r="O12" i="49"/>
  <c r="O13" i="49"/>
  <c r="O14" i="49"/>
  <c r="O15" i="49"/>
  <c r="O16" i="49"/>
  <c r="O17" i="49"/>
  <c r="O18" i="49"/>
  <c r="O19" i="49"/>
  <c r="O20" i="49"/>
  <c r="O21" i="49"/>
  <c r="O6" i="49"/>
  <c r="L7" i="49"/>
  <c r="L8" i="49"/>
  <c r="L9" i="49"/>
  <c r="L10" i="49"/>
  <c r="L11" i="49"/>
  <c r="L12" i="49"/>
  <c r="L13" i="49"/>
  <c r="L14" i="49"/>
  <c r="L15" i="49"/>
  <c r="L16" i="49"/>
  <c r="L17" i="49"/>
  <c r="L18" i="49"/>
  <c r="L19" i="49"/>
  <c r="L20" i="49"/>
  <c r="L21" i="49"/>
  <c r="L6" i="49"/>
  <c r="N30" i="49"/>
  <c r="K30" i="49"/>
  <c r="K7" i="49"/>
  <c r="K8" i="49"/>
  <c r="K9" i="49"/>
  <c r="K10" i="49"/>
  <c r="K11" i="49"/>
  <c r="K12" i="49"/>
  <c r="K13" i="49"/>
  <c r="K14" i="49"/>
  <c r="K15" i="49"/>
  <c r="K16" i="49"/>
  <c r="K17" i="49"/>
  <c r="K18" i="49"/>
  <c r="K19" i="49"/>
  <c r="K20" i="49"/>
  <c r="K21" i="49"/>
  <c r="K6" i="49"/>
  <c r="D7" i="49"/>
  <c r="E7" i="49"/>
  <c r="G7" i="49"/>
  <c r="H7" i="49"/>
  <c r="I7" i="49"/>
  <c r="F7" i="49"/>
  <c r="C7" i="49"/>
  <c r="D8" i="49"/>
  <c r="E8" i="49"/>
  <c r="G8" i="49"/>
  <c r="H8" i="49"/>
  <c r="I8" i="49"/>
  <c r="F8" i="49"/>
  <c r="C8" i="49"/>
  <c r="D9" i="49"/>
  <c r="E9" i="49"/>
  <c r="G9" i="49"/>
  <c r="H9" i="49"/>
  <c r="I9" i="49"/>
  <c r="F9" i="49"/>
  <c r="C9" i="49"/>
  <c r="D10" i="49"/>
  <c r="E10" i="49"/>
  <c r="G10" i="49"/>
  <c r="H10" i="49"/>
  <c r="I10" i="49"/>
  <c r="F10" i="49"/>
  <c r="C10" i="49"/>
  <c r="D11" i="49"/>
  <c r="E11" i="49"/>
  <c r="G11" i="49"/>
  <c r="H11" i="49"/>
  <c r="I11" i="49"/>
  <c r="F11" i="49"/>
  <c r="C11" i="49"/>
  <c r="D12" i="49"/>
  <c r="E12" i="49"/>
  <c r="G12" i="49"/>
  <c r="H12" i="49"/>
  <c r="I12" i="49"/>
  <c r="F12" i="49"/>
  <c r="C12" i="49"/>
  <c r="D13" i="49"/>
  <c r="E13" i="49"/>
  <c r="G13" i="49"/>
  <c r="H13" i="49"/>
  <c r="I13" i="49"/>
  <c r="F13" i="49"/>
  <c r="C13" i="49"/>
  <c r="D14" i="49"/>
  <c r="E14" i="49"/>
  <c r="G14" i="49"/>
  <c r="H14" i="49"/>
  <c r="I14" i="49"/>
  <c r="F14" i="49"/>
  <c r="C14" i="49"/>
  <c r="D15" i="49"/>
  <c r="E15" i="49"/>
  <c r="G15" i="49"/>
  <c r="H15" i="49"/>
  <c r="I15" i="49"/>
  <c r="F15" i="49"/>
  <c r="C15" i="49"/>
  <c r="D16" i="49"/>
  <c r="E16" i="49"/>
  <c r="G16" i="49"/>
  <c r="H16" i="49"/>
  <c r="I16" i="49"/>
  <c r="F16" i="49"/>
  <c r="C16" i="49"/>
  <c r="D17" i="49"/>
  <c r="E17" i="49"/>
  <c r="G17" i="49"/>
  <c r="H17" i="49"/>
  <c r="I17" i="49"/>
  <c r="F17" i="49"/>
  <c r="C17" i="49"/>
  <c r="D18" i="49"/>
  <c r="E18" i="49"/>
  <c r="G18" i="49"/>
  <c r="H18" i="49"/>
  <c r="I18" i="49"/>
  <c r="F18" i="49"/>
  <c r="C18" i="49"/>
  <c r="D19" i="49"/>
  <c r="E19" i="49"/>
  <c r="G19" i="49"/>
  <c r="H19" i="49"/>
  <c r="I19" i="49"/>
  <c r="F19" i="49"/>
  <c r="C19" i="49"/>
  <c r="D20" i="49"/>
  <c r="E20" i="49"/>
  <c r="G20" i="49"/>
  <c r="H20" i="49"/>
  <c r="I20" i="49"/>
  <c r="F20" i="49"/>
  <c r="C20" i="49"/>
  <c r="D21" i="49"/>
  <c r="E21" i="49"/>
  <c r="G21" i="49"/>
  <c r="H21" i="49"/>
  <c r="I21" i="49"/>
  <c r="F21" i="49"/>
  <c r="C21" i="49"/>
  <c r="D6" i="49"/>
  <c r="E6" i="49"/>
  <c r="G6" i="49"/>
  <c r="H6" i="49"/>
  <c r="I6" i="49"/>
  <c r="F6" i="49"/>
  <c r="C6" i="49"/>
  <c r="H31" i="10" a="1"/>
  <c r="H32" i="10"/>
  <c r="N31" i="10" a="1"/>
  <c r="N32" i="10"/>
  <c r="H33" i="10"/>
  <c r="N33" i="10"/>
  <c r="H34" i="10"/>
  <c r="N34" i="10"/>
  <c r="H35" i="10"/>
  <c r="N35" i="10"/>
  <c r="H36" i="10"/>
  <c r="N36" i="10"/>
  <c r="H37" i="10"/>
  <c r="N37" i="10"/>
  <c r="H38" i="10"/>
  <c r="N38" i="10"/>
  <c r="H31" i="10"/>
  <c r="N31" i="10"/>
  <c r="H21" i="10" a="1"/>
  <c r="H22" i="10"/>
  <c r="N21" i="10" a="1"/>
  <c r="N22" i="10"/>
  <c r="H23" i="10"/>
  <c r="N23" i="10"/>
  <c r="H24" i="10"/>
  <c r="N24" i="10"/>
  <c r="H25" i="10"/>
  <c r="N25" i="10"/>
  <c r="H26" i="10"/>
  <c r="N26" i="10"/>
  <c r="H27" i="10"/>
  <c r="N27" i="10"/>
  <c r="H28" i="10"/>
  <c r="N28" i="10"/>
  <c r="H21" i="10"/>
  <c r="N21" i="10"/>
  <c r="B32" i="10"/>
  <c r="B33" i="10"/>
  <c r="B34" i="10"/>
  <c r="B35" i="10"/>
  <c r="B36" i="10"/>
  <c r="B37" i="10"/>
  <c r="B38" i="10"/>
  <c r="B22" i="10"/>
  <c r="B23" i="10"/>
  <c r="B24" i="10"/>
  <c r="B25" i="10"/>
  <c r="B26" i="10"/>
  <c r="B27" i="10"/>
  <c r="B28" i="10"/>
  <c r="J7" i="43"/>
  <c r="K7" i="43"/>
  <c r="N7" i="44"/>
  <c r="D7" i="44"/>
  <c r="O7" i="44"/>
  <c r="L7" i="44"/>
  <c r="B7" i="44"/>
  <c r="N8" i="45"/>
  <c r="D8" i="45"/>
  <c r="M8" i="45"/>
  <c r="J8" i="43"/>
  <c r="K8" i="43"/>
  <c r="N8" i="44"/>
  <c r="D8" i="44"/>
  <c r="O8" i="44"/>
  <c r="L8" i="44"/>
  <c r="B8" i="44"/>
  <c r="N9" i="45"/>
  <c r="D9" i="45"/>
  <c r="M9" i="45"/>
  <c r="J9" i="43"/>
  <c r="K9" i="43"/>
  <c r="N9" i="44"/>
  <c r="D9" i="44"/>
  <c r="O9" i="44"/>
  <c r="L9" i="44"/>
  <c r="B9" i="44"/>
  <c r="N10" i="45"/>
  <c r="D10" i="45"/>
  <c r="M10" i="45"/>
  <c r="J10" i="43"/>
  <c r="K10" i="43"/>
  <c r="N10" i="44"/>
  <c r="D10" i="44"/>
  <c r="O10" i="44"/>
  <c r="L10" i="44"/>
  <c r="B10" i="44"/>
  <c r="N11" i="45"/>
  <c r="D11" i="45"/>
  <c r="M11" i="45"/>
  <c r="J11" i="43"/>
  <c r="K11" i="43"/>
  <c r="N11" i="44"/>
  <c r="D11" i="44"/>
  <c r="O11" i="44"/>
  <c r="L11" i="44"/>
  <c r="B11" i="44"/>
  <c r="N12" i="45"/>
  <c r="D12" i="45"/>
  <c r="M12" i="45"/>
  <c r="J12" i="43"/>
  <c r="K12" i="43"/>
  <c r="N12" i="44"/>
  <c r="D12" i="44"/>
  <c r="O12" i="44"/>
  <c r="L12" i="44"/>
  <c r="B12" i="44"/>
  <c r="N13" i="45"/>
  <c r="D13" i="45"/>
  <c r="M13" i="45"/>
  <c r="J13" i="43"/>
  <c r="K13" i="43"/>
  <c r="N13" i="44"/>
  <c r="D13" i="44"/>
  <c r="O13" i="44"/>
  <c r="L13" i="44"/>
  <c r="B13" i="44"/>
  <c r="N14" i="45"/>
  <c r="D14" i="45"/>
  <c r="M14" i="45"/>
  <c r="J14" i="43"/>
  <c r="K14" i="43"/>
  <c r="N14" i="44"/>
  <c r="D14" i="44"/>
  <c r="O14" i="44"/>
  <c r="L14" i="44"/>
  <c r="B14" i="44"/>
  <c r="N15" i="45"/>
  <c r="D15" i="45"/>
  <c r="M15" i="45"/>
  <c r="J15" i="43"/>
  <c r="K15" i="43"/>
  <c r="N15" i="44"/>
  <c r="D15" i="44"/>
  <c r="O15" i="44"/>
  <c r="L15" i="44"/>
  <c r="B15" i="44"/>
  <c r="N16" i="45"/>
  <c r="D16" i="45"/>
  <c r="M16" i="45"/>
  <c r="J16" i="43"/>
  <c r="K16" i="43"/>
  <c r="N16" i="44"/>
  <c r="D16" i="44"/>
  <c r="O16" i="44"/>
  <c r="L16" i="44"/>
  <c r="B16" i="44"/>
  <c r="N17" i="45"/>
  <c r="D17" i="45"/>
  <c r="M17" i="45"/>
  <c r="J17" i="43"/>
  <c r="K17" i="43"/>
  <c r="N17" i="44"/>
  <c r="D17" i="44"/>
  <c r="O17" i="44"/>
  <c r="L17" i="44"/>
  <c r="B17" i="44"/>
  <c r="N18" i="45"/>
  <c r="D18" i="45"/>
  <c r="M18" i="45"/>
  <c r="J18" i="43"/>
  <c r="K18" i="43"/>
  <c r="N18" i="44"/>
  <c r="D18" i="44"/>
  <c r="O18" i="44"/>
  <c r="L18" i="44"/>
  <c r="B18" i="44"/>
  <c r="N19" i="45"/>
  <c r="D19" i="45"/>
  <c r="M19" i="45"/>
  <c r="J19" i="43"/>
  <c r="K19" i="43"/>
  <c r="N19" i="44"/>
  <c r="D19" i="44"/>
  <c r="O19" i="44"/>
  <c r="L19" i="44"/>
  <c r="B19" i="44"/>
  <c r="N20" i="45"/>
  <c r="D20" i="45"/>
  <c r="M20" i="45"/>
  <c r="J20" i="43"/>
  <c r="K20" i="43"/>
  <c r="N20" i="44"/>
  <c r="D20" i="44"/>
  <c r="O20" i="44"/>
  <c r="L20" i="44"/>
  <c r="B20" i="44"/>
  <c r="N21" i="45"/>
  <c r="D21" i="45"/>
  <c r="M21" i="45"/>
  <c r="J21" i="43"/>
  <c r="K21" i="43"/>
  <c r="N21" i="44"/>
  <c r="D21" i="44"/>
  <c r="O21" i="44"/>
  <c r="L21" i="44"/>
  <c r="B21" i="44"/>
  <c r="N22" i="45"/>
  <c r="D22" i="45"/>
  <c r="M22" i="45"/>
  <c r="J22" i="43"/>
  <c r="K22" i="43"/>
  <c r="N22" i="44"/>
  <c r="D22" i="44"/>
  <c r="O22" i="44"/>
  <c r="L22" i="44"/>
  <c r="B22" i="44"/>
  <c r="N23" i="45"/>
  <c r="D23" i="45"/>
  <c r="M23" i="45"/>
  <c r="J23" i="43"/>
  <c r="K23" i="43"/>
  <c r="N23" i="44"/>
  <c r="D23" i="44"/>
  <c r="O23" i="44"/>
  <c r="L23" i="44"/>
  <c r="B23" i="44"/>
  <c r="N24" i="45"/>
  <c r="D24" i="45"/>
  <c r="M24" i="45"/>
  <c r="J24" i="43"/>
  <c r="K24" i="43"/>
  <c r="N24" i="44"/>
  <c r="D24" i="44"/>
  <c r="O24" i="44"/>
  <c r="L24" i="44"/>
  <c r="B24" i="44"/>
  <c r="N25" i="45"/>
  <c r="D25" i="45"/>
  <c r="M25" i="45"/>
  <c r="J25" i="43"/>
  <c r="K25" i="43"/>
  <c r="N25" i="44"/>
  <c r="D25" i="44"/>
  <c r="O25" i="44"/>
  <c r="L25" i="44"/>
  <c r="B25" i="44"/>
  <c r="N26" i="45"/>
  <c r="D26" i="45"/>
  <c r="M26" i="45"/>
  <c r="J26" i="43"/>
  <c r="K26" i="43"/>
  <c r="N26" i="44"/>
  <c r="D26" i="44"/>
  <c r="O26" i="44"/>
  <c r="L26" i="44"/>
  <c r="B26" i="44"/>
  <c r="N27" i="45"/>
  <c r="D27" i="45"/>
  <c r="M27" i="45"/>
  <c r="J27" i="43"/>
  <c r="K27" i="43"/>
  <c r="N27" i="44"/>
  <c r="D27" i="44"/>
  <c r="O27" i="44"/>
  <c r="L27" i="44"/>
  <c r="B27" i="44"/>
  <c r="N28" i="45"/>
  <c r="D28" i="45"/>
  <c r="M28" i="45"/>
  <c r="J28" i="43"/>
  <c r="K28" i="43"/>
  <c r="N28" i="44"/>
  <c r="D28" i="44"/>
  <c r="O28" i="44"/>
  <c r="L28" i="44"/>
  <c r="B28" i="44"/>
  <c r="N29" i="45"/>
  <c r="D29" i="45"/>
  <c r="M29" i="45"/>
  <c r="J29" i="43"/>
  <c r="K29" i="43"/>
  <c r="N29" i="44"/>
  <c r="D29" i="44"/>
  <c r="O29" i="44"/>
  <c r="L29" i="44"/>
  <c r="B29" i="44"/>
  <c r="N30" i="45"/>
  <c r="D30" i="45"/>
  <c r="M30" i="45"/>
  <c r="J30" i="43"/>
  <c r="K30" i="43"/>
  <c r="N30" i="44"/>
  <c r="D30" i="44"/>
  <c r="O30" i="44"/>
  <c r="L30" i="44"/>
  <c r="B30" i="44"/>
  <c r="N31" i="45"/>
  <c r="D31" i="45"/>
  <c r="M31" i="45"/>
  <c r="J31" i="43"/>
  <c r="K31" i="43"/>
  <c r="N31" i="44"/>
  <c r="D31" i="44"/>
  <c r="O31" i="44"/>
  <c r="L31" i="44"/>
  <c r="B31" i="44"/>
  <c r="N32" i="45"/>
  <c r="D32" i="45"/>
  <c r="M32" i="45"/>
  <c r="J32" i="43"/>
  <c r="K32" i="43"/>
  <c r="N32" i="44"/>
  <c r="D32" i="44"/>
  <c r="O32" i="44"/>
  <c r="L32" i="44"/>
  <c r="B32" i="44"/>
  <c r="N33" i="45"/>
  <c r="D33" i="45"/>
  <c r="M33" i="45"/>
  <c r="J33" i="43"/>
  <c r="K33" i="43"/>
  <c r="N33" i="44"/>
  <c r="D33" i="44"/>
  <c r="O33" i="44"/>
  <c r="L33" i="44"/>
  <c r="B33" i="44"/>
  <c r="N34" i="45"/>
  <c r="D34" i="45"/>
  <c r="M34" i="45"/>
  <c r="J34" i="43"/>
  <c r="K34" i="43"/>
  <c r="N34" i="44"/>
  <c r="D34" i="44"/>
  <c r="O34" i="44"/>
  <c r="L34" i="44"/>
  <c r="B34" i="44"/>
  <c r="N35" i="45"/>
  <c r="D35" i="45"/>
  <c r="M35" i="45"/>
  <c r="J6" i="43"/>
  <c r="K6" i="43"/>
  <c r="N6" i="44"/>
  <c r="D6" i="44"/>
  <c r="O6" i="44"/>
  <c r="L6" i="44"/>
  <c r="B6" i="44"/>
  <c r="N7" i="45"/>
  <c r="D7" i="45"/>
  <c r="M7" i="45"/>
  <c r="J38" i="43"/>
  <c r="K38" i="43"/>
  <c r="N38" i="44"/>
  <c r="D38" i="44"/>
  <c r="O38" i="44"/>
  <c r="L38" i="44"/>
  <c r="B38" i="44"/>
  <c r="M38" i="44"/>
  <c r="C38" i="44"/>
  <c r="E38" i="44"/>
  <c r="F38" i="44"/>
  <c r="G38" i="44"/>
  <c r="H38" i="44"/>
  <c r="I38" i="44"/>
  <c r="J37" i="43"/>
  <c r="K37" i="43"/>
  <c r="N37" i="44"/>
  <c r="D37" i="44"/>
  <c r="O37" i="44"/>
  <c r="L37" i="44"/>
  <c r="B37" i="44"/>
  <c r="M37" i="44"/>
  <c r="C37" i="44"/>
  <c r="E37" i="44"/>
  <c r="F37" i="44"/>
  <c r="G37" i="44"/>
  <c r="H37" i="44"/>
  <c r="I37" i="44"/>
  <c r="J36" i="43"/>
  <c r="K36" i="43"/>
  <c r="N36" i="44"/>
  <c r="D36" i="44"/>
  <c r="O36" i="44"/>
  <c r="L36" i="44"/>
  <c r="B36" i="44"/>
  <c r="M36" i="44"/>
  <c r="C36" i="44"/>
  <c r="E36" i="44"/>
  <c r="F36" i="44"/>
  <c r="G36" i="44"/>
  <c r="H36" i="44"/>
  <c r="I36" i="44"/>
  <c r="J35" i="43"/>
  <c r="K35" i="43"/>
  <c r="N35" i="44"/>
  <c r="D35" i="44"/>
  <c r="O35" i="44"/>
  <c r="L35" i="44"/>
  <c r="B35" i="44"/>
  <c r="M35" i="44"/>
  <c r="C35" i="44"/>
  <c r="E35" i="44"/>
  <c r="F35" i="44"/>
  <c r="G35" i="44"/>
  <c r="H35" i="44"/>
  <c r="I35" i="44"/>
  <c r="M34" i="44"/>
  <c r="L35" i="45"/>
  <c r="K35" i="45"/>
  <c r="C34" i="44"/>
  <c r="C35" i="45"/>
  <c r="E34" i="44"/>
  <c r="E35" i="45"/>
  <c r="F34" i="44"/>
  <c r="F35" i="45"/>
  <c r="G34" i="44"/>
  <c r="G35" i="45"/>
  <c r="H34" i="44"/>
  <c r="H35" i="45"/>
  <c r="I34" i="44"/>
  <c r="I35" i="45"/>
  <c r="J35" i="45"/>
  <c r="M33" i="44"/>
  <c r="L34" i="45"/>
  <c r="K34" i="45"/>
  <c r="C33" i="44"/>
  <c r="C34" i="45"/>
  <c r="E33" i="44"/>
  <c r="E34" i="45"/>
  <c r="F33" i="44"/>
  <c r="F34" i="45"/>
  <c r="G33" i="44"/>
  <c r="G34" i="45"/>
  <c r="H33" i="44"/>
  <c r="H34" i="45"/>
  <c r="I33" i="44"/>
  <c r="I34" i="45"/>
  <c r="J34" i="45"/>
  <c r="M32" i="44"/>
  <c r="L33" i="45"/>
  <c r="K33" i="45"/>
  <c r="C32" i="44"/>
  <c r="C33" i="45"/>
  <c r="E32" i="44"/>
  <c r="E33" i="45"/>
  <c r="F32" i="44"/>
  <c r="F33" i="45"/>
  <c r="G32" i="44"/>
  <c r="G33" i="45"/>
  <c r="H32" i="44"/>
  <c r="H33" i="45"/>
  <c r="I32" i="44"/>
  <c r="I33" i="45"/>
  <c r="J33" i="45"/>
  <c r="M31" i="44"/>
  <c r="L32" i="45"/>
  <c r="K32" i="45"/>
  <c r="C31" i="44"/>
  <c r="C32" i="45"/>
  <c r="E31" i="44"/>
  <c r="E32" i="45"/>
  <c r="F31" i="44"/>
  <c r="F32" i="45"/>
  <c r="G31" i="44"/>
  <c r="G32" i="45"/>
  <c r="H31" i="44"/>
  <c r="H32" i="45"/>
  <c r="I31" i="44"/>
  <c r="I32" i="45"/>
  <c r="J32" i="45"/>
  <c r="M30" i="44"/>
  <c r="L31" i="45"/>
  <c r="K31" i="45"/>
  <c r="C30" i="44"/>
  <c r="C31" i="45"/>
  <c r="E30" i="44"/>
  <c r="E31" i="45"/>
  <c r="F30" i="44"/>
  <c r="F31" i="45"/>
  <c r="G30" i="44"/>
  <c r="G31" i="45"/>
  <c r="H30" i="44"/>
  <c r="H31" i="45"/>
  <c r="I30" i="44"/>
  <c r="I31" i="45"/>
  <c r="J31" i="45"/>
  <c r="M29" i="44"/>
  <c r="L30" i="45"/>
  <c r="K30" i="45"/>
  <c r="C29" i="44"/>
  <c r="C30" i="45"/>
  <c r="E29" i="44"/>
  <c r="E30" i="45"/>
  <c r="F29" i="44"/>
  <c r="F30" i="45"/>
  <c r="G29" i="44"/>
  <c r="G30" i="45"/>
  <c r="H29" i="44"/>
  <c r="H30" i="45"/>
  <c r="I29" i="44"/>
  <c r="I30" i="45"/>
  <c r="J30" i="45"/>
  <c r="M28" i="44"/>
  <c r="L29" i="45"/>
  <c r="K29" i="45"/>
  <c r="C28" i="44"/>
  <c r="C29" i="45"/>
  <c r="E28" i="44"/>
  <c r="E29" i="45"/>
  <c r="F28" i="44"/>
  <c r="F29" i="45"/>
  <c r="G28" i="44"/>
  <c r="G29" i="45"/>
  <c r="H28" i="44"/>
  <c r="H29" i="45"/>
  <c r="I28" i="44"/>
  <c r="I29" i="45"/>
  <c r="J29" i="45"/>
  <c r="M27" i="44"/>
  <c r="L28" i="45"/>
  <c r="K28" i="45"/>
  <c r="C27" i="44"/>
  <c r="C28" i="45"/>
  <c r="E27" i="44"/>
  <c r="E28" i="45"/>
  <c r="F27" i="44"/>
  <c r="F28" i="45"/>
  <c r="G27" i="44"/>
  <c r="G28" i="45"/>
  <c r="H27" i="44"/>
  <c r="H28" i="45"/>
  <c r="I27" i="44"/>
  <c r="I28" i="45"/>
  <c r="J28" i="45"/>
  <c r="M26" i="44"/>
  <c r="L27" i="45"/>
  <c r="K27" i="45"/>
  <c r="C26" i="44"/>
  <c r="C27" i="45"/>
  <c r="E26" i="44"/>
  <c r="E27" i="45"/>
  <c r="F26" i="44"/>
  <c r="F27" i="45"/>
  <c r="G26" i="44"/>
  <c r="G27" i="45"/>
  <c r="H26" i="44"/>
  <c r="H27" i="45"/>
  <c r="I26" i="44"/>
  <c r="I27" i="45"/>
  <c r="J27" i="45"/>
  <c r="M25" i="44"/>
  <c r="L26" i="45"/>
  <c r="K26" i="45"/>
  <c r="C25" i="44"/>
  <c r="C26" i="45"/>
  <c r="E25" i="44"/>
  <c r="E26" i="45"/>
  <c r="F25" i="44"/>
  <c r="F26" i="45"/>
  <c r="G25" i="44"/>
  <c r="G26" i="45"/>
  <c r="H25" i="44"/>
  <c r="H26" i="45"/>
  <c r="I25" i="44"/>
  <c r="I26" i="45"/>
  <c r="J26" i="45"/>
  <c r="M24" i="44"/>
  <c r="L25" i="45"/>
  <c r="K25" i="45"/>
  <c r="C24" i="44"/>
  <c r="C25" i="45"/>
  <c r="E24" i="44"/>
  <c r="E25" i="45"/>
  <c r="F24" i="44"/>
  <c r="F25" i="45"/>
  <c r="G24" i="44"/>
  <c r="G25" i="45"/>
  <c r="H24" i="44"/>
  <c r="H25" i="45"/>
  <c r="I24" i="44"/>
  <c r="I25" i="45"/>
  <c r="J25" i="45"/>
  <c r="M23" i="44"/>
  <c r="L24" i="45"/>
  <c r="K24" i="45"/>
  <c r="C23" i="44"/>
  <c r="C24" i="45"/>
  <c r="E23" i="44"/>
  <c r="E24" i="45"/>
  <c r="F23" i="44"/>
  <c r="F24" i="45"/>
  <c r="G23" i="44"/>
  <c r="G24" i="45"/>
  <c r="H23" i="44"/>
  <c r="H24" i="45"/>
  <c r="I23" i="44"/>
  <c r="I24" i="45"/>
  <c r="J24" i="45"/>
  <c r="M22" i="44"/>
  <c r="L23" i="45"/>
  <c r="K23" i="45"/>
  <c r="C22" i="44"/>
  <c r="C23" i="45"/>
  <c r="E22" i="44"/>
  <c r="E23" i="45"/>
  <c r="F22" i="44"/>
  <c r="F23" i="45"/>
  <c r="G22" i="44"/>
  <c r="G23" i="45"/>
  <c r="H22" i="44"/>
  <c r="H23" i="45"/>
  <c r="I22" i="44"/>
  <c r="I23" i="45"/>
  <c r="J23" i="45"/>
  <c r="M21" i="44"/>
  <c r="L22" i="45"/>
  <c r="K22" i="45"/>
  <c r="C21" i="44"/>
  <c r="C22" i="45"/>
  <c r="E21" i="44"/>
  <c r="E22" i="45"/>
  <c r="F21" i="44"/>
  <c r="F22" i="45"/>
  <c r="G21" i="44"/>
  <c r="G22" i="45"/>
  <c r="H21" i="44"/>
  <c r="H22" i="45"/>
  <c r="I21" i="44"/>
  <c r="I22" i="45"/>
  <c r="J22" i="45"/>
  <c r="M20" i="44"/>
  <c r="L21" i="45"/>
  <c r="K21" i="45"/>
  <c r="C20" i="44"/>
  <c r="C21" i="45"/>
  <c r="E20" i="44"/>
  <c r="E21" i="45"/>
  <c r="F20" i="44"/>
  <c r="F21" i="45"/>
  <c r="G20" i="44"/>
  <c r="G21" i="45"/>
  <c r="H20" i="44"/>
  <c r="H21" i="45"/>
  <c r="I20" i="44"/>
  <c r="I21" i="45"/>
  <c r="J21" i="45"/>
  <c r="M19" i="44"/>
  <c r="L20" i="45"/>
  <c r="K20" i="45"/>
  <c r="C19" i="44"/>
  <c r="C20" i="45"/>
  <c r="E19" i="44"/>
  <c r="E20" i="45"/>
  <c r="F19" i="44"/>
  <c r="F20" i="45"/>
  <c r="G19" i="44"/>
  <c r="G20" i="45"/>
  <c r="H19" i="44"/>
  <c r="H20" i="45"/>
  <c r="I19" i="44"/>
  <c r="I20" i="45"/>
  <c r="J20" i="45"/>
  <c r="M18" i="44"/>
  <c r="L19" i="45"/>
  <c r="K19" i="45"/>
  <c r="C18" i="44"/>
  <c r="C19" i="45"/>
  <c r="E18" i="44"/>
  <c r="E19" i="45"/>
  <c r="F18" i="44"/>
  <c r="F19" i="45"/>
  <c r="G18" i="44"/>
  <c r="G19" i="45"/>
  <c r="H18" i="44"/>
  <c r="H19" i="45"/>
  <c r="I18" i="44"/>
  <c r="I19" i="45"/>
  <c r="J19" i="45"/>
  <c r="M17" i="44"/>
  <c r="L18" i="45"/>
  <c r="K18" i="45"/>
  <c r="C17" i="44"/>
  <c r="C18" i="45"/>
  <c r="E17" i="44"/>
  <c r="E18" i="45"/>
  <c r="F17" i="44"/>
  <c r="F18" i="45"/>
  <c r="G17" i="44"/>
  <c r="G18" i="45"/>
  <c r="H17" i="44"/>
  <c r="H18" i="45"/>
  <c r="I17" i="44"/>
  <c r="I18" i="45"/>
  <c r="J18" i="45"/>
  <c r="M16" i="44"/>
  <c r="L17" i="45"/>
  <c r="K17" i="45"/>
  <c r="C16" i="44"/>
  <c r="C17" i="45"/>
  <c r="E16" i="44"/>
  <c r="E17" i="45"/>
  <c r="F16" i="44"/>
  <c r="F17" i="45"/>
  <c r="G16" i="44"/>
  <c r="G17" i="45"/>
  <c r="H16" i="44"/>
  <c r="H17" i="45"/>
  <c r="I16" i="44"/>
  <c r="I17" i="45"/>
  <c r="J17" i="45"/>
  <c r="M15" i="44"/>
  <c r="L16" i="45"/>
  <c r="K16" i="45"/>
  <c r="C15" i="44"/>
  <c r="C16" i="45"/>
  <c r="E15" i="44"/>
  <c r="E16" i="45"/>
  <c r="F15" i="44"/>
  <c r="F16" i="45"/>
  <c r="G15" i="44"/>
  <c r="G16" i="45"/>
  <c r="H15" i="44"/>
  <c r="H16" i="45"/>
  <c r="I15" i="44"/>
  <c r="I16" i="45"/>
  <c r="J16" i="45"/>
  <c r="M14" i="44"/>
  <c r="L15" i="45"/>
  <c r="K15" i="45"/>
  <c r="C14" i="44"/>
  <c r="C15" i="45"/>
  <c r="E14" i="44"/>
  <c r="E15" i="45"/>
  <c r="F14" i="44"/>
  <c r="F15" i="45"/>
  <c r="G14" i="44"/>
  <c r="G15" i="45"/>
  <c r="H14" i="44"/>
  <c r="H15" i="45"/>
  <c r="I14" i="44"/>
  <c r="I15" i="45"/>
  <c r="J15" i="45"/>
  <c r="M13" i="44"/>
  <c r="L14" i="45"/>
  <c r="K14" i="45"/>
  <c r="C13" i="44"/>
  <c r="C14" i="45"/>
  <c r="E13" i="44"/>
  <c r="E14" i="45"/>
  <c r="F13" i="44"/>
  <c r="F14" i="45"/>
  <c r="G13" i="44"/>
  <c r="G14" i="45"/>
  <c r="H13" i="44"/>
  <c r="H14" i="45"/>
  <c r="I13" i="44"/>
  <c r="I14" i="45"/>
  <c r="J14" i="45"/>
  <c r="M12" i="44"/>
  <c r="L13" i="45"/>
  <c r="K13" i="45"/>
  <c r="C12" i="44"/>
  <c r="C13" i="45"/>
  <c r="E12" i="44"/>
  <c r="E13" i="45"/>
  <c r="F12" i="44"/>
  <c r="F13" i="45"/>
  <c r="G12" i="44"/>
  <c r="G13" i="45"/>
  <c r="H12" i="44"/>
  <c r="H13" i="45"/>
  <c r="I12" i="44"/>
  <c r="I13" i="45"/>
  <c r="J13" i="45"/>
  <c r="M11" i="44"/>
  <c r="L12" i="45"/>
  <c r="K12" i="45"/>
  <c r="C11" i="44"/>
  <c r="C12" i="45"/>
  <c r="E11" i="44"/>
  <c r="E12" i="45"/>
  <c r="F11" i="44"/>
  <c r="F12" i="45"/>
  <c r="G11" i="44"/>
  <c r="G12" i="45"/>
  <c r="H11" i="44"/>
  <c r="H12" i="45"/>
  <c r="I11" i="44"/>
  <c r="I12" i="45"/>
  <c r="J12" i="45"/>
  <c r="M10" i="44"/>
  <c r="L11" i="45"/>
  <c r="K11" i="45"/>
  <c r="C10" i="44"/>
  <c r="C11" i="45"/>
  <c r="E10" i="44"/>
  <c r="E11" i="45"/>
  <c r="F10" i="44"/>
  <c r="F11" i="45"/>
  <c r="G10" i="44"/>
  <c r="G11" i="45"/>
  <c r="H10" i="44"/>
  <c r="H11" i="45"/>
  <c r="I10" i="44"/>
  <c r="I11" i="45"/>
  <c r="J11" i="45"/>
  <c r="M9" i="44"/>
  <c r="L10" i="45"/>
  <c r="K10" i="45"/>
  <c r="C9" i="44"/>
  <c r="C10" i="45"/>
  <c r="E9" i="44"/>
  <c r="E10" i="45"/>
  <c r="F9" i="44"/>
  <c r="F10" i="45"/>
  <c r="G9" i="44"/>
  <c r="G10" i="45"/>
  <c r="H9" i="44"/>
  <c r="H10" i="45"/>
  <c r="I9" i="44"/>
  <c r="I10" i="45"/>
  <c r="J10" i="45"/>
  <c r="M8" i="44"/>
  <c r="L9" i="45"/>
  <c r="K9" i="45"/>
  <c r="C8" i="44"/>
  <c r="C9" i="45"/>
  <c r="E8" i="44"/>
  <c r="E9" i="45"/>
  <c r="F8" i="44"/>
  <c r="F9" i="45"/>
  <c r="G8" i="44"/>
  <c r="G9" i="45"/>
  <c r="H8" i="44"/>
  <c r="H9" i="45"/>
  <c r="I8" i="44"/>
  <c r="I9" i="45"/>
  <c r="J9" i="45"/>
  <c r="M7" i="44"/>
  <c r="L8" i="45"/>
  <c r="K8" i="45"/>
  <c r="C7" i="44"/>
  <c r="C8" i="45"/>
  <c r="E7" i="44"/>
  <c r="E8" i="45"/>
  <c r="F7" i="44"/>
  <c r="F8" i="45"/>
  <c r="G7" i="44"/>
  <c r="G8" i="45"/>
  <c r="H7" i="44"/>
  <c r="H8" i="45"/>
  <c r="I7" i="44"/>
  <c r="I8" i="45"/>
  <c r="J8" i="45"/>
  <c r="M6" i="44"/>
  <c r="L7" i="45"/>
  <c r="K7" i="45"/>
  <c r="C6" i="44"/>
  <c r="C7" i="45"/>
  <c r="E6" i="44"/>
  <c r="E7" i="45"/>
  <c r="F6" i="44"/>
  <c r="F7" i="45"/>
  <c r="G6" i="44"/>
  <c r="G7" i="45"/>
  <c r="H6" i="44"/>
  <c r="H7" i="45"/>
  <c r="I6" i="44"/>
  <c r="I7" i="45"/>
  <c r="J7" i="45"/>
  <c r="K38" i="44"/>
  <c r="J38" i="44"/>
  <c r="K37" i="44"/>
  <c r="J37" i="44"/>
  <c r="K36" i="44"/>
  <c r="J36" i="44"/>
  <c r="K35" i="44"/>
  <c r="J35" i="44"/>
  <c r="K34" i="44"/>
  <c r="J34" i="44"/>
  <c r="K33" i="44"/>
  <c r="J33" i="44"/>
  <c r="K32" i="44"/>
  <c r="J32" i="44"/>
  <c r="K31" i="44"/>
  <c r="J31" i="44"/>
  <c r="K30" i="44"/>
  <c r="J30" i="44"/>
  <c r="K29" i="44"/>
  <c r="J29" i="44"/>
  <c r="K28" i="44"/>
  <c r="J28" i="44"/>
  <c r="K27" i="44"/>
  <c r="J27" i="44"/>
  <c r="K26" i="44"/>
  <c r="J26" i="44"/>
  <c r="K25" i="44"/>
  <c r="J25" i="44"/>
  <c r="K24" i="44"/>
  <c r="J24" i="44"/>
  <c r="K23" i="44"/>
  <c r="J23" i="44"/>
  <c r="K22" i="44"/>
  <c r="J22" i="44"/>
  <c r="K21" i="44"/>
  <c r="J21" i="44"/>
  <c r="K20" i="44"/>
  <c r="J20" i="44"/>
  <c r="K19" i="44"/>
  <c r="J19" i="44"/>
  <c r="K18" i="44"/>
  <c r="J18" i="44"/>
  <c r="K17" i="44"/>
  <c r="J17" i="44"/>
  <c r="K16" i="44"/>
  <c r="J16" i="44"/>
  <c r="K15" i="44"/>
  <c r="J15" i="44"/>
  <c r="K14" i="44"/>
  <c r="J14" i="44"/>
  <c r="K13" i="44"/>
  <c r="J13" i="44"/>
  <c r="K12" i="44"/>
  <c r="J12" i="44"/>
  <c r="K11" i="44"/>
  <c r="J11" i="44"/>
  <c r="K10" i="44"/>
  <c r="J10" i="44"/>
  <c r="K9" i="44"/>
  <c r="J9" i="44"/>
  <c r="K8" i="44"/>
  <c r="J8" i="44"/>
  <c r="K7" i="44"/>
  <c r="J7" i="44"/>
  <c r="K6" i="44"/>
  <c r="J6" i="44"/>
  <c r="O38" i="43"/>
  <c r="O37" i="43"/>
  <c r="O36" i="43"/>
  <c r="O35" i="43"/>
  <c r="O34" i="43"/>
  <c r="O33" i="43"/>
  <c r="O32" i="43"/>
  <c r="O31" i="43"/>
  <c r="O30" i="43"/>
  <c r="O29" i="43"/>
  <c r="O28" i="43"/>
  <c r="O27" i="43"/>
  <c r="O26" i="43"/>
  <c r="O25" i="43"/>
  <c r="O24" i="43"/>
  <c r="O23" i="43"/>
  <c r="O22" i="43"/>
  <c r="O21" i="43"/>
  <c r="O20" i="43"/>
  <c r="O19" i="43"/>
  <c r="O18" i="43"/>
  <c r="O17" i="43"/>
  <c r="O16" i="43"/>
  <c r="O15" i="43"/>
  <c r="O14" i="43"/>
  <c r="O13" i="43"/>
  <c r="O12" i="43"/>
  <c r="O11" i="43"/>
  <c r="O10" i="43"/>
  <c r="O9" i="43"/>
  <c r="O8" i="43"/>
  <c r="O7" i="43"/>
  <c r="O6" i="43"/>
  <c r="E31" i="10" a="1"/>
  <c r="E32" i="10"/>
  <c r="E33" i="10"/>
  <c r="E34" i="10"/>
  <c r="E35" i="10"/>
  <c r="I16" i="12"/>
  <c r="E36" i="10"/>
  <c r="J16" i="12"/>
  <c r="E37" i="10"/>
  <c r="K16" i="12"/>
  <c r="E38" i="10"/>
  <c r="E31" i="10"/>
  <c r="J9" i="42"/>
  <c r="J21" i="42"/>
  <c r="I9" i="42"/>
  <c r="I21" i="42"/>
  <c r="H9" i="42"/>
  <c r="H21" i="42"/>
  <c r="G9" i="42"/>
  <c r="G21" i="42"/>
  <c r="F9" i="42"/>
  <c r="F21" i="42"/>
  <c r="E9" i="42"/>
  <c r="E21" i="42"/>
  <c r="D9" i="42"/>
  <c r="D21" i="42"/>
  <c r="C9" i="42"/>
  <c r="C21" i="42"/>
  <c r="C5" i="31"/>
  <c r="C6" i="31"/>
  <c r="C7" i="31"/>
  <c r="C8" i="31"/>
  <c r="C9" i="31"/>
  <c r="C10" i="31"/>
  <c r="C11" i="31"/>
  <c r="C12" i="31"/>
  <c r="C13" i="31"/>
  <c r="C14" i="31"/>
  <c r="C15" i="31"/>
  <c r="C16" i="31"/>
  <c r="C17" i="31"/>
  <c r="C18" i="31"/>
  <c r="C19" i="31"/>
  <c r="C20" i="31"/>
  <c r="C21" i="31"/>
  <c r="C22" i="31"/>
  <c r="C23" i="31"/>
  <c r="C24" i="31"/>
  <c r="C25" i="31"/>
  <c r="C26" i="31"/>
  <c r="C27" i="31"/>
  <c r="C28" i="31"/>
  <c r="C29" i="31"/>
  <c r="C30" i="31"/>
  <c r="C31" i="31"/>
  <c r="C32" i="31"/>
  <c r="C33" i="31"/>
  <c r="C34" i="31"/>
  <c r="C35" i="31"/>
  <c r="C36" i="31"/>
  <c r="C37" i="31"/>
  <c r="C38" i="31"/>
  <c r="C39" i="31"/>
  <c r="C40" i="31"/>
  <c r="C41" i="31"/>
  <c r="C42" i="31"/>
  <c r="C43" i="31"/>
  <c r="C44" i="31"/>
  <c r="C45" i="31"/>
  <c r="C46" i="31"/>
  <c r="C47" i="31"/>
  <c r="C48" i="31"/>
  <c r="C49" i="31"/>
  <c r="C50" i="31"/>
  <c r="C51" i="31"/>
  <c r="C52" i="31"/>
  <c r="C53" i="31"/>
  <c r="E53" i="31"/>
  <c r="AC14" i="26"/>
  <c r="AC15" i="26"/>
  <c r="AC16" i="26"/>
  <c r="AC17" i="26"/>
  <c r="AC18" i="26"/>
  <c r="AC19" i="26"/>
  <c r="AC20" i="26"/>
  <c r="AC21" i="26"/>
  <c r="AC22" i="26"/>
  <c r="AC23" i="26"/>
  <c r="AC24" i="26"/>
  <c r="AC25" i="26"/>
  <c r="AC26" i="26"/>
  <c r="AC27" i="26"/>
  <c r="AC28" i="26"/>
  <c r="AC29" i="26"/>
  <c r="AC30" i="26"/>
  <c r="AC31" i="26"/>
  <c r="AC32" i="26"/>
  <c r="AC33" i="26"/>
  <c r="AC34" i="26"/>
  <c r="AC35" i="26"/>
  <c r="AC36" i="26"/>
  <c r="AC37" i="26"/>
  <c r="AC38" i="26"/>
  <c r="AC39" i="26"/>
  <c r="AC40" i="26"/>
  <c r="AC41" i="26"/>
  <c r="AC42" i="26"/>
  <c r="AC43" i="26"/>
  <c r="AC44" i="26"/>
  <c r="AC45" i="26"/>
  <c r="AC46" i="26"/>
  <c r="AC13" i="26"/>
  <c r="AA14" i="26"/>
  <c r="AA15" i="26"/>
  <c r="AA16" i="26"/>
  <c r="AA17" i="26"/>
  <c r="AA18" i="26"/>
  <c r="AA19" i="26"/>
  <c r="AA20" i="26"/>
  <c r="AA21" i="26"/>
  <c r="AA22" i="26"/>
  <c r="AA23" i="26"/>
  <c r="AA24" i="26"/>
  <c r="AA25" i="26"/>
  <c r="AA26" i="26"/>
  <c r="AA27" i="26"/>
  <c r="AA28" i="26"/>
  <c r="AA29" i="26"/>
  <c r="AA30" i="26"/>
  <c r="AA31" i="26"/>
  <c r="AA32" i="26"/>
  <c r="AA33" i="26"/>
  <c r="AA34" i="26"/>
  <c r="AA35" i="26"/>
  <c r="AA36" i="26"/>
  <c r="AA37" i="26"/>
  <c r="AA38" i="26"/>
  <c r="AA39" i="26"/>
  <c r="AA40" i="26"/>
  <c r="AA41" i="26"/>
  <c r="AA42" i="26"/>
  <c r="AA43" i="26"/>
  <c r="AA44" i="26"/>
  <c r="AA45" i="26"/>
  <c r="AA46" i="26"/>
  <c r="AA13" i="26"/>
  <c r="Z14" i="26"/>
  <c r="Z15" i="26"/>
  <c r="Z16" i="26"/>
  <c r="Z17" i="26"/>
  <c r="Z18" i="26"/>
  <c r="Z19" i="26"/>
  <c r="Z20" i="26"/>
  <c r="Z21" i="26"/>
  <c r="Z22" i="26"/>
  <c r="Z23" i="26"/>
  <c r="Z24" i="26"/>
  <c r="Z25" i="26"/>
  <c r="Z26" i="26"/>
  <c r="Z27" i="26"/>
  <c r="Z28" i="26"/>
  <c r="Z29" i="26"/>
  <c r="Z30" i="26"/>
  <c r="Z31" i="26"/>
  <c r="Z32" i="26"/>
  <c r="Z33" i="26"/>
  <c r="Z34" i="26"/>
  <c r="Z35" i="26"/>
  <c r="Z36" i="26"/>
  <c r="Z37" i="26"/>
  <c r="Z38" i="26"/>
  <c r="Z39" i="26"/>
  <c r="Z40" i="26"/>
  <c r="Z41" i="26"/>
  <c r="Z42" i="26"/>
  <c r="Z43" i="26"/>
  <c r="Z44" i="26"/>
  <c r="Z45" i="26"/>
  <c r="Z46" i="26"/>
  <c r="Z13" i="26"/>
  <c r="Y14" i="26"/>
  <c r="Y15" i="26"/>
  <c r="Y16" i="26"/>
  <c r="Y17" i="26"/>
  <c r="Y18" i="26"/>
  <c r="Y19" i="26"/>
  <c r="Y20" i="26"/>
  <c r="Y21" i="26"/>
  <c r="Y22" i="26"/>
  <c r="Y23" i="26"/>
  <c r="Y24" i="26"/>
  <c r="Y25" i="26"/>
  <c r="Y26" i="26"/>
  <c r="Y27" i="26"/>
  <c r="Y28" i="26"/>
  <c r="Y29" i="26"/>
  <c r="Y30" i="26"/>
  <c r="Y31" i="26"/>
  <c r="Y32" i="26"/>
  <c r="Y33" i="26"/>
  <c r="Y34" i="26"/>
  <c r="Y35" i="26"/>
  <c r="Y36" i="26"/>
  <c r="Y37" i="26"/>
  <c r="Y38" i="26"/>
  <c r="Y39" i="26"/>
  <c r="Y40" i="26"/>
  <c r="Y41" i="26"/>
  <c r="Y42" i="26"/>
  <c r="Y43" i="26"/>
  <c r="Y44" i="26"/>
  <c r="Y45" i="26"/>
  <c r="Y46" i="26"/>
  <c r="Y13" i="26"/>
  <c r="X14" i="26"/>
  <c r="X15" i="26"/>
  <c r="X16" i="26"/>
  <c r="X17" i="26"/>
  <c r="X18" i="26"/>
  <c r="X19" i="26"/>
  <c r="X20" i="26"/>
  <c r="X21" i="26"/>
  <c r="X22" i="26"/>
  <c r="X23" i="26"/>
  <c r="X24" i="26"/>
  <c r="X25" i="26"/>
  <c r="X26" i="26"/>
  <c r="X27" i="26"/>
  <c r="X28" i="26"/>
  <c r="X29" i="26"/>
  <c r="X30" i="26"/>
  <c r="X31" i="26"/>
  <c r="X32" i="26"/>
  <c r="X33" i="26"/>
  <c r="X34" i="26"/>
  <c r="X35" i="26"/>
  <c r="X36" i="26"/>
  <c r="X37" i="26"/>
  <c r="X38" i="26"/>
  <c r="X39" i="26"/>
  <c r="X40" i="26"/>
  <c r="X41" i="26"/>
  <c r="X42" i="26"/>
  <c r="X43" i="26"/>
  <c r="X44" i="26"/>
  <c r="X45" i="26"/>
  <c r="X46" i="26"/>
  <c r="X13" i="26"/>
  <c r="W14" i="26"/>
  <c r="W15" i="26"/>
  <c r="W16" i="26"/>
  <c r="W17" i="26"/>
  <c r="W18" i="26"/>
  <c r="W19" i="26"/>
  <c r="W20" i="26"/>
  <c r="W21" i="26"/>
  <c r="W22" i="26"/>
  <c r="W23" i="26"/>
  <c r="W24" i="26"/>
  <c r="W25" i="26"/>
  <c r="W26" i="26"/>
  <c r="W27" i="26"/>
  <c r="W28" i="26"/>
  <c r="W29" i="26"/>
  <c r="W30" i="26"/>
  <c r="W31" i="26"/>
  <c r="W32" i="26"/>
  <c r="W33" i="26"/>
  <c r="W34" i="26"/>
  <c r="W35" i="26"/>
  <c r="W36" i="26"/>
  <c r="W37" i="26"/>
  <c r="W38" i="26"/>
  <c r="W39" i="26"/>
  <c r="W40" i="26"/>
  <c r="W41" i="26"/>
  <c r="W42" i="26"/>
  <c r="W43" i="26"/>
  <c r="W44" i="26"/>
  <c r="W45" i="26"/>
  <c r="W46" i="26"/>
  <c r="W13" i="26"/>
  <c r="N32" i="28"/>
  <c r="N31" i="28"/>
  <c r="N30" i="28"/>
  <c r="N29" i="28"/>
  <c r="N28" i="28"/>
  <c r="N27" i="28"/>
  <c r="N26" i="28"/>
  <c r="N25" i="28"/>
  <c r="N24" i="28"/>
  <c r="N23" i="28"/>
  <c r="N22" i="28"/>
  <c r="N21" i="28"/>
  <c r="N20" i="28"/>
  <c r="N19" i="28"/>
  <c r="N18" i="28"/>
  <c r="N17" i="28"/>
  <c r="N16" i="28"/>
  <c r="N15" i="28"/>
  <c r="L9" i="28"/>
  <c r="L10" i="28"/>
  <c r="L11" i="28"/>
  <c r="L12" i="28"/>
  <c r="L13" i="28"/>
  <c r="L14" i="28"/>
  <c r="L15" i="28"/>
  <c r="L16" i="28"/>
  <c r="L17" i="28"/>
  <c r="L18" i="28"/>
  <c r="L19" i="28"/>
  <c r="L20" i="28"/>
  <c r="L21" i="28"/>
  <c r="L22" i="28"/>
  <c r="L23" i="28"/>
  <c r="L24" i="28"/>
  <c r="L25" i="28"/>
  <c r="L26" i="28"/>
  <c r="L27" i="28"/>
  <c r="L28" i="28"/>
  <c r="L29" i="28"/>
  <c r="L30" i="28"/>
  <c r="L31" i="28"/>
  <c r="L32" i="28"/>
  <c r="L33" i="28"/>
  <c r="L34" i="28"/>
  <c r="L35" i="28"/>
  <c r="L36" i="28"/>
  <c r="L37" i="28"/>
  <c r="L38" i="28"/>
  <c r="L39" i="28"/>
  <c r="L40" i="28"/>
  <c r="L41" i="28"/>
  <c r="L42" i="28"/>
  <c r="L43" i="28"/>
  <c r="L44" i="28"/>
  <c r="L45" i="28"/>
  <c r="L46" i="28"/>
  <c r="L9" i="27"/>
  <c r="L10" i="27"/>
  <c r="L11" i="27"/>
  <c r="L12" i="27"/>
  <c r="L13" i="27"/>
  <c r="L14" i="27"/>
  <c r="L15" i="27"/>
  <c r="L16" i="27"/>
  <c r="L17" i="27"/>
  <c r="L18" i="27"/>
  <c r="L19" i="27"/>
  <c r="L20" i="27"/>
  <c r="L21" i="27"/>
  <c r="L22" i="27"/>
  <c r="L23" i="27"/>
  <c r="L24" i="27"/>
  <c r="L25" i="27"/>
  <c r="L26" i="27"/>
  <c r="L27" i="27"/>
  <c r="L28" i="27"/>
  <c r="L29" i="27"/>
  <c r="L30" i="27"/>
  <c r="L31" i="27"/>
  <c r="L32" i="27"/>
  <c r="L33" i="27"/>
  <c r="L34" i="27"/>
  <c r="L35" i="27"/>
  <c r="L36" i="27"/>
  <c r="L37" i="27"/>
  <c r="L38" i="27"/>
  <c r="L39" i="27"/>
  <c r="L40" i="27"/>
  <c r="L41" i="27"/>
  <c r="L42" i="27"/>
  <c r="L43" i="27"/>
  <c r="L44" i="27"/>
  <c r="L45" i="27"/>
  <c r="L46" i="27"/>
  <c r="AB46" i="26"/>
  <c r="L9" i="26"/>
  <c r="L10" i="26"/>
  <c r="L11" i="26"/>
  <c r="L12" i="26"/>
  <c r="L13" i="26"/>
  <c r="L14" i="26"/>
  <c r="L15" i="26"/>
  <c r="L16" i="26"/>
  <c r="L17" i="26"/>
  <c r="L18" i="26"/>
  <c r="L19" i="26"/>
  <c r="L20" i="26"/>
  <c r="L21" i="26"/>
  <c r="L22" i="26"/>
  <c r="L23" i="26"/>
  <c r="L24" i="26"/>
  <c r="L25" i="26"/>
  <c r="L26" i="26"/>
  <c r="L27" i="26"/>
  <c r="L28" i="26"/>
  <c r="L29" i="26"/>
  <c r="L30" i="26"/>
  <c r="L31" i="26"/>
  <c r="L32" i="26"/>
  <c r="L33" i="26"/>
  <c r="L34" i="26"/>
  <c r="L35" i="26"/>
  <c r="L36" i="26"/>
  <c r="L37" i="26"/>
  <c r="L38" i="26"/>
  <c r="L39" i="26"/>
  <c r="L40" i="26"/>
  <c r="L41" i="26"/>
  <c r="L42" i="26"/>
  <c r="L43" i="26"/>
  <c r="L44" i="26"/>
  <c r="L45" i="26"/>
  <c r="L46" i="26"/>
  <c r="AB45" i="26"/>
  <c r="AB44" i="26"/>
  <c r="AB43" i="26"/>
  <c r="AB42" i="26"/>
  <c r="AB41" i="26"/>
  <c r="AB40" i="26"/>
  <c r="AB39" i="26"/>
  <c r="AB38" i="26"/>
  <c r="AB37" i="26"/>
  <c r="AB36" i="26"/>
  <c r="AB35" i="26"/>
  <c r="AB34" i="26"/>
  <c r="AB33" i="26"/>
  <c r="AB32" i="26"/>
  <c r="AB31" i="26"/>
  <c r="AB30" i="26"/>
  <c r="AB29" i="26"/>
  <c r="AB28" i="26"/>
  <c r="AB27" i="26"/>
  <c r="AB26" i="26"/>
  <c r="AB25" i="26"/>
  <c r="AB24" i="26"/>
  <c r="AB23" i="26"/>
  <c r="AB22" i="26"/>
  <c r="AB21" i="26"/>
  <c r="AB20" i="26"/>
  <c r="AB19" i="26"/>
  <c r="AB18" i="26"/>
  <c r="AB17" i="26"/>
  <c r="AB16" i="26"/>
  <c r="AB15" i="26"/>
  <c r="AB14" i="26"/>
  <c r="AB13" i="26"/>
  <c r="U12" i="26"/>
  <c r="T12" i="26"/>
  <c r="U11" i="26"/>
  <c r="T11" i="26"/>
  <c r="U10" i="26"/>
  <c r="T10" i="26"/>
  <c r="U9" i="26"/>
  <c r="T9" i="26"/>
  <c r="U8" i="26"/>
  <c r="T8" i="26"/>
  <c r="W8" i="25"/>
  <c r="L9" i="25"/>
  <c r="W9" i="25"/>
  <c r="L10" i="25"/>
  <c r="W10" i="25"/>
  <c r="L11" i="25"/>
  <c r="W11" i="25"/>
  <c r="L12" i="25"/>
  <c r="W12" i="25"/>
  <c r="L13" i="25"/>
  <c r="W13" i="25"/>
  <c r="L14" i="25"/>
  <c r="W14" i="25"/>
  <c r="L15" i="25"/>
  <c r="W15" i="25"/>
  <c r="L16" i="25"/>
  <c r="W16" i="25"/>
  <c r="L17" i="25"/>
  <c r="W17" i="25"/>
  <c r="L18" i="25"/>
  <c r="W18" i="25"/>
  <c r="L19" i="25"/>
  <c r="W19" i="25"/>
  <c r="L20" i="25"/>
  <c r="W20" i="25"/>
  <c r="L21" i="25"/>
  <c r="W21" i="25"/>
  <c r="L22" i="25"/>
  <c r="W22" i="25"/>
  <c r="L23" i="25"/>
  <c r="W23" i="25"/>
  <c r="L24" i="25"/>
  <c r="W24" i="25"/>
  <c r="L25" i="25"/>
  <c r="W25" i="25"/>
  <c r="L26" i="25"/>
  <c r="W26" i="25"/>
  <c r="L27" i="25"/>
  <c r="W27" i="25"/>
  <c r="L28" i="25"/>
  <c r="W28" i="25"/>
  <c r="L29" i="25"/>
  <c r="W29" i="25"/>
  <c r="L30" i="25"/>
  <c r="W30" i="25"/>
  <c r="L31" i="25"/>
  <c r="W31" i="25"/>
  <c r="L32" i="25"/>
  <c r="W32" i="25"/>
  <c r="L33" i="25"/>
  <c r="W33" i="25"/>
  <c r="L34" i="25"/>
  <c r="W34" i="25"/>
  <c r="L35" i="25"/>
  <c r="W35" i="25"/>
  <c r="L36" i="25"/>
  <c r="W36" i="25"/>
  <c r="L37" i="25"/>
  <c r="W37" i="25"/>
  <c r="L38" i="25"/>
  <c r="W38" i="25"/>
  <c r="L39" i="25"/>
  <c r="W39" i="25"/>
  <c r="L40" i="25"/>
  <c r="W40" i="25"/>
  <c r="L41" i="25"/>
  <c r="W41" i="25"/>
  <c r="L42" i="25"/>
  <c r="W42" i="25"/>
  <c r="L43" i="25"/>
  <c r="W43" i="25"/>
  <c r="L44" i="25"/>
  <c r="W44" i="25"/>
  <c r="L45" i="25"/>
  <c r="W45" i="25"/>
  <c r="L46" i="25"/>
  <c r="W46" i="25"/>
  <c r="Q21" i="24"/>
  <c r="Q31" i="24"/>
  <c r="Q22" i="24"/>
  <c r="Q32" i="24"/>
  <c r="Q23" i="24"/>
  <c r="Q33" i="24"/>
  <c r="Q24" i="24"/>
  <c r="Q34" i="24"/>
  <c r="Q25" i="24"/>
  <c r="Q35" i="24"/>
  <c r="Q26" i="24"/>
  <c r="Q36" i="24"/>
  <c r="Q27" i="24"/>
  <c r="Q37" i="24"/>
  <c r="Q20" i="24"/>
  <c r="Q30" i="24"/>
  <c r="P17" i="24"/>
  <c r="P16" i="24"/>
  <c r="P15" i="24"/>
  <c r="P14" i="24"/>
  <c r="P13" i="24"/>
  <c r="P12" i="24"/>
  <c r="P11" i="24"/>
  <c r="P10" i="24"/>
  <c r="O11" i="24"/>
  <c r="O12" i="24"/>
  <c r="O13" i="24"/>
  <c r="O14" i="24"/>
  <c r="O15" i="24"/>
  <c r="O16" i="24"/>
  <c r="O17" i="24"/>
  <c r="O10" i="24"/>
  <c r="Q17" i="24"/>
  <c r="Q16" i="24"/>
  <c r="Q15" i="24"/>
  <c r="Q14" i="24"/>
  <c r="Q13" i="24"/>
  <c r="Q12" i="24"/>
  <c r="Q11" i="24"/>
  <c r="Q10" i="24"/>
  <c r="R11" i="24"/>
  <c r="R12" i="24"/>
  <c r="R13" i="24"/>
  <c r="R14" i="24"/>
  <c r="R15" i="24"/>
  <c r="R16" i="24"/>
  <c r="R17" i="24"/>
  <c r="R10" i="24"/>
  <c r="L11" i="24"/>
  <c r="M11" i="24"/>
  <c r="N11" i="24"/>
  <c r="L12" i="24"/>
  <c r="M12" i="24"/>
  <c r="N12" i="24"/>
  <c r="L13" i="24"/>
  <c r="M13" i="24"/>
  <c r="N13" i="24"/>
  <c r="L14" i="24"/>
  <c r="M14" i="24"/>
  <c r="N14" i="24"/>
  <c r="L15" i="24"/>
  <c r="M15" i="24"/>
  <c r="N15" i="24"/>
  <c r="L16" i="24"/>
  <c r="M16" i="24"/>
  <c r="N16" i="24"/>
  <c r="L17" i="24"/>
  <c r="M17" i="24"/>
  <c r="N17" i="24"/>
  <c r="M10" i="24"/>
  <c r="N10" i="24"/>
  <c r="L10" i="24"/>
  <c r="C11" i="24"/>
  <c r="D11" i="24"/>
  <c r="E11" i="24"/>
  <c r="F11" i="24"/>
  <c r="G11" i="24"/>
  <c r="C12" i="24"/>
  <c r="D12" i="24"/>
  <c r="E12" i="24"/>
  <c r="F12" i="24"/>
  <c r="G12" i="24"/>
  <c r="C13" i="24"/>
  <c r="D13" i="24"/>
  <c r="E13" i="24"/>
  <c r="F13" i="24"/>
  <c r="G13" i="24"/>
  <c r="C14" i="24"/>
  <c r="D14" i="24"/>
  <c r="E14" i="24"/>
  <c r="F14" i="24"/>
  <c r="G14" i="24"/>
  <c r="C15" i="24"/>
  <c r="D15" i="24"/>
  <c r="E15" i="24"/>
  <c r="F15" i="24"/>
  <c r="G15" i="24"/>
  <c r="C16" i="24"/>
  <c r="D16" i="24"/>
  <c r="E16" i="24"/>
  <c r="F16" i="24"/>
  <c r="G16" i="24"/>
  <c r="C17" i="24"/>
  <c r="D17" i="24"/>
  <c r="E17" i="24"/>
  <c r="F17" i="24"/>
  <c r="G17" i="24"/>
  <c r="C10" i="24"/>
  <c r="D10" i="24"/>
  <c r="E10" i="24"/>
  <c r="F10" i="24"/>
  <c r="G10" i="24"/>
  <c r="B31" i="24"/>
  <c r="B32" i="24"/>
  <c r="B33" i="24"/>
  <c r="B34" i="24"/>
  <c r="B35" i="24"/>
  <c r="B36" i="24"/>
  <c r="B37" i="24"/>
  <c r="B21" i="24"/>
  <c r="B22" i="24"/>
  <c r="B23" i="24"/>
  <c r="B24" i="24"/>
  <c r="B25" i="24"/>
  <c r="B26" i="24"/>
  <c r="B27" i="24"/>
  <c r="B11" i="24"/>
  <c r="B12" i="24"/>
  <c r="B13" i="24"/>
  <c r="B14" i="24"/>
  <c r="B15" i="24"/>
  <c r="B16" i="24"/>
  <c r="B17" i="24"/>
  <c r="K25" i="18"/>
  <c r="E7" i="19"/>
  <c r="F7" i="19"/>
  <c r="G7" i="19"/>
  <c r="H7" i="19"/>
  <c r="I7" i="19"/>
  <c r="J7" i="19"/>
  <c r="K7" i="19"/>
  <c r="D7" i="19"/>
  <c r="E23" i="19"/>
  <c r="F23" i="19"/>
  <c r="G23" i="19"/>
  <c r="H23" i="19"/>
  <c r="I23" i="19"/>
  <c r="J23" i="19"/>
  <c r="K23" i="19"/>
  <c r="D23" i="19"/>
  <c r="E17" i="19"/>
  <c r="F17" i="19"/>
  <c r="G17" i="19"/>
  <c r="H17" i="19"/>
  <c r="I17" i="19"/>
  <c r="J17" i="19"/>
  <c r="K17" i="19"/>
  <c r="D17" i="19"/>
  <c r="K13" i="19"/>
  <c r="J13" i="19"/>
  <c r="I13" i="19"/>
  <c r="H13" i="19"/>
  <c r="G13" i="19"/>
  <c r="F13" i="19"/>
  <c r="E13" i="19"/>
  <c r="D13" i="19"/>
  <c r="E12" i="19"/>
  <c r="F12" i="19"/>
  <c r="G12" i="19"/>
  <c r="H12" i="19"/>
  <c r="I12" i="19"/>
  <c r="J12" i="19"/>
  <c r="K12" i="19"/>
  <c r="D12" i="19"/>
  <c r="E14" i="19"/>
  <c r="E20" i="19"/>
  <c r="F14" i="19"/>
  <c r="F20" i="19"/>
  <c r="G14" i="19"/>
  <c r="G20" i="19"/>
  <c r="H14" i="19"/>
  <c r="H20" i="19"/>
  <c r="I14" i="19"/>
  <c r="I20" i="19"/>
  <c r="J14" i="19"/>
  <c r="J20" i="19"/>
  <c r="K14" i="19"/>
  <c r="K20" i="19"/>
  <c r="D14" i="19"/>
  <c r="D20" i="19"/>
  <c r="D23" i="18"/>
  <c r="E23" i="18"/>
  <c r="F23" i="18"/>
  <c r="G23" i="18"/>
  <c r="H23" i="18"/>
  <c r="I23" i="18"/>
  <c r="J23" i="18"/>
  <c r="K23" i="18"/>
  <c r="D26" i="18"/>
  <c r="E26" i="18"/>
  <c r="F26" i="18"/>
  <c r="G26" i="18"/>
  <c r="H26" i="18"/>
  <c r="I26" i="18"/>
  <c r="J26" i="18"/>
  <c r="K26" i="18"/>
  <c r="D27" i="18"/>
  <c r="E27" i="18"/>
  <c r="F27" i="18"/>
  <c r="G27" i="18"/>
  <c r="H27" i="18"/>
  <c r="I27" i="18"/>
  <c r="J27" i="18"/>
  <c r="K27" i="18"/>
  <c r="D28" i="18"/>
  <c r="E28" i="18"/>
  <c r="F28" i="18"/>
  <c r="G28" i="18"/>
  <c r="H28" i="18"/>
  <c r="I28" i="18"/>
  <c r="J28" i="18"/>
  <c r="K28" i="18"/>
  <c r="D29" i="18"/>
  <c r="E29" i="18"/>
  <c r="F29" i="18"/>
  <c r="G29" i="18"/>
  <c r="H29" i="18"/>
  <c r="I29" i="18"/>
  <c r="J29" i="18"/>
  <c r="K29" i="18"/>
  <c r="D30" i="18"/>
  <c r="E30" i="18"/>
  <c r="F30" i="18"/>
  <c r="G30" i="18"/>
  <c r="H30" i="18"/>
  <c r="I30" i="18"/>
  <c r="J30" i="18"/>
  <c r="K30" i="18"/>
  <c r="D50" i="18"/>
  <c r="E50" i="18"/>
  <c r="F50" i="18"/>
  <c r="G50" i="18"/>
  <c r="H50" i="18"/>
  <c r="I50" i="18"/>
  <c r="J50" i="18"/>
  <c r="K50" i="18"/>
  <c r="D36" i="18"/>
  <c r="E36" i="18"/>
  <c r="F36" i="18"/>
  <c r="G36" i="18"/>
  <c r="H36" i="18"/>
  <c r="I36" i="18"/>
  <c r="J36" i="18"/>
  <c r="K36" i="18"/>
  <c r="O11" i="17"/>
  <c r="O12" i="17"/>
  <c r="O13" i="17"/>
  <c r="O14" i="17"/>
  <c r="O15" i="17"/>
  <c r="O16" i="17"/>
  <c r="O17" i="17"/>
  <c r="O10" i="17"/>
  <c r="B31" i="17"/>
  <c r="B32" i="17"/>
  <c r="B33" i="17"/>
  <c r="B34" i="17"/>
  <c r="B35" i="17"/>
  <c r="B36" i="17"/>
  <c r="B37" i="17"/>
  <c r="B21" i="17"/>
  <c r="B22" i="17"/>
  <c r="B23" i="17"/>
  <c r="B24" i="17"/>
  <c r="B25" i="17"/>
  <c r="B26" i="17"/>
  <c r="B27" i="17"/>
  <c r="B11" i="17"/>
  <c r="B12" i="17"/>
  <c r="B13" i="17"/>
  <c r="B14" i="17"/>
  <c r="B15" i="17"/>
  <c r="B16" i="17"/>
  <c r="B17" i="17"/>
  <c r="O31" i="9"/>
  <c r="P31" i="9"/>
  <c r="O32" i="9"/>
  <c r="P32" i="9"/>
  <c r="O33" i="9"/>
  <c r="P33" i="9"/>
  <c r="O34" i="9"/>
  <c r="P34" i="9"/>
  <c r="O35" i="9"/>
  <c r="P35" i="9"/>
  <c r="O36" i="9"/>
  <c r="P36" i="9"/>
  <c r="O37" i="9"/>
  <c r="P37" i="9"/>
  <c r="O30" i="9"/>
  <c r="P30" i="9"/>
  <c r="N12" i="10"/>
  <c r="N13" i="10"/>
  <c r="N14" i="10"/>
  <c r="N15" i="10"/>
  <c r="N16" i="10"/>
  <c r="N17" i="10"/>
  <c r="N18" i="10"/>
  <c r="N11" i="10"/>
  <c r="R12" i="10"/>
  <c r="R13" i="10"/>
  <c r="R14" i="10"/>
  <c r="R15" i="10"/>
  <c r="R16" i="10"/>
  <c r="R17" i="10"/>
  <c r="R18" i="10"/>
  <c r="R11" i="10"/>
  <c r="D11" i="9"/>
  <c r="D12" i="9"/>
  <c r="D13" i="9"/>
  <c r="D14" i="9"/>
  <c r="D15" i="9"/>
  <c r="D16" i="9"/>
  <c r="D17" i="9"/>
  <c r="D10" i="9"/>
  <c r="I34" i="12"/>
  <c r="J34" i="12"/>
  <c r="K34" i="12"/>
  <c r="H34" i="12"/>
  <c r="K30" i="12"/>
  <c r="J30" i="12"/>
  <c r="H30" i="12"/>
  <c r="I30" i="12"/>
  <c r="E30" i="12"/>
  <c r="F30" i="12"/>
  <c r="G30" i="12"/>
  <c r="D30" i="12"/>
  <c r="D6" i="16"/>
  <c r="E6" i="16"/>
  <c r="F6" i="16"/>
  <c r="G6" i="16"/>
  <c r="H6" i="16"/>
  <c r="I6" i="16"/>
  <c r="J6" i="16"/>
  <c r="K6" i="16"/>
  <c r="D7" i="16"/>
  <c r="E7" i="16"/>
  <c r="F7" i="16"/>
  <c r="G7" i="16"/>
  <c r="H7" i="16"/>
  <c r="I7" i="16"/>
  <c r="J7" i="16"/>
  <c r="K7" i="16"/>
  <c r="D8" i="16"/>
  <c r="E8" i="16"/>
  <c r="F8" i="16"/>
  <c r="G8" i="16"/>
  <c r="H8" i="16"/>
  <c r="I8" i="16"/>
  <c r="J8" i="16"/>
  <c r="K8" i="16"/>
  <c r="D9" i="16"/>
  <c r="E9" i="16"/>
  <c r="F9" i="16"/>
  <c r="G9" i="16"/>
  <c r="H9" i="16"/>
  <c r="I9" i="16"/>
  <c r="J9" i="16"/>
  <c r="K9" i="16"/>
  <c r="D10" i="16"/>
  <c r="E10" i="16"/>
  <c r="F10" i="16"/>
  <c r="G10" i="16"/>
  <c r="H10" i="16"/>
  <c r="I10" i="16"/>
  <c r="J10" i="16"/>
  <c r="K10" i="16"/>
  <c r="D11" i="16"/>
  <c r="E11" i="16"/>
  <c r="F11" i="16"/>
  <c r="G11" i="16"/>
  <c r="H11" i="16"/>
  <c r="I11" i="16"/>
  <c r="J11" i="16"/>
  <c r="K11" i="16"/>
  <c r="D12" i="16"/>
  <c r="E12" i="16"/>
  <c r="F12" i="16"/>
  <c r="G12" i="16"/>
  <c r="H12" i="16"/>
  <c r="I12" i="16"/>
  <c r="J12" i="16"/>
  <c r="K12" i="16"/>
  <c r="D13" i="16"/>
  <c r="E13" i="16"/>
  <c r="F13" i="16"/>
  <c r="G13" i="16"/>
  <c r="H13" i="16"/>
  <c r="I13" i="16"/>
  <c r="J13" i="16"/>
  <c r="K13" i="16"/>
  <c r="D14" i="16"/>
  <c r="E14" i="16"/>
  <c r="F14" i="16"/>
  <c r="G14" i="16"/>
  <c r="H14" i="16"/>
  <c r="I14" i="16"/>
  <c r="J14" i="16"/>
  <c r="K14" i="16"/>
  <c r="D15" i="16"/>
  <c r="E15" i="16"/>
  <c r="F15" i="16"/>
  <c r="G15" i="16"/>
  <c r="H15" i="16"/>
  <c r="I15" i="16"/>
  <c r="J15" i="16"/>
  <c r="K15" i="16"/>
  <c r="D6" i="15"/>
  <c r="E6" i="15"/>
  <c r="F6" i="15"/>
  <c r="G6" i="15"/>
  <c r="H6" i="15"/>
  <c r="I6" i="15"/>
  <c r="J6" i="15"/>
  <c r="K6" i="15"/>
  <c r="D7" i="15"/>
  <c r="E7" i="15"/>
  <c r="F7" i="15"/>
  <c r="G7" i="15"/>
  <c r="H7" i="15"/>
  <c r="I7" i="15"/>
  <c r="J7" i="15"/>
  <c r="K7" i="15"/>
  <c r="D8" i="15"/>
  <c r="E8" i="15"/>
  <c r="F8" i="15"/>
  <c r="G8" i="15"/>
  <c r="H8" i="15"/>
  <c r="I8" i="15"/>
  <c r="J8" i="15"/>
  <c r="K8" i="15"/>
  <c r="D9" i="15"/>
  <c r="E9" i="15"/>
  <c r="F9" i="15"/>
  <c r="G9" i="15"/>
  <c r="H9" i="15"/>
  <c r="I9" i="15"/>
  <c r="J9" i="15"/>
  <c r="K9" i="15"/>
  <c r="D10" i="15"/>
  <c r="E10" i="15"/>
  <c r="F10" i="15"/>
  <c r="G10" i="15"/>
  <c r="H10" i="15"/>
  <c r="I10" i="15"/>
  <c r="J10" i="15"/>
  <c r="K10" i="15"/>
  <c r="D11" i="15"/>
  <c r="E11" i="15"/>
  <c r="F11" i="15"/>
  <c r="G11" i="15"/>
  <c r="H11" i="15"/>
  <c r="I11" i="15"/>
  <c r="J11" i="15"/>
  <c r="K11" i="15"/>
  <c r="D12" i="15"/>
  <c r="E12" i="15"/>
  <c r="F12" i="15"/>
  <c r="G12" i="15"/>
  <c r="H12" i="15"/>
  <c r="I12" i="15"/>
  <c r="J12" i="15"/>
  <c r="K12" i="15"/>
  <c r="D13" i="15"/>
  <c r="E13" i="15"/>
  <c r="F13" i="15"/>
  <c r="G13" i="15"/>
  <c r="H13" i="15"/>
  <c r="I13" i="15"/>
  <c r="J13" i="15"/>
  <c r="K13" i="15"/>
  <c r="D14" i="15"/>
  <c r="E14" i="15"/>
  <c r="F14" i="15"/>
  <c r="G14" i="15"/>
  <c r="H14" i="15"/>
  <c r="I14" i="15"/>
  <c r="J14" i="15"/>
  <c r="K14" i="15"/>
  <c r="D15" i="15"/>
  <c r="E15" i="15"/>
  <c r="F15" i="15"/>
  <c r="G15" i="15"/>
  <c r="H15" i="15"/>
  <c r="I15" i="15"/>
  <c r="J15" i="15"/>
  <c r="K15" i="15"/>
  <c r="E8" i="11"/>
  <c r="F8" i="11"/>
  <c r="G8" i="11"/>
  <c r="H8" i="11"/>
  <c r="I8" i="11"/>
  <c r="J8" i="11"/>
  <c r="K8" i="11"/>
  <c r="D8" i="11"/>
  <c r="D6" i="12"/>
  <c r="E6" i="12"/>
  <c r="F6" i="12"/>
  <c r="G6" i="12"/>
  <c r="H6" i="12"/>
  <c r="I6" i="12"/>
  <c r="J6" i="12"/>
  <c r="K6" i="12"/>
  <c r="I15" i="12"/>
  <c r="I14" i="12"/>
  <c r="J15" i="12"/>
  <c r="J14" i="12"/>
  <c r="K15" i="12"/>
  <c r="K14" i="12"/>
  <c r="D28" i="12"/>
  <c r="D27" i="12"/>
  <c r="E28" i="12"/>
  <c r="E27" i="12"/>
  <c r="F28" i="12"/>
  <c r="F27" i="12"/>
  <c r="G28" i="12"/>
  <c r="G27" i="12"/>
  <c r="H28" i="12"/>
  <c r="H27" i="12"/>
  <c r="I28" i="12"/>
  <c r="I27" i="12"/>
  <c r="J28" i="12"/>
  <c r="J27" i="12"/>
  <c r="K28" i="12"/>
  <c r="K27" i="12"/>
  <c r="H31" i="12"/>
  <c r="I31" i="12"/>
  <c r="J31" i="12"/>
  <c r="K31" i="12"/>
  <c r="D36" i="12"/>
  <c r="E36" i="12"/>
  <c r="F36" i="12"/>
  <c r="G36" i="12"/>
  <c r="H36" i="12"/>
  <c r="I36" i="12"/>
  <c r="J36" i="12"/>
  <c r="K36" i="12"/>
  <c r="D37" i="12"/>
  <c r="E37" i="12"/>
  <c r="F37" i="12"/>
  <c r="G37" i="12"/>
  <c r="H37" i="12"/>
  <c r="I37" i="12"/>
  <c r="J37" i="12"/>
  <c r="K37" i="12"/>
  <c r="D38" i="12"/>
  <c r="E38" i="12"/>
  <c r="F38" i="12"/>
  <c r="G38" i="12"/>
  <c r="H38" i="12"/>
  <c r="I38" i="12"/>
  <c r="J38" i="12"/>
  <c r="K38" i="12"/>
  <c r="D13" i="11"/>
  <c r="E13" i="11"/>
  <c r="F13" i="11"/>
  <c r="G13" i="11"/>
  <c r="H13" i="11"/>
  <c r="I13" i="11"/>
  <c r="J13" i="11"/>
  <c r="G16" i="11"/>
  <c r="H16" i="11"/>
  <c r="I16" i="11"/>
  <c r="J16" i="11"/>
  <c r="K16" i="11"/>
  <c r="G21" i="11"/>
  <c r="F21" i="11"/>
  <c r="E21" i="11"/>
  <c r="D21" i="11"/>
  <c r="D19" i="11"/>
  <c r="E19" i="11"/>
  <c r="F19" i="11"/>
  <c r="G19" i="11"/>
  <c r="H21" i="11"/>
  <c r="H19" i="11"/>
  <c r="I21" i="11"/>
  <c r="I19" i="11"/>
  <c r="J21" i="11"/>
  <c r="J19" i="11"/>
  <c r="K21" i="11"/>
  <c r="K19" i="11"/>
  <c r="D24" i="11"/>
  <c r="E24" i="11"/>
  <c r="F24" i="11"/>
  <c r="G24" i="11"/>
  <c r="H24" i="11"/>
  <c r="I24" i="11"/>
  <c r="J24" i="11"/>
  <c r="K24" i="11"/>
  <c r="D25" i="11"/>
  <c r="E25" i="11"/>
  <c r="F25" i="11"/>
  <c r="G25" i="11"/>
  <c r="H25" i="11"/>
  <c r="I25" i="11"/>
  <c r="J25" i="11"/>
  <c r="K25" i="11"/>
  <c r="D26" i="11"/>
  <c r="E26" i="11"/>
  <c r="F26" i="11"/>
  <c r="G26" i="11"/>
  <c r="H26" i="11"/>
  <c r="I26" i="11"/>
  <c r="J26" i="11"/>
  <c r="K26" i="11"/>
  <c r="D27" i="11"/>
  <c r="E27" i="11"/>
  <c r="F27" i="11"/>
  <c r="G27" i="11"/>
  <c r="H27" i="11"/>
  <c r="I27" i="11"/>
  <c r="J27" i="11"/>
  <c r="K27" i="11"/>
  <c r="D34" i="11"/>
  <c r="E34" i="11"/>
  <c r="F34" i="11"/>
  <c r="G34" i="11"/>
  <c r="H34" i="11"/>
  <c r="I34" i="11"/>
  <c r="J34" i="11"/>
  <c r="K34" i="11"/>
  <c r="T17" i="1"/>
  <c r="T18" i="1"/>
  <c r="T19" i="1"/>
  <c r="T20" i="1"/>
  <c r="T21" i="1"/>
  <c r="T22" i="1"/>
  <c r="T23" i="1"/>
  <c r="T24" i="1"/>
  <c r="T25" i="1"/>
  <c r="T26" i="1"/>
  <c r="T27" i="1"/>
  <c r="T28" i="1"/>
  <c r="T29" i="1"/>
  <c r="T30" i="1"/>
  <c r="T31" i="1"/>
  <c r="T32" i="1"/>
  <c r="T33" i="1"/>
  <c r="T34" i="1"/>
  <c r="T35" i="1"/>
  <c r="T36" i="1"/>
  <c r="T37" i="1"/>
  <c r="T38" i="1"/>
  <c r="T39" i="1"/>
  <c r="T40" i="1"/>
  <c r="T41" i="1"/>
  <c r="AG41" i="1"/>
  <c r="AL41" i="1"/>
  <c r="BB41" i="1"/>
  <c r="BK41" i="1"/>
  <c r="BK42" i="1"/>
  <c r="BH42" i="1"/>
  <c r="BL42" i="1"/>
  <c r="BL41" i="1"/>
  <c r="BN41" i="1"/>
  <c r="BO41" i="1"/>
  <c r="BX41" i="1"/>
  <c r="BZ41" i="1"/>
  <c r="CG41" i="1"/>
  <c r="DB41" i="1"/>
  <c r="T42" i="1"/>
  <c r="AG42" i="1"/>
  <c r="AL42" i="1"/>
  <c r="BB42" i="1"/>
  <c r="BN42" i="1"/>
  <c r="BO42" i="1"/>
  <c r="BX42" i="1"/>
  <c r="BZ42" i="1"/>
  <c r="CG42" i="1"/>
  <c r="DB42" i="1"/>
  <c r="T43" i="1"/>
  <c r="AG43" i="1"/>
  <c r="AL43" i="1"/>
  <c r="BB43" i="1"/>
  <c r="BH43" i="1"/>
  <c r="BK43" i="1"/>
  <c r="BL43" i="1"/>
  <c r="BN43" i="1"/>
  <c r="BO43" i="1"/>
  <c r="BX43" i="1"/>
  <c r="BZ43" i="1"/>
  <c r="CG43" i="1"/>
  <c r="DB43" i="1"/>
  <c r="T44" i="1"/>
  <c r="AG44" i="1"/>
  <c r="AL44" i="1"/>
  <c r="BB44" i="1"/>
  <c r="BH44" i="1"/>
  <c r="BK44" i="1"/>
  <c r="BL44" i="1"/>
  <c r="BN44" i="1"/>
  <c r="BO44" i="1"/>
  <c r="BX44" i="1"/>
  <c r="BZ44" i="1"/>
  <c r="CG44" i="1"/>
  <c r="DB44" i="1"/>
  <c r="T45" i="1"/>
  <c r="AG45" i="1"/>
  <c r="AL45" i="1"/>
  <c r="BB45" i="1"/>
  <c r="BH45" i="1"/>
  <c r="BK45" i="1"/>
  <c r="BL45" i="1"/>
  <c r="BN45" i="1"/>
  <c r="BO45" i="1"/>
  <c r="BX45" i="1"/>
  <c r="BZ45" i="1"/>
  <c r="CG45" i="1"/>
  <c r="DB45" i="1"/>
  <c r="T46" i="1"/>
  <c r="AG46" i="1"/>
  <c r="AL46" i="1"/>
  <c r="BB46" i="1"/>
  <c r="BH46" i="1"/>
  <c r="BK46" i="1"/>
  <c r="BL46" i="1"/>
  <c r="BN46" i="1"/>
  <c r="BO46" i="1"/>
  <c r="BX46" i="1"/>
  <c r="BZ46" i="1"/>
  <c r="CG46" i="1"/>
  <c r="DB46" i="1"/>
  <c r="T47" i="1"/>
  <c r="AG47" i="1"/>
  <c r="AL47" i="1"/>
  <c r="BB47" i="1"/>
  <c r="BH47" i="1"/>
  <c r="BK47" i="1"/>
  <c r="BL47" i="1"/>
  <c r="BN47" i="1"/>
  <c r="BO47" i="1"/>
  <c r="BX47" i="1"/>
  <c r="BZ47" i="1"/>
  <c r="CG47" i="1"/>
  <c r="DB47" i="1"/>
  <c r="T48" i="1"/>
  <c r="AG48" i="1"/>
  <c r="AL48" i="1"/>
  <c r="BB48" i="1"/>
  <c r="BH48" i="1"/>
  <c r="BK48" i="1"/>
  <c r="BL48" i="1"/>
  <c r="BN48" i="1"/>
  <c r="BO48" i="1"/>
  <c r="BW48" i="1"/>
  <c r="BX48" i="1"/>
  <c r="BY48" i="1"/>
  <c r="BZ48" i="1"/>
  <c r="DB48" i="1"/>
  <c r="B12" i="10"/>
  <c r="B13" i="10"/>
  <c r="B14" i="10"/>
  <c r="B15" i="10"/>
  <c r="B16" i="10"/>
  <c r="B17" i="10"/>
  <c r="B18" i="10"/>
  <c r="B11" i="9"/>
  <c r="B12" i="9"/>
  <c r="B13" i="9"/>
  <c r="B14" i="9"/>
  <c r="B15" i="9"/>
  <c r="B16" i="9"/>
  <c r="B17" i="9"/>
  <c r="B21" i="9"/>
  <c r="B22" i="9"/>
  <c r="B23" i="9"/>
  <c r="B24" i="9"/>
  <c r="B25" i="9"/>
  <c r="B26" i="9"/>
  <c r="B27" i="9"/>
  <c r="B31" i="9"/>
  <c r="B32" i="9"/>
  <c r="B33" i="9"/>
  <c r="B34" i="9"/>
  <c r="B35" i="9"/>
  <c r="B36" i="9"/>
  <c r="B37" i="9"/>
  <c r="H12" i="10"/>
  <c r="H13" i="10"/>
  <c r="H14" i="10"/>
  <c r="H15" i="10"/>
  <c r="H16" i="10"/>
  <c r="H17" i="10"/>
  <c r="H18" i="10"/>
  <c r="H11" i="10"/>
  <c r="F30" i="17" a="1"/>
  <c r="F30" i="17"/>
  <c r="G30" i="17" a="1"/>
  <c r="G30" i="17"/>
  <c r="H30" i="17" a="1"/>
  <c r="I30" i="17" a="1"/>
  <c r="J30" i="17" a="1"/>
  <c r="K30" i="17" a="1"/>
  <c r="H30" i="17"/>
  <c r="I30" i="17"/>
  <c r="J30" i="17"/>
  <c r="K30" i="17"/>
  <c r="G20" i="17" a="1"/>
  <c r="G20" i="17"/>
  <c r="H20" i="17" a="1"/>
  <c r="I20" i="17" a="1"/>
  <c r="J20" i="17" a="1"/>
  <c r="K20" i="17" a="1"/>
  <c r="H20" i="17"/>
  <c r="I20" i="17"/>
  <c r="J20" i="17"/>
  <c r="K20" i="17"/>
  <c r="F31" i="17"/>
  <c r="G31" i="17"/>
  <c r="H31" i="17"/>
  <c r="I31" i="17"/>
  <c r="J31" i="17"/>
  <c r="K31" i="17"/>
  <c r="G21" i="17"/>
  <c r="H21" i="17"/>
  <c r="I21" i="17"/>
  <c r="J21" i="17"/>
  <c r="K21" i="17"/>
  <c r="F32" i="17"/>
  <c r="G32" i="17"/>
  <c r="H32" i="17"/>
  <c r="I32" i="17"/>
  <c r="J32" i="17"/>
  <c r="K32" i="17"/>
  <c r="G22" i="17"/>
  <c r="H22" i="17"/>
  <c r="I22" i="17"/>
  <c r="J22" i="17"/>
  <c r="K22" i="17"/>
  <c r="F33" i="17"/>
  <c r="G33" i="17"/>
  <c r="H33" i="17"/>
  <c r="I33" i="17"/>
  <c r="J33" i="17"/>
  <c r="K33" i="17"/>
  <c r="G23" i="17"/>
  <c r="H23" i="17"/>
  <c r="I23" i="17"/>
  <c r="J23" i="17"/>
  <c r="K23" i="17"/>
  <c r="F34" i="17"/>
  <c r="G34" i="17"/>
  <c r="H34" i="17"/>
  <c r="I34" i="17"/>
  <c r="J34" i="17"/>
  <c r="K34" i="17"/>
  <c r="G24" i="17"/>
  <c r="H24" i="17"/>
  <c r="I24" i="17"/>
  <c r="J24" i="17"/>
  <c r="K24" i="17"/>
  <c r="F35" i="17"/>
  <c r="G35" i="17"/>
  <c r="H35" i="17"/>
  <c r="I35" i="17"/>
  <c r="J35" i="17"/>
  <c r="K35" i="17"/>
  <c r="G25" i="17"/>
  <c r="H25" i="17"/>
  <c r="I25" i="17"/>
  <c r="J25" i="17"/>
  <c r="K25" i="17"/>
  <c r="F36" i="17"/>
  <c r="G36" i="17"/>
  <c r="H36" i="17"/>
  <c r="I36" i="17"/>
  <c r="J36" i="17"/>
  <c r="K36" i="17"/>
  <c r="G26" i="17"/>
  <c r="H26" i="17"/>
  <c r="I26" i="17"/>
  <c r="J26" i="17"/>
  <c r="K26" i="17"/>
  <c r="F37" i="17"/>
  <c r="G37" i="17"/>
  <c r="H37" i="17"/>
  <c r="I37" i="17"/>
  <c r="J37" i="17"/>
  <c r="K37" i="17"/>
  <c r="G27" i="17"/>
  <c r="H27" i="17"/>
  <c r="I27" i="17"/>
  <c r="J27" i="17"/>
  <c r="K27" i="17"/>
  <c r="K17" i="17"/>
  <c r="J17" i="17"/>
  <c r="I17" i="17"/>
  <c r="H17" i="17"/>
  <c r="G17" i="17"/>
  <c r="K16" i="17"/>
  <c r="J16" i="17"/>
  <c r="I16" i="17"/>
  <c r="H16" i="17"/>
  <c r="G16" i="17"/>
  <c r="K15" i="17"/>
  <c r="J15" i="17"/>
  <c r="I15" i="17"/>
  <c r="H15" i="17"/>
  <c r="G15" i="17"/>
  <c r="K14" i="17"/>
  <c r="J14" i="17"/>
  <c r="I14" i="17"/>
  <c r="H14" i="17"/>
  <c r="G14" i="17"/>
  <c r="K13" i="17"/>
  <c r="J13" i="17"/>
  <c r="I13" i="17"/>
  <c r="H13" i="17"/>
  <c r="G13" i="17"/>
  <c r="K12" i="17"/>
  <c r="J12" i="17"/>
  <c r="I12" i="17"/>
  <c r="H12" i="17"/>
  <c r="G12" i="17"/>
  <c r="K11" i="17"/>
  <c r="J11" i="17"/>
  <c r="I11" i="17"/>
  <c r="H11" i="17"/>
  <c r="G11" i="17"/>
  <c r="K10" i="17"/>
  <c r="J10" i="17"/>
  <c r="I10" i="17"/>
  <c r="H10" i="17"/>
  <c r="G10" i="17"/>
  <c r="D11" i="10"/>
  <c r="D12" i="10"/>
  <c r="D13" i="10"/>
  <c r="D14" i="10"/>
  <c r="D15" i="10"/>
  <c r="D16" i="10"/>
  <c r="D17" i="10"/>
  <c r="D18" i="10"/>
  <c r="F20" i="17" a="1"/>
  <c r="F20" i="17"/>
  <c r="F21" i="17"/>
  <c r="F22" i="17"/>
  <c r="F23" i="17"/>
  <c r="F24" i="17"/>
  <c r="F25" i="17"/>
  <c r="F26" i="17"/>
  <c r="F27" i="17"/>
  <c r="F10" i="17"/>
  <c r="F17" i="17"/>
  <c r="F16" i="17"/>
  <c r="F15" i="17"/>
  <c r="F14" i="17"/>
  <c r="F13" i="17"/>
  <c r="F12" i="17"/>
  <c r="F11" i="17"/>
  <c r="K25" i="12"/>
  <c r="J25" i="12"/>
  <c r="I25" i="12"/>
  <c r="H25" i="12"/>
  <c r="K20" i="12"/>
  <c r="J20" i="12"/>
  <c r="I20" i="12"/>
  <c r="H20" i="12"/>
  <c r="G20" i="12"/>
  <c r="F20" i="12"/>
  <c r="E20" i="12"/>
  <c r="D20" i="12"/>
  <c r="I21" i="10" a="1"/>
  <c r="I21" i="10"/>
  <c r="K21" i="10" a="1"/>
  <c r="K21" i="10"/>
  <c r="I22" i="10"/>
  <c r="K22" i="10"/>
  <c r="I23" i="10"/>
  <c r="K23" i="10"/>
  <c r="I24" i="10"/>
  <c r="K24" i="10"/>
  <c r="I25" i="10"/>
  <c r="K25" i="10"/>
  <c r="I26" i="10"/>
  <c r="K26" i="10"/>
  <c r="I27" i="10"/>
  <c r="K27" i="10"/>
  <c r="I28" i="10"/>
  <c r="K28" i="10"/>
  <c r="I31" i="10" a="1"/>
  <c r="I32" i="10"/>
  <c r="K31" i="10" a="1"/>
  <c r="K32" i="10"/>
  <c r="I12" i="10"/>
  <c r="K12" i="10"/>
  <c r="I33" i="10"/>
  <c r="K33" i="10"/>
  <c r="I13" i="10"/>
  <c r="K13" i="10"/>
  <c r="I34" i="10"/>
  <c r="K34" i="10"/>
  <c r="I14" i="10"/>
  <c r="K14" i="10"/>
  <c r="I35" i="10"/>
  <c r="K35" i="10"/>
  <c r="I15" i="10"/>
  <c r="K15" i="10"/>
  <c r="I36" i="10"/>
  <c r="K36" i="10"/>
  <c r="I16" i="10"/>
  <c r="K16" i="10"/>
  <c r="I37" i="10"/>
  <c r="K37" i="10"/>
  <c r="I17" i="10"/>
  <c r="K17" i="10"/>
  <c r="I38" i="10"/>
  <c r="K38" i="10"/>
  <c r="I18" i="10"/>
  <c r="K18" i="10"/>
  <c r="I31" i="10"/>
  <c r="K31" i="10"/>
  <c r="I11" i="10"/>
  <c r="K11" i="10"/>
  <c r="J11" i="10" a="1"/>
  <c r="J12" i="10"/>
  <c r="J22" i="10"/>
  <c r="P22" i="10"/>
  <c r="I21" i="24"/>
  <c r="J32" i="10"/>
  <c r="P32" i="10"/>
  <c r="I31" i="24"/>
  <c r="J13" i="10"/>
  <c r="J23" i="10"/>
  <c r="P23" i="10"/>
  <c r="I22" i="24"/>
  <c r="J33" i="10"/>
  <c r="P33" i="10"/>
  <c r="I32" i="24"/>
  <c r="J14" i="10"/>
  <c r="J24" i="10"/>
  <c r="P24" i="10"/>
  <c r="I23" i="24"/>
  <c r="J34" i="10"/>
  <c r="P34" i="10"/>
  <c r="I33" i="24"/>
  <c r="J15" i="10"/>
  <c r="J25" i="10"/>
  <c r="P25" i="10"/>
  <c r="I24" i="24"/>
  <c r="J35" i="10"/>
  <c r="P35" i="10"/>
  <c r="I34" i="24"/>
  <c r="J16" i="10"/>
  <c r="J26" i="10"/>
  <c r="P26" i="10"/>
  <c r="I25" i="24"/>
  <c r="J36" i="10"/>
  <c r="P36" i="10"/>
  <c r="I35" i="24"/>
  <c r="J17" i="10"/>
  <c r="J27" i="10"/>
  <c r="P27" i="10"/>
  <c r="I26" i="24"/>
  <c r="J37" i="10"/>
  <c r="P37" i="10"/>
  <c r="I36" i="24"/>
  <c r="J18" i="10"/>
  <c r="J28" i="10"/>
  <c r="P28" i="10"/>
  <c r="I27" i="24"/>
  <c r="J38" i="10"/>
  <c r="P38" i="10"/>
  <c r="I37" i="24"/>
  <c r="J11" i="10"/>
  <c r="J21" i="10"/>
  <c r="P21" i="10"/>
  <c r="I20" i="24"/>
  <c r="J31" i="10"/>
  <c r="P31" i="10"/>
  <c r="I30" i="24"/>
  <c r="I11" i="24"/>
  <c r="I12" i="24"/>
  <c r="I13" i="24"/>
  <c r="I14" i="24"/>
  <c r="I15" i="24"/>
  <c r="I16" i="24"/>
  <c r="I17" i="24"/>
  <c r="I10" i="24"/>
  <c r="K52" i="18"/>
  <c r="J52" i="18"/>
  <c r="I52" i="18"/>
  <c r="H52" i="18"/>
  <c r="G52" i="18"/>
  <c r="F52" i="18"/>
  <c r="E52" i="18"/>
  <c r="D52" i="18"/>
  <c r="P11" i="10"/>
  <c r="P12" i="10"/>
  <c r="P13" i="10"/>
  <c r="P14" i="10"/>
  <c r="P15" i="10"/>
  <c r="P16" i="10"/>
  <c r="P17" i="10"/>
  <c r="P18" i="10"/>
  <c r="D10" i="50" a="1"/>
  <c r="D10" i="50"/>
  <c r="E10" i="50"/>
  <c r="F10" i="50"/>
  <c r="G10" i="50"/>
  <c r="H10" i="50"/>
  <c r="I10" i="50"/>
  <c r="J10" i="50"/>
  <c r="K10" i="50"/>
  <c r="E21" i="10" a="1"/>
  <c r="E28" i="10"/>
  <c r="E27" i="10"/>
  <c r="E26" i="10"/>
  <c r="E25" i="10"/>
  <c r="E24" i="10"/>
  <c r="E23" i="10"/>
  <c r="E22" i="10"/>
  <c r="E21" i="10"/>
  <c r="E12" i="10"/>
  <c r="E13" i="10"/>
  <c r="E14" i="10"/>
  <c r="E15" i="10"/>
  <c r="E16" i="10"/>
  <c r="E17" i="10"/>
  <c r="E18" i="10"/>
  <c r="E11" i="10"/>
  <c r="H20" i="9" a="1"/>
  <c r="H21" i="9"/>
  <c r="H30" i="9" a="1"/>
  <c r="H31" i="9"/>
  <c r="H11" i="9"/>
  <c r="I20" i="9" a="1"/>
  <c r="I21" i="9"/>
  <c r="I30" i="9" a="1"/>
  <c r="I31" i="9"/>
  <c r="I11" i="9"/>
  <c r="M11" i="9"/>
  <c r="D11" i="17"/>
  <c r="G21" i="10" a="1"/>
  <c r="G22" i="10"/>
  <c r="G31" i="10" a="1"/>
  <c r="G32" i="10"/>
  <c r="G12" i="10"/>
  <c r="M21" i="10" a="1"/>
  <c r="M22" i="10"/>
  <c r="L22" i="10"/>
  <c r="M31" i="10" a="1"/>
  <c r="M32" i="10"/>
  <c r="L32" i="10"/>
  <c r="L12" i="10"/>
  <c r="O12" i="10"/>
  <c r="C11" i="17"/>
  <c r="E11" i="17"/>
  <c r="U40" i="28"/>
  <c r="V40" i="28"/>
  <c r="H22" i="9"/>
  <c r="H32" i="9"/>
  <c r="H12" i="9"/>
  <c r="I22" i="9"/>
  <c r="I32" i="9"/>
  <c r="I12" i="9"/>
  <c r="M12" i="9"/>
  <c r="D12" i="17"/>
  <c r="G23" i="10"/>
  <c r="G33" i="10"/>
  <c r="G13" i="10"/>
  <c r="M23" i="10"/>
  <c r="L23" i="10"/>
  <c r="M33" i="10"/>
  <c r="L33" i="10"/>
  <c r="L13" i="10"/>
  <c r="O13" i="10"/>
  <c r="C12" i="17"/>
  <c r="E12" i="17"/>
  <c r="U41" i="28"/>
  <c r="V41" i="28"/>
  <c r="H23" i="9"/>
  <c r="H33" i="9"/>
  <c r="H13" i="9"/>
  <c r="I23" i="9"/>
  <c r="I33" i="9"/>
  <c r="I13" i="9"/>
  <c r="M13" i="9"/>
  <c r="D13" i="17"/>
  <c r="G24" i="10"/>
  <c r="G34" i="10"/>
  <c r="G14" i="10"/>
  <c r="M24" i="10"/>
  <c r="L24" i="10"/>
  <c r="M34" i="10"/>
  <c r="L34" i="10"/>
  <c r="L14" i="10"/>
  <c r="O14" i="10"/>
  <c r="C13" i="17"/>
  <c r="E13" i="17"/>
  <c r="U42" i="28"/>
  <c r="V42" i="28"/>
  <c r="H24" i="9"/>
  <c r="H34" i="9"/>
  <c r="H14" i="9"/>
  <c r="I24" i="9"/>
  <c r="I34" i="9"/>
  <c r="I14" i="9"/>
  <c r="M14" i="9"/>
  <c r="D14" i="17"/>
  <c r="G25" i="10"/>
  <c r="G35" i="10"/>
  <c r="G15" i="10"/>
  <c r="M25" i="10"/>
  <c r="L25" i="10"/>
  <c r="M35" i="10"/>
  <c r="L35" i="10"/>
  <c r="L15" i="10"/>
  <c r="O15" i="10"/>
  <c r="C14" i="17"/>
  <c r="E14" i="17"/>
  <c r="U43" i="28"/>
  <c r="V43" i="28"/>
  <c r="H25" i="9"/>
  <c r="H35" i="9"/>
  <c r="H15" i="9"/>
  <c r="I25" i="9"/>
  <c r="I35" i="9"/>
  <c r="I15" i="9"/>
  <c r="M15" i="9"/>
  <c r="D15" i="17"/>
  <c r="G26" i="10"/>
  <c r="G36" i="10"/>
  <c r="G16" i="10"/>
  <c r="M26" i="10"/>
  <c r="L26" i="10"/>
  <c r="M36" i="10"/>
  <c r="L36" i="10"/>
  <c r="L16" i="10"/>
  <c r="O16" i="10"/>
  <c r="C15" i="17"/>
  <c r="E15" i="17"/>
  <c r="U44" i="28"/>
  <c r="V44" i="28"/>
  <c r="H26" i="9"/>
  <c r="H36" i="9"/>
  <c r="H16" i="9"/>
  <c r="I26" i="9"/>
  <c r="I36" i="9"/>
  <c r="I16" i="9"/>
  <c r="M16" i="9"/>
  <c r="D16" i="17"/>
  <c r="G27" i="10"/>
  <c r="G37" i="10"/>
  <c r="G17" i="10"/>
  <c r="M27" i="10"/>
  <c r="L27" i="10"/>
  <c r="M37" i="10"/>
  <c r="L37" i="10"/>
  <c r="L17" i="10"/>
  <c r="O17" i="10"/>
  <c r="C16" i="17"/>
  <c r="E16" i="17"/>
  <c r="U45" i="28"/>
  <c r="V45" i="28"/>
  <c r="H27" i="9"/>
  <c r="H37" i="9"/>
  <c r="H17" i="9"/>
  <c r="I27" i="9"/>
  <c r="I37" i="9"/>
  <c r="I17" i="9"/>
  <c r="M17" i="9"/>
  <c r="D17" i="17"/>
  <c r="G28" i="10"/>
  <c r="G38" i="10"/>
  <c r="G18" i="10"/>
  <c r="M28" i="10"/>
  <c r="L28" i="10"/>
  <c r="M38" i="10"/>
  <c r="L38" i="10"/>
  <c r="L18" i="10"/>
  <c r="O18" i="10"/>
  <c r="C17" i="17"/>
  <c r="E17" i="17"/>
  <c r="U46" i="28"/>
  <c r="V46" i="28"/>
  <c r="H20" i="9"/>
  <c r="H30" i="9"/>
  <c r="H10" i="9"/>
  <c r="I20" i="9"/>
  <c r="I30" i="9"/>
  <c r="I10" i="9"/>
  <c r="M10" i="9"/>
  <c r="D10" i="17"/>
  <c r="G21" i="10"/>
  <c r="G31" i="10"/>
  <c r="G11" i="10"/>
  <c r="M21" i="10"/>
  <c r="L21" i="10"/>
  <c r="M31" i="10"/>
  <c r="L31" i="10"/>
  <c r="L11" i="10"/>
  <c r="O11" i="10"/>
  <c r="C10" i="17"/>
  <c r="E10" i="17"/>
  <c r="U39" i="28"/>
  <c r="N12" i="54"/>
  <c r="O11" i="57"/>
  <c r="N11" i="57"/>
  <c r="N13" i="54"/>
  <c r="O12" i="57"/>
  <c r="N12" i="57"/>
  <c r="N14" i="54"/>
  <c r="O13" i="57"/>
  <c r="N13" i="57"/>
  <c r="N15" i="54"/>
  <c r="O14" i="57"/>
  <c r="N14" i="57"/>
  <c r="N16" i="54"/>
  <c r="O15" i="57"/>
  <c r="N15" i="57"/>
  <c r="N17" i="54"/>
  <c r="O16" i="57"/>
  <c r="N16" i="57"/>
  <c r="N11" i="54"/>
  <c r="O10" i="57"/>
  <c r="N10" i="57"/>
  <c r="M11" i="57"/>
  <c r="M12" i="57"/>
  <c r="M13" i="57"/>
  <c r="M14" i="57"/>
  <c r="M15" i="57"/>
  <c r="M16" i="57"/>
  <c r="M10" i="57"/>
  <c r="N18" i="54"/>
  <c r="P17" i="56"/>
  <c r="N17" i="56"/>
  <c r="O17" i="56"/>
  <c r="E51" i="56"/>
  <c r="P16" i="56"/>
  <c r="N16" i="56"/>
  <c r="O16" i="56"/>
  <c r="E45" i="56"/>
  <c r="P15" i="56"/>
  <c r="N15" i="56"/>
  <c r="O15" i="56"/>
  <c r="E39" i="56"/>
  <c r="P14" i="56"/>
  <c r="N14" i="56"/>
  <c r="O14" i="56"/>
  <c r="E33" i="56"/>
  <c r="P13" i="56"/>
  <c r="N13" i="56"/>
  <c r="O13" i="56"/>
  <c r="E27" i="56"/>
  <c r="P12" i="56"/>
  <c r="N12" i="56"/>
  <c r="O12" i="56"/>
  <c r="E21" i="56"/>
  <c r="P11" i="56"/>
  <c r="N11" i="56"/>
  <c r="O11" i="56"/>
  <c r="E15" i="56"/>
  <c r="P10" i="56"/>
  <c r="N10" i="56"/>
  <c r="O10" i="56"/>
  <c r="E9" i="56"/>
  <c r="E57" i="56"/>
  <c r="F51" i="56"/>
  <c r="F45" i="56"/>
  <c r="F39" i="56"/>
  <c r="F33" i="56"/>
  <c r="F27" i="56"/>
  <c r="F21" i="56"/>
  <c r="F15" i="56"/>
  <c r="F9" i="56"/>
  <c r="F57" i="56"/>
  <c r="G51" i="56"/>
  <c r="G45" i="56"/>
  <c r="G39" i="56"/>
  <c r="G33" i="56"/>
  <c r="G27" i="56"/>
  <c r="G21" i="56"/>
  <c r="G15" i="56"/>
  <c r="G9" i="56"/>
  <c r="G57" i="56"/>
  <c r="H51" i="56"/>
  <c r="H45" i="56"/>
  <c r="H39" i="56"/>
  <c r="H33" i="56"/>
  <c r="H27" i="56"/>
  <c r="H21" i="56"/>
  <c r="H15" i="56"/>
  <c r="H9" i="56"/>
  <c r="H57" i="56"/>
  <c r="E50" i="56"/>
  <c r="E44" i="56"/>
  <c r="E38" i="56"/>
  <c r="E32" i="56"/>
  <c r="E26" i="56"/>
  <c r="E20" i="56"/>
  <c r="E14" i="56"/>
  <c r="E8" i="56"/>
  <c r="E56" i="56"/>
  <c r="F50" i="56"/>
  <c r="F44" i="56"/>
  <c r="F38" i="56"/>
  <c r="F32" i="56"/>
  <c r="F26" i="56"/>
  <c r="F20" i="56"/>
  <c r="F14" i="56"/>
  <c r="F8" i="56"/>
  <c r="F56" i="56"/>
  <c r="G50" i="56"/>
  <c r="G44" i="56"/>
  <c r="G38" i="56"/>
  <c r="G32" i="56"/>
  <c r="G26" i="56"/>
  <c r="G20" i="56"/>
  <c r="G14" i="56"/>
  <c r="G8" i="56"/>
  <c r="G56" i="56"/>
  <c r="H50" i="56"/>
  <c r="H44" i="56"/>
  <c r="H38" i="56"/>
  <c r="H32" i="56"/>
  <c r="H26" i="56"/>
  <c r="H20" i="56"/>
  <c r="H14" i="56"/>
  <c r="H8" i="56"/>
  <c r="H56" i="56"/>
  <c r="E52" i="56"/>
  <c r="E46" i="56"/>
  <c r="E40" i="56"/>
  <c r="E34" i="56"/>
  <c r="E28" i="56"/>
  <c r="E22" i="56"/>
  <c r="E16" i="56"/>
  <c r="E10" i="56"/>
  <c r="E58" i="56"/>
  <c r="F52" i="56"/>
  <c r="F46" i="56"/>
  <c r="F40" i="56"/>
  <c r="F34" i="56"/>
  <c r="F28" i="56"/>
  <c r="F22" i="56"/>
  <c r="F16" i="56"/>
  <c r="F10" i="56"/>
  <c r="F58" i="56"/>
  <c r="G52" i="56"/>
  <c r="G46" i="56"/>
  <c r="G40" i="56"/>
  <c r="G34" i="56"/>
  <c r="G28" i="56"/>
  <c r="G22" i="56"/>
  <c r="G16" i="56"/>
  <c r="G10" i="56"/>
  <c r="G58" i="56"/>
  <c r="H52" i="56"/>
  <c r="H46" i="56"/>
  <c r="H40" i="56"/>
  <c r="H34" i="56"/>
  <c r="H28" i="56"/>
  <c r="H22" i="56"/>
  <c r="H16" i="56"/>
  <c r="H10" i="56"/>
  <c r="H58" i="56"/>
  <c r="F49" i="56"/>
  <c r="F43" i="56"/>
  <c r="F37" i="56"/>
  <c r="F31" i="56"/>
  <c r="F25" i="56"/>
  <c r="F19" i="56"/>
  <c r="F13" i="56"/>
  <c r="F7" i="56"/>
  <c r="F55" i="56"/>
  <c r="G49" i="56"/>
  <c r="G43" i="56"/>
  <c r="G37" i="56"/>
  <c r="G31" i="56"/>
  <c r="G25" i="56"/>
  <c r="G19" i="56"/>
  <c r="G13" i="56"/>
  <c r="G7" i="56"/>
  <c r="G55" i="56"/>
  <c r="H49" i="56"/>
  <c r="H43" i="56"/>
  <c r="H37" i="56"/>
  <c r="H31" i="56"/>
  <c r="H25" i="56"/>
  <c r="H19" i="56"/>
  <c r="H13" i="56"/>
  <c r="H7" i="56"/>
  <c r="H55" i="56"/>
  <c r="E49" i="56"/>
  <c r="E43" i="56"/>
  <c r="E37" i="56"/>
  <c r="E31" i="56"/>
  <c r="E25" i="56"/>
  <c r="E19" i="56"/>
  <c r="E13" i="56"/>
  <c r="E7" i="56"/>
  <c r="E55" i="56"/>
  <c r="O16" i="55"/>
  <c r="M16" i="55"/>
  <c r="N16" i="55"/>
  <c r="O15" i="55"/>
  <c r="M15" i="55"/>
  <c r="N15" i="55"/>
  <c r="O14" i="55"/>
  <c r="M14" i="55"/>
  <c r="N14" i="55"/>
  <c r="O13" i="55"/>
  <c r="M13" i="55"/>
  <c r="N13" i="55"/>
  <c r="O12" i="55"/>
  <c r="M12" i="55"/>
  <c r="N12" i="55"/>
  <c r="O11" i="55"/>
  <c r="M11" i="55"/>
  <c r="N11" i="55"/>
  <c r="O10" i="55"/>
  <c r="M10" i="55"/>
  <c r="N10" i="55"/>
  <c r="O17" i="51"/>
  <c r="M17" i="51"/>
  <c r="N17" i="51"/>
  <c r="D50" i="51"/>
  <c r="O16" i="51"/>
  <c r="M16" i="51"/>
  <c r="N16" i="51"/>
  <c r="D44" i="51"/>
  <c r="O15" i="51"/>
  <c r="M15" i="51"/>
  <c r="N15" i="51"/>
  <c r="D38" i="51"/>
  <c r="O14" i="51"/>
  <c r="M14" i="51"/>
  <c r="N14" i="51"/>
  <c r="D32" i="51"/>
  <c r="O13" i="51"/>
  <c r="M13" i="51"/>
  <c r="N13" i="51"/>
  <c r="D26" i="51"/>
  <c r="O12" i="51"/>
  <c r="M12" i="51"/>
  <c r="N12" i="51"/>
  <c r="D20" i="51"/>
  <c r="O11" i="51"/>
  <c r="M11" i="51"/>
  <c r="N11" i="51"/>
  <c r="D14" i="51"/>
  <c r="O10" i="51"/>
  <c r="M10" i="51"/>
  <c r="N10" i="51"/>
  <c r="D8" i="51"/>
  <c r="D56" i="51"/>
  <c r="E50" i="51"/>
  <c r="E44" i="51"/>
  <c r="E38" i="51"/>
  <c r="E32" i="51"/>
  <c r="E26" i="51"/>
  <c r="E20" i="51"/>
  <c r="E14" i="51"/>
  <c r="E8" i="51"/>
  <c r="E56" i="51"/>
  <c r="F50" i="51"/>
  <c r="F44" i="51"/>
  <c r="F38" i="51"/>
  <c r="F32" i="51"/>
  <c r="F26" i="51"/>
  <c r="F20" i="51"/>
  <c r="F14" i="51"/>
  <c r="F8" i="51"/>
  <c r="F56" i="51"/>
  <c r="G50" i="51"/>
  <c r="G44" i="51"/>
  <c r="G38" i="51"/>
  <c r="G32" i="51"/>
  <c r="G26" i="51"/>
  <c r="G20" i="51"/>
  <c r="G14" i="51"/>
  <c r="G8" i="51"/>
  <c r="G56" i="51"/>
  <c r="D51" i="51"/>
  <c r="D45" i="51"/>
  <c r="D39" i="51"/>
  <c r="D33" i="51"/>
  <c r="D27" i="51"/>
  <c r="D21" i="51"/>
  <c r="D15" i="51"/>
  <c r="D9" i="51"/>
  <c r="D57" i="51"/>
  <c r="E51" i="51"/>
  <c r="E45" i="51"/>
  <c r="E39" i="51"/>
  <c r="E33" i="51"/>
  <c r="E27" i="51"/>
  <c r="E21" i="51"/>
  <c r="E15" i="51"/>
  <c r="E9" i="51"/>
  <c r="E57" i="51"/>
  <c r="F51" i="51"/>
  <c r="F45" i="51"/>
  <c r="F39" i="51"/>
  <c r="F33" i="51"/>
  <c r="F27" i="51"/>
  <c r="F21" i="51"/>
  <c r="F15" i="51"/>
  <c r="F9" i="51"/>
  <c r="F57" i="51"/>
  <c r="G51" i="51"/>
  <c r="G45" i="51"/>
  <c r="G39" i="51"/>
  <c r="G33" i="51"/>
  <c r="G27" i="51"/>
  <c r="G21" i="51"/>
  <c r="G15" i="51"/>
  <c r="G9" i="51"/>
  <c r="G57" i="51"/>
  <c r="D52" i="51"/>
  <c r="D46" i="51"/>
  <c r="D40" i="51"/>
  <c r="D34" i="51"/>
  <c r="D28" i="51"/>
  <c r="D22" i="51"/>
  <c r="D16" i="51"/>
  <c r="D10" i="51"/>
  <c r="D58" i="51"/>
  <c r="E52" i="51"/>
  <c r="E46" i="51"/>
  <c r="E40" i="51"/>
  <c r="E34" i="51"/>
  <c r="E28" i="51"/>
  <c r="E22" i="51"/>
  <c r="E16" i="51"/>
  <c r="E10" i="51"/>
  <c r="E58" i="51"/>
  <c r="F52" i="51"/>
  <c r="F46" i="51"/>
  <c r="F40" i="51"/>
  <c r="F34" i="51"/>
  <c r="F28" i="51"/>
  <c r="F22" i="51"/>
  <c r="F16" i="51"/>
  <c r="F10" i="51"/>
  <c r="F58" i="51"/>
  <c r="G52" i="51"/>
  <c r="G46" i="51"/>
  <c r="G40" i="51"/>
  <c r="G34" i="51"/>
  <c r="G28" i="51"/>
  <c r="G22" i="51"/>
  <c r="G16" i="51"/>
  <c r="G10" i="51"/>
  <c r="G58" i="51"/>
  <c r="E49" i="51"/>
  <c r="E43" i="51"/>
  <c r="E37" i="51"/>
  <c r="E31" i="51"/>
  <c r="E25" i="51"/>
  <c r="E19" i="51"/>
  <c r="E13" i="51"/>
  <c r="E7" i="51"/>
  <c r="E55" i="51"/>
  <c r="F49" i="51"/>
  <c r="F43" i="51"/>
  <c r="F37" i="51"/>
  <c r="F31" i="51"/>
  <c r="F25" i="51"/>
  <c r="F19" i="51"/>
  <c r="F13" i="51"/>
  <c r="F7" i="51"/>
  <c r="F55" i="51"/>
  <c r="G49" i="51"/>
  <c r="G43" i="51"/>
  <c r="G37" i="51"/>
  <c r="G31" i="51"/>
  <c r="G25" i="51"/>
  <c r="G19" i="51"/>
  <c r="G13" i="51"/>
  <c r="G7" i="51"/>
  <c r="G55" i="51"/>
  <c r="D49" i="51"/>
  <c r="D43" i="51"/>
  <c r="D37" i="51"/>
  <c r="D31" i="51"/>
  <c r="D25" i="51"/>
  <c r="D19" i="51"/>
  <c r="D13" i="51"/>
  <c r="D7" i="51"/>
  <c r="D55" i="51"/>
  <c r="M20" i="9"/>
  <c r="D20" i="17"/>
  <c r="O21" i="10"/>
  <c r="C20" i="17"/>
  <c r="E20" i="17"/>
  <c r="L20" i="17"/>
  <c r="M21" i="9"/>
  <c r="D21" i="17"/>
  <c r="O22" i="10"/>
  <c r="C21" i="17"/>
  <c r="E21" i="17"/>
  <c r="L21" i="17"/>
  <c r="M22" i="9"/>
  <c r="D22" i="17"/>
  <c r="O23" i="10"/>
  <c r="C22" i="17"/>
  <c r="E22" i="17"/>
  <c r="L22" i="17"/>
  <c r="M23" i="9"/>
  <c r="D23" i="17"/>
  <c r="O24" i="10"/>
  <c r="C23" i="17"/>
  <c r="E23" i="17"/>
  <c r="L23" i="17"/>
  <c r="M24" i="9"/>
  <c r="D24" i="17"/>
  <c r="O25" i="10"/>
  <c r="C24" i="17"/>
  <c r="E24" i="17"/>
  <c r="L24" i="17"/>
  <c r="M25" i="9"/>
  <c r="D25" i="17"/>
  <c r="O26" i="10"/>
  <c r="C25" i="17"/>
  <c r="E25" i="17"/>
  <c r="L25" i="17"/>
  <c r="M26" i="9"/>
  <c r="D26" i="17"/>
  <c r="O27" i="10"/>
  <c r="C26" i="17"/>
  <c r="E26" i="17"/>
  <c r="L26" i="17"/>
  <c r="M27" i="9"/>
  <c r="D27" i="17"/>
  <c r="O28" i="10"/>
  <c r="C27" i="17"/>
  <c r="E27" i="17"/>
  <c r="L27" i="17"/>
  <c r="P21" i="17"/>
  <c r="P22" i="17"/>
  <c r="P23" i="17"/>
  <c r="P24" i="17"/>
  <c r="P25" i="17"/>
  <c r="P26" i="17"/>
  <c r="P27" i="17"/>
  <c r="P20" i="17"/>
  <c r="M31" i="9"/>
  <c r="D31" i="17"/>
  <c r="O32" i="10"/>
  <c r="C31" i="17"/>
  <c r="E31" i="17"/>
  <c r="M31" i="17"/>
  <c r="M32" i="9"/>
  <c r="D32" i="17"/>
  <c r="O33" i="10"/>
  <c r="C32" i="17"/>
  <c r="E32" i="17"/>
  <c r="M32" i="17"/>
  <c r="M33" i="9"/>
  <c r="D33" i="17"/>
  <c r="O34" i="10"/>
  <c r="C33" i="17"/>
  <c r="E33" i="17"/>
  <c r="M33" i="17"/>
  <c r="M34" i="9"/>
  <c r="D34" i="17"/>
  <c r="O35" i="10"/>
  <c r="C34" i="17"/>
  <c r="E34" i="17"/>
  <c r="M34" i="17"/>
  <c r="M35" i="9"/>
  <c r="D35" i="17"/>
  <c r="O36" i="10"/>
  <c r="C35" i="17"/>
  <c r="E35" i="17"/>
  <c r="M35" i="17"/>
  <c r="M36" i="9"/>
  <c r="D36" i="17"/>
  <c r="O37" i="10"/>
  <c r="C36" i="17"/>
  <c r="E36" i="17"/>
  <c r="M36" i="17"/>
  <c r="M37" i="9"/>
  <c r="D37" i="17"/>
  <c r="O38" i="10"/>
  <c r="C37" i="17"/>
  <c r="E37" i="17"/>
  <c r="M37" i="17"/>
  <c r="M21" i="17"/>
  <c r="M22" i="17"/>
  <c r="M23" i="17"/>
  <c r="M24" i="17"/>
  <c r="M25" i="17"/>
  <c r="M26" i="17"/>
  <c r="M27" i="17"/>
  <c r="N27" i="17"/>
  <c r="N26" i="17"/>
  <c r="N25" i="17"/>
  <c r="N24" i="17"/>
  <c r="N23" i="17"/>
  <c r="N22" i="17"/>
  <c r="N21" i="17"/>
  <c r="N20" i="17"/>
  <c r="N11" i="17"/>
  <c r="N12" i="17"/>
  <c r="N13" i="17"/>
  <c r="N14" i="17"/>
  <c r="N15" i="17"/>
  <c r="N16" i="17"/>
  <c r="N17" i="17"/>
  <c r="M30" i="9"/>
  <c r="D30" i="17"/>
  <c r="O31" i="10"/>
  <c r="C30" i="17"/>
  <c r="E30" i="17"/>
  <c r="M30" i="17"/>
  <c r="M20" i="17"/>
  <c r="N10" i="17"/>
  <c r="L10" i="17"/>
  <c r="L17" i="17"/>
  <c r="L16" i="17"/>
  <c r="L15" i="17"/>
  <c r="L14" i="17"/>
  <c r="L13" i="17"/>
  <c r="L12" i="17"/>
  <c r="L11" i="17"/>
  <c r="J21" i="24"/>
  <c r="J31" i="24"/>
  <c r="J11" i="24"/>
  <c r="J22" i="24"/>
  <c r="J32" i="24"/>
  <c r="J12" i="24"/>
  <c r="J23" i="24"/>
  <c r="J33" i="24"/>
  <c r="J13" i="24"/>
  <c r="J24" i="24"/>
  <c r="J34" i="24"/>
  <c r="J14" i="24"/>
  <c r="J25" i="24"/>
  <c r="J35" i="24"/>
  <c r="J15" i="24"/>
  <c r="J26" i="24"/>
  <c r="J36" i="24"/>
  <c r="J16" i="24"/>
  <c r="J27" i="24"/>
  <c r="J37" i="24"/>
  <c r="J17" i="24"/>
  <c r="J20" i="24"/>
  <c r="J30" i="24"/>
  <c r="J10" i="24"/>
  <c r="H21" i="24"/>
  <c r="H31" i="24"/>
  <c r="H11" i="24"/>
  <c r="H22" i="24"/>
  <c r="H32" i="24"/>
  <c r="H12" i="24"/>
  <c r="H23" i="24"/>
  <c r="H33" i="24"/>
  <c r="H13" i="24"/>
  <c r="H24" i="24"/>
  <c r="H34" i="24"/>
  <c r="H14" i="24"/>
  <c r="H25" i="24"/>
  <c r="H35" i="24"/>
  <c r="H15" i="24"/>
  <c r="H26" i="24"/>
  <c r="H36" i="24"/>
  <c r="H16" i="24"/>
  <c r="H27" i="24"/>
  <c r="H37" i="24"/>
  <c r="H17" i="24"/>
  <c r="H20" i="24"/>
  <c r="H30" i="24"/>
  <c r="H10" i="24"/>
  <c r="Q11" i="10"/>
  <c r="Q18" i="10"/>
  <c r="Q17" i="10"/>
  <c r="Q16" i="10"/>
  <c r="Q15" i="10"/>
  <c r="Q14" i="10"/>
  <c r="Q13" i="10"/>
  <c r="Q12" i="10"/>
  <c r="Q21" i="10"/>
  <c r="Q28" i="10"/>
  <c r="Q27" i="10"/>
  <c r="Q26" i="10"/>
  <c r="Q25" i="10"/>
  <c r="Q24" i="10"/>
  <c r="Q23" i="10"/>
  <c r="Q22" i="10"/>
  <c r="K20" i="24"/>
  <c r="K30" i="24"/>
  <c r="K10" i="24"/>
  <c r="K21" i="24"/>
  <c r="K31" i="24"/>
  <c r="K11" i="24"/>
  <c r="K22" i="24"/>
  <c r="K32" i="24"/>
  <c r="K12" i="24"/>
  <c r="K23" i="24"/>
  <c r="K33" i="24"/>
  <c r="K13" i="24"/>
  <c r="K24" i="24"/>
  <c r="K34" i="24"/>
  <c r="K14" i="24"/>
  <c r="K25" i="24"/>
  <c r="K35" i="24"/>
  <c r="K15" i="24"/>
  <c r="K26" i="24"/>
  <c r="K36" i="24"/>
  <c r="K16" i="24"/>
  <c r="K27" i="24"/>
  <c r="K37" i="24"/>
  <c r="K17" i="24"/>
  <c r="Q32" i="10"/>
  <c r="Q33" i="10"/>
  <c r="Q34" i="10"/>
  <c r="Q35" i="10"/>
  <c r="Q36" i="10"/>
  <c r="Q37" i="10"/>
  <c r="Q38" i="10"/>
  <c r="Q31" i="10"/>
  <c r="L37" i="17"/>
  <c r="L36" i="17"/>
  <c r="L35" i="17"/>
  <c r="L34" i="17"/>
  <c r="L33" i="17"/>
  <c r="L32" i="17"/>
  <c r="L31" i="17"/>
  <c r="L30" i="17"/>
  <c r="N37" i="17"/>
  <c r="N36" i="17"/>
  <c r="N35" i="17"/>
  <c r="N34" i="17"/>
  <c r="N33" i="17"/>
  <c r="N32" i="17"/>
  <c r="N31" i="17"/>
  <c r="P37" i="17"/>
  <c r="P36" i="17"/>
  <c r="P35" i="17"/>
  <c r="P34" i="17"/>
  <c r="P33" i="17"/>
  <c r="P32" i="17"/>
  <c r="P31" i="17"/>
  <c r="N30" i="17"/>
  <c r="P30" i="17"/>
  <c r="DM42" i="1"/>
  <c r="DM43" i="1"/>
  <c r="DM44" i="1"/>
  <c r="DM45" i="1"/>
  <c r="DM46" i="1"/>
  <c r="DM47" i="1"/>
  <c r="DM48" i="1"/>
  <c r="DM41" i="1"/>
  <c r="DJ42" i="1"/>
  <c r="DL42" i="1"/>
  <c r="DJ43" i="1"/>
  <c r="DL43" i="1"/>
  <c r="DJ44" i="1"/>
  <c r="DL44" i="1"/>
  <c r="DJ45" i="1"/>
  <c r="DL45" i="1"/>
  <c r="DJ46" i="1"/>
  <c r="DL46" i="1"/>
  <c r="DJ47" i="1"/>
  <c r="DL47" i="1"/>
  <c r="DJ48" i="1"/>
  <c r="DL48" i="1"/>
  <c r="DJ41" i="1"/>
  <c r="DL41" i="1"/>
  <c r="DI42" i="1"/>
  <c r="DI43" i="1"/>
  <c r="DI44" i="1"/>
  <c r="DI45" i="1"/>
  <c r="DI46" i="1"/>
  <c r="DI47" i="1"/>
  <c r="DI48" i="1"/>
  <c r="DI41" i="1"/>
  <c r="O46" i="28"/>
  <c r="Q46" i="28"/>
  <c r="S46" i="28"/>
  <c r="W46" i="28"/>
  <c r="O39" i="28"/>
  <c r="Q39" i="28"/>
  <c r="Q38" i="28"/>
  <c r="Q37" i="28"/>
  <c r="Q36" i="28"/>
  <c r="Q35" i="28"/>
  <c r="Q34" i="28"/>
  <c r="Q33" i="28"/>
  <c r="Q32" i="28"/>
  <c r="Q31" i="28"/>
  <c r="Q30" i="28"/>
  <c r="Q29" i="28"/>
  <c r="Q28" i="28"/>
  <c r="Q27" i="28"/>
  <c r="Q26" i="28"/>
  <c r="Q25" i="28"/>
  <c r="Q24" i="28"/>
  <c r="Q23" i="28"/>
  <c r="Q22" i="28"/>
  <c r="Q21" i="28"/>
  <c r="Q20" i="28"/>
  <c r="Q19" i="28"/>
  <c r="Q18" i="28"/>
  <c r="Q17" i="28"/>
  <c r="Q16" i="28"/>
  <c r="Q15" i="28"/>
  <c r="Q14" i="28"/>
  <c r="S14" i="28"/>
  <c r="W14" i="28"/>
  <c r="S15" i="28"/>
  <c r="W15" i="28"/>
  <c r="S16" i="28"/>
  <c r="W16" i="28"/>
  <c r="S17" i="28"/>
  <c r="W17" i="28"/>
  <c r="S18" i="28"/>
  <c r="W18" i="28"/>
  <c r="S19" i="28"/>
  <c r="W19" i="28"/>
  <c r="S20" i="28"/>
  <c r="W20" i="28"/>
  <c r="S21" i="28"/>
  <c r="W21" i="28"/>
  <c r="S22" i="28"/>
  <c r="W22" i="28"/>
  <c r="S23" i="28"/>
  <c r="W23" i="28"/>
  <c r="S24" i="28"/>
  <c r="W24" i="28"/>
  <c r="S25" i="28"/>
  <c r="W25" i="28"/>
  <c r="S26" i="28"/>
  <c r="W26" i="28"/>
  <c r="S27" i="28"/>
  <c r="W27" i="28"/>
  <c r="S28" i="28"/>
  <c r="W28" i="28"/>
  <c r="S29" i="28"/>
  <c r="W29" i="28"/>
  <c r="S30" i="28"/>
  <c r="W30" i="28"/>
  <c r="S31" i="28"/>
  <c r="W31" i="28"/>
  <c r="S32" i="28"/>
  <c r="W32" i="28"/>
  <c r="S33" i="28"/>
  <c r="W33" i="28"/>
  <c r="S34" i="28"/>
  <c r="W34" i="28"/>
  <c r="S35" i="28"/>
  <c r="W35" i="28"/>
  <c r="S36" i="28"/>
  <c r="W36" i="28"/>
  <c r="S37" i="28"/>
  <c r="W37" i="28"/>
  <c r="S38" i="28"/>
  <c r="W38" i="28"/>
  <c r="S39" i="28"/>
  <c r="W39" i="28"/>
  <c r="O40" i="28"/>
  <c r="Q40" i="28"/>
  <c r="S40" i="28"/>
  <c r="W40" i="28"/>
  <c r="O41" i="28"/>
  <c r="Q41" i="28"/>
  <c r="S41" i="28"/>
  <c r="W41" i="28"/>
  <c r="O42" i="28"/>
  <c r="Q42" i="28"/>
  <c r="S42" i="28"/>
  <c r="W42" i="28"/>
  <c r="O43" i="28"/>
  <c r="Q43" i="28"/>
  <c r="S43" i="28"/>
  <c r="W43" i="28"/>
  <c r="O44" i="28"/>
  <c r="Q44" i="28"/>
  <c r="S44" i="28"/>
  <c r="W44" i="28"/>
  <c r="O45" i="28"/>
  <c r="Q45" i="28"/>
  <c r="S45" i="28"/>
  <c r="W45" i="28"/>
  <c r="Q13" i="28"/>
  <c r="S13" i="28"/>
  <c r="W13" i="28"/>
  <c r="J20" i="9"/>
  <c r="J21" i="9"/>
  <c r="J22" i="9"/>
  <c r="J23" i="9"/>
  <c r="J24" i="9"/>
  <c r="J25" i="9"/>
  <c r="J26" i="9"/>
  <c r="J27" i="9"/>
  <c r="J11" i="9"/>
  <c r="J12" i="9"/>
  <c r="J13" i="9"/>
  <c r="J14" i="9"/>
  <c r="J15" i="9"/>
  <c r="J16" i="9"/>
  <c r="J17" i="9"/>
  <c r="J10" i="9"/>
  <c r="J31" i="9"/>
  <c r="J32" i="9"/>
  <c r="J33" i="9"/>
  <c r="J34" i="9"/>
  <c r="J35" i="9"/>
  <c r="J36" i="9"/>
  <c r="J37" i="9"/>
  <c r="J30" i="9"/>
  <c r="M11" i="10"/>
  <c r="M12" i="10"/>
  <c r="M13" i="10"/>
  <c r="M14" i="10"/>
  <c r="M15" i="10"/>
  <c r="M16" i="10"/>
  <c r="M17" i="10"/>
  <c r="M18" i="10"/>
  <c r="N10" i="9"/>
  <c r="N17" i="9"/>
  <c r="N16" i="9"/>
  <c r="N15" i="9"/>
  <c r="N14" i="9"/>
  <c r="N13" i="9"/>
  <c r="N12" i="9"/>
  <c r="N11" i="9"/>
  <c r="N20" i="9"/>
  <c r="N27" i="9"/>
  <c r="N26" i="9"/>
  <c r="N25" i="9"/>
  <c r="N24" i="9"/>
  <c r="N23" i="9"/>
  <c r="N22" i="9"/>
  <c r="N21" i="9"/>
  <c r="N30" i="9"/>
  <c r="N37" i="9"/>
  <c r="N36" i="9"/>
  <c r="N35" i="9"/>
  <c r="N34" i="9"/>
  <c r="N33" i="9"/>
  <c r="N32" i="9"/>
  <c r="N31" i="9"/>
  <c r="R29" i="49"/>
  <c r="R28" i="49"/>
  <c r="R27" i="49"/>
  <c r="R26" i="49"/>
  <c r="R25" i="49"/>
  <c r="R24" i="49"/>
  <c r="R23" i="49"/>
  <c r="R22" i="49"/>
  <c r="R30" i="49"/>
  <c r="D37" i="18" a="1"/>
  <c r="D37" i="18"/>
  <c r="E37" i="18"/>
  <c r="F37" i="18"/>
  <c r="G37" i="18"/>
  <c r="H37" i="18"/>
  <c r="I37" i="18"/>
  <c r="J37" i="18"/>
  <c r="K37" i="18"/>
  <c r="D47" i="18" a="1"/>
  <c r="D47" i="18"/>
  <c r="E47" i="18"/>
  <c r="F47" i="18"/>
  <c r="G47" i="18"/>
  <c r="H47" i="18"/>
  <c r="I47" i="18"/>
  <c r="J47" i="18"/>
  <c r="D6" i="50" a="1"/>
  <c r="D6" i="50"/>
  <c r="D12" i="50"/>
  <c r="E6" i="50"/>
  <c r="E12" i="50"/>
  <c r="F6" i="50"/>
  <c r="F12" i="50"/>
  <c r="G6" i="50"/>
  <c r="G12" i="50"/>
  <c r="H6" i="50"/>
  <c r="H12" i="50"/>
  <c r="I6" i="50"/>
  <c r="I12" i="50"/>
  <c r="J6" i="50"/>
  <c r="K6" i="50"/>
  <c r="J12" i="50"/>
  <c r="P10" i="55" a="1"/>
  <c r="P10" i="55"/>
  <c r="L10" i="55"/>
  <c r="D7" i="55"/>
  <c r="P11" i="55"/>
  <c r="L11" i="55"/>
  <c r="D13" i="55"/>
  <c r="P12" i="55"/>
  <c r="L12" i="55"/>
  <c r="D19" i="55"/>
  <c r="P13" i="55"/>
  <c r="L13" i="55"/>
  <c r="D25" i="55"/>
  <c r="P14" i="55"/>
  <c r="L14" i="55"/>
  <c r="D31" i="55"/>
  <c r="P15" i="55"/>
  <c r="L15" i="55"/>
  <c r="D37" i="55"/>
  <c r="E7" i="55"/>
  <c r="E13" i="55"/>
  <c r="E19" i="55"/>
  <c r="E25" i="55"/>
  <c r="E31" i="55"/>
  <c r="E37" i="55"/>
  <c r="F7" i="55"/>
  <c r="F13" i="55"/>
  <c r="F19" i="55"/>
  <c r="F25" i="55"/>
  <c r="F31" i="55"/>
  <c r="F37" i="55"/>
  <c r="G7" i="55"/>
  <c r="G13" i="55"/>
  <c r="G19" i="55"/>
  <c r="G25" i="55"/>
  <c r="G31" i="55"/>
  <c r="G37" i="55"/>
  <c r="D8" i="55"/>
  <c r="D14" i="55"/>
  <c r="D20" i="55"/>
  <c r="D26" i="55"/>
  <c r="D32" i="55"/>
  <c r="D38" i="55"/>
  <c r="E8" i="55"/>
  <c r="E14" i="55"/>
  <c r="E20" i="55"/>
  <c r="E26" i="55"/>
  <c r="E32" i="55"/>
  <c r="E38" i="55"/>
  <c r="F8" i="55"/>
  <c r="F14" i="55"/>
  <c r="F20" i="55"/>
  <c r="F26" i="55"/>
  <c r="F32" i="55"/>
  <c r="F38" i="55"/>
  <c r="G8" i="55"/>
  <c r="G14" i="55"/>
  <c r="G20" i="55"/>
  <c r="G26" i="55"/>
  <c r="G32" i="55"/>
  <c r="G38" i="55"/>
  <c r="D9" i="55"/>
  <c r="D15" i="55"/>
  <c r="D21" i="55"/>
  <c r="D27" i="55"/>
  <c r="D33" i="55"/>
  <c r="D39" i="55"/>
  <c r="E9" i="55"/>
  <c r="E15" i="55"/>
  <c r="E21" i="55"/>
  <c r="E27" i="55"/>
  <c r="E33" i="55"/>
  <c r="E39" i="55"/>
  <c r="F9" i="55"/>
  <c r="F15" i="55"/>
  <c r="F21" i="55"/>
  <c r="F27" i="55"/>
  <c r="F33" i="55"/>
  <c r="F39" i="55"/>
  <c r="G9" i="55"/>
  <c r="G15" i="55"/>
  <c r="G21" i="55"/>
  <c r="G27" i="55"/>
  <c r="G33" i="55"/>
  <c r="G39" i="55"/>
  <c r="D10" i="55"/>
  <c r="D16" i="55"/>
  <c r="D22" i="55"/>
  <c r="D28" i="55"/>
  <c r="D34" i="55"/>
  <c r="D40" i="55"/>
  <c r="E10" i="55"/>
  <c r="E16" i="55"/>
  <c r="E22" i="55"/>
  <c r="E28" i="55"/>
  <c r="E34" i="55"/>
  <c r="E40" i="55"/>
  <c r="F10" i="55"/>
  <c r="F16" i="55"/>
  <c r="F22" i="55"/>
  <c r="F28" i="55"/>
  <c r="F34" i="55"/>
  <c r="F40" i="55"/>
  <c r="G10" i="55"/>
  <c r="G16" i="55"/>
  <c r="G22" i="55"/>
  <c r="G28" i="55"/>
  <c r="G34" i="55"/>
  <c r="G40" i="55"/>
  <c r="P16" i="55"/>
  <c r="L16" i="55"/>
  <c r="D43" i="55"/>
  <c r="D49" i="55"/>
  <c r="G43" i="55"/>
  <c r="G49" i="55"/>
  <c r="F43" i="55"/>
  <c r="F49" i="55"/>
  <c r="E43" i="55"/>
  <c r="E49" i="55"/>
  <c r="G46" i="55"/>
  <c r="G52" i="55"/>
  <c r="F46" i="55"/>
  <c r="F52" i="55"/>
  <c r="E46" i="55"/>
  <c r="E52" i="55"/>
  <c r="D46" i="55"/>
  <c r="D52" i="55"/>
  <c r="G45" i="55"/>
  <c r="G51" i="55"/>
  <c r="F45" i="55"/>
  <c r="F51" i="55"/>
  <c r="E45" i="55"/>
  <c r="E51" i="55"/>
  <c r="D45" i="55"/>
  <c r="D51" i="55"/>
  <c r="G44" i="55"/>
  <c r="G50" i="55"/>
  <c r="F44" i="55"/>
  <c r="F50" i="55"/>
  <c r="E44" i="55"/>
  <c r="E50" i="55"/>
  <c r="D44" i="55"/>
  <c r="D50" i="55"/>
  <c r="P10" i="57" a="1"/>
  <c r="P15" i="57"/>
  <c r="L15" i="57"/>
  <c r="D37" i="57"/>
  <c r="P14" i="57"/>
  <c r="L14" i="57"/>
  <c r="D31" i="57"/>
  <c r="P13" i="57"/>
  <c r="L13" i="57"/>
  <c r="D25" i="57"/>
  <c r="P12" i="57"/>
  <c r="L12" i="57"/>
  <c r="D19" i="57"/>
  <c r="P11" i="57"/>
  <c r="L11" i="57"/>
  <c r="D13" i="57"/>
  <c r="P10" i="57"/>
  <c r="L10" i="57"/>
  <c r="D7" i="57"/>
  <c r="P16" i="57"/>
  <c r="L16" i="57"/>
  <c r="D43" i="57"/>
  <c r="D49" i="57"/>
  <c r="E37" i="57"/>
  <c r="E31" i="57"/>
  <c r="E25" i="57"/>
  <c r="E19" i="57"/>
  <c r="E13" i="57"/>
  <c r="E7" i="57"/>
  <c r="E43" i="57"/>
  <c r="E49" i="57"/>
  <c r="F37" i="57"/>
  <c r="F31" i="57"/>
  <c r="F25" i="57"/>
  <c r="F19" i="57"/>
  <c r="F13" i="57"/>
  <c r="F7" i="57"/>
  <c r="F43" i="57"/>
  <c r="F49" i="57"/>
  <c r="G37" i="57"/>
  <c r="G31" i="57"/>
  <c r="G25" i="57"/>
  <c r="G19" i="57"/>
  <c r="G13" i="57"/>
  <c r="G7" i="57"/>
  <c r="G43" i="57"/>
  <c r="G49" i="57"/>
  <c r="D38" i="57"/>
  <c r="D32" i="57"/>
  <c r="D26" i="57"/>
  <c r="D20" i="57"/>
  <c r="D14" i="57"/>
  <c r="D8" i="57"/>
  <c r="D44" i="57"/>
  <c r="D50" i="57"/>
  <c r="E38" i="57"/>
  <c r="E32" i="57"/>
  <c r="E26" i="57"/>
  <c r="E20" i="57"/>
  <c r="E14" i="57"/>
  <c r="E8" i="57"/>
  <c r="E44" i="57"/>
  <c r="E50" i="57"/>
  <c r="F38" i="57"/>
  <c r="F32" i="57"/>
  <c r="F26" i="57"/>
  <c r="F20" i="57"/>
  <c r="F14" i="57"/>
  <c r="F8" i="57"/>
  <c r="F44" i="57"/>
  <c r="F50" i="57"/>
  <c r="G38" i="57"/>
  <c r="G32" i="57"/>
  <c r="G26" i="57"/>
  <c r="G20" i="57"/>
  <c r="G14" i="57"/>
  <c r="G8" i="57"/>
  <c r="G44" i="57"/>
  <c r="G50" i="57"/>
  <c r="D39" i="57"/>
  <c r="D33" i="57"/>
  <c r="D27" i="57"/>
  <c r="D21" i="57"/>
  <c r="D15" i="57"/>
  <c r="D9" i="57"/>
  <c r="D45" i="57"/>
  <c r="D51" i="57"/>
  <c r="E39" i="57"/>
  <c r="E33" i="57"/>
  <c r="E27" i="57"/>
  <c r="E21" i="57"/>
  <c r="E15" i="57"/>
  <c r="E9" i="57"/>
  <c r="E45" i="57"/>
  <c r="E51" i="57"/>
  <c r="F39" i="57"/>
  <c r="F33" i="57"/>
  <c r="F27" i="57"/>
  <c r="F21" i="57"/>
  <c r="F15" i="57"/>
  <c r="F9" i="57"/>
  <c r="F45" i="57"/>
  <c r="F51" i="57"/>
  <c r="G39" i="57"/>
  <c r="G33" i="57"/>
  <c r="G27" i="57"/>
  <c r="G21" i="57"/>
  <c r="G15" i="57"/>
  <c r="G9" i="57"/>
  <c r="G45" i="57"/>
  <c r="G51" i="57"/>
  <c r="D40" i="57"/>
  <c r="D34" i="57"/>
  <c r="D28" i="57"/>
  <c r="D22" i="57"/>
  <c r="D16" i="57"/>
  <c r="D10" i="57"/>
  <c r="D46" i="57"/>
  <c r="D52" i="57"/>
  <c r="E40" i="57"/>
  <c r="E34" i="57"/>
  <c r="E28" i="57"/>
  <c r="E22" i="57"/>
  <c r="E16" i="57"/>
  <c r="E10" i="57"/>
  <c r="E46" i="57"/>
  <c r="E52" i="57"/>
  <c r="F40" i="57"/>
  <c r="F34" i="57"/>
  <c r="F28" i="57"/>
  <c r="F22" i="57"/>
  <c r="F16" i="57"/>
  <c r="F10" i="57"/>
  <c r="F46" i="57"/>
  <c r="F52" i="57"/>
  <c r="G40" i="57"/>
  <c r="G34" i="57"/>
  <c r="G28" i="57"/>
  <c r="G22" i="57"/>
  <c r="G16" i="57"/>
  <c r="G10" i="57"/>
  <c r="G46" i="57"/>
  <c r="G52" i="57"/>
</calcChain>
</file>

<file path=xl/sharedStrings.xml><?xml version="1.0" encoding="utf-8"?>
<sst xmlns="http://schemas.openxmlformats.org/spreadsheetml/2006/main" count="2748" uniqueCount="1118">
  <si>
    <t>Liabilities of BIS reporting banks vis-a-vis official monetary institutions, mn of USD</t>
  </si>
  <si>
    <t>Of which: private portfolios</t>
  </si>
  <si>
    <t>China</t>
  </si>
  <si>
    <t xml:space="preserve">Middle-East oil exporters (onshore) </t>
  </si>
  <si>
    <t>China foreign exchange reserves</t>
  </si>
  <si>
    <t>IFS line 1d.d.</t>
  </si>
  <si>
    <t>December 2009</t>
  </si>
  <si>
    <t>Foreign exchange.xls</t>
  </si>
  <si>
    <t>China securities held as reserve assets (est.)</t>
  </si>
  <si>
    <t>0,85 times foreign exchange reserves</t>
  </si>
  <si>
    <t>Foreign exchange reserve of non-CPIS non oil non China countries, total securities</t>
  </si>
  <si>
    <t>Assume debt=0,74* forex reservei</t>
  </si>
  <si>
    <t>Assume equity = 0,01 * forex reserve</t>
  </si>
  <si>
    <t>For 2008, see Regression.do</t>
  </si>
  <si>
    <t>Regression.do</t>
  </si>
  <si>
    <t>Raw derived eq liab &gt; reported liab, excluding Netherlands</t>
  </si>
  <si>
    <t>Raw derived debt liab &gt; reported liab, excluding Netherlands</t>
  </si>
  <si>
    <t>CPIS and EWNII</t>
  </si>
  <si>
    <t>CPIS August 2010, EWNII August 2009</t>
  </si>
  <si>
    <t>Augmented Derived equity liabilities of non EWNII countries</t>
  </si>
  <si>
    <t>Augmented Derived debt liabilities of non EWNII countries</t>
  </si>
  <si>
    <t>Equity liabilities of SIFC</t>
  </si>
  <si>
    <t>Debt liabilities of SIFC</t>
  </si>
  <si>
    <t>Memo: CPIS derived eq liabilities of countries not in EWNII</t>
  </si>
  <si>
    <t>Of which: Total Debt assets SEFER+SSIO</t>
  </si>
  <si>
    <t>Other private assets CPIS</t>
  </si>
  <si>
    <t>CPIS-derived debt liab for EWN countries with no break other debt/portfolio debt</t>
  </si>
  <si>
    <t>Missing years of CPIS-reporting countries, equity</t>
  </si>
  <si>
    <t>Missing years of CPIS-reporting countries, debt</t>
  </si>
  <si>
    <t>CPIS reported</t>
  </si>
  <si>
    <t>Cayman</t>
  </si>
  <si>
    <t>ST debt liabilities of IOs, bn of USD</t>
  </si>
  <si>
    <t>Memo: derived debt liab of IO</t>
  </si>
  <si>
    <t>Ratio CPIS / BIS</t>
  </si>
  <si>
    <t>Derived equity liab of IO</t>
  </si>
  <si>
    <t>Total estimated assets of ME oil exporters</t>
  </si>
  <si>
    <t>TIC + assumption on US share</t>
  </si>
  <si>
    <t>TIC: March 2010</t>
  </si>
  <si>
    <t>See OilExporters.xls</t>
  </si>
  <si>
    <t>Oil exporters</t>
  </si>
  <si>
    <t>Non reserve assets of other non-CPIS reporting countries</t>
  </si>
  <si>
    <t>Non-reserve equity assets of non-CPIS non China non-oil non EWNII countries</t>
  </si>
  <si>
    <t>Non-reserve debt assets of non-CPIS non China non-oil non EWNII countries</t>
  </si>
  <si>
    <t>Reserve assets of other non-CPIS reporting countries</t>
  </si>
  <si>
    <t>Bilateralaugmented.dta / Regression.do</t>
  </si>
  <si>
    <t>For 2008, using % change CPIS</t>
  </si>
  <si>
    <t>See regression.do</t>
  </si>
  <si>
    <t>Foreign exchange reserve of non-CPIS non-oil non-China countries, equity</t>
  </si>
  <si>
    <t>Foreign exchange reserve of non-CPIS non-oil non-China countries, debt</t>
  </si>
  <si>
    <t>assume securities= 0,75* forex reserve</t>
  </si>
  <si>
    <t>Of which: SEFER + SSIO</t>
  </si>
  <si>
    <t>Of which: Total equity assets SEFER+SSIO</t>
  </si>
  <si>
    <t>BIS Table 5C</t>
  </si>
  <si>
    <t>September 2010</t>
  </si>
  <si>
    <t>Table5C.xls</t>
  </si>
  <si>
    <t>Share of equities in Ireland PI Liab</t>
  </si>
  <si>
    <t>Extrapolation of the debt/equity gap between IIP incl. SFIs and excl. SFIs in 2001 and 2002 assuming the same breakdown for the gap than in 2003</t>
  </si>
  <si>
    <t>Source in this file</t>
  </si>
  <si>
    <t>CorrectedLiab.xls</t>
  </si>
  <si>
    <t>SPEs assets are not included in CPIS (see metadata)</t>
  </si>
  <si>
    <t>ME oil exp = Bahrain, Iran, Iraq, Kuwait, Oman, Qatar, Saudi Arabia, and the United Arab Emirates</t>
  </si>
  <si>
    <t>Excluding Kuwait and Bahrain</t>
  </si>
  <si>
    <t>PI assets germany source IMF IIP Dec 2009</t>
  </si>
  <si>
    <t>PI assets germany source CPIS August 2010</t>
  </si>
  <si>
    <t>Equity liabilities EWNII</t>
  </si>
  <si>
    <t>Debt liab EWNII</t>
  </si>
  <si>
    <t>Of which: equities</t>
  </si>
  <si>
    <t>IFS line 1d.d. and EWNII</t>
  </si>
  <si>
    <t>OilExporters.xls</t>
  </si>
  <si>
    <t>I use EWNII data when IFS does not give reserve, i.E. bahrain and Iran (and assume 2008=2007)</t>
  </si>
  <si>
    <t>Reserve assets of ME oil exporters</t>
  </si>
  <si>
    <t>Luxembourg portfolio equity liabilities</t>
  </si>
  <si>
    <t>Luxembourg portfolio debt liab</t>
  </si>
  <si>
    <t>Ireland portfolio equity lyab</t>
  </si>
  <si>
    <t>Ireland portfolio debt liab</t>
  </si>
  <si>
    <t>EUR/USD (IMF IFS) year-end</t>
  </si>
  <si>
    <t>Share of equities in LUX PI liabilities</t>
  </si>
  <si>
    <t>Lower bound for SIFC liabilities</t>
  </si>
  <si>
    <t>BIS Table 11</t>
  </si>
  <si>
    <t>DebtSecs(Table11).xls</t>
  </si>
  <si>
    <t>None</t>
  </si>
  <si>
    <t>Other</t>
  </si>
  <si>
    <t>Memo: CPIS derived debt liabilities of countries not in EWNII</t>
  </si>
  <si>
    <t>Cayman Islands non bank sector, equities</t>
  </si>
  <si>
    <t>Cayman Islands  non bank sector, debt</t>
  </si>
  <si>
    <t>[1]</t>
  </si>
  <si>
    <t>[2]</t>
  </si>
  <si>
    <t>[3]</t>
  </si>
  <si>
    <t>[4]</t>
  </si>
  <si>
    <t>[5]</t>
  </si>
  <si>
    <t>[6]</t>
  </si>
  <si>
    <t>[7]</t>
  </si>
  <si>
    <t>[8]</t>
  </si>
  <si>
    <t>[9]</t>
  </si>
  <si>
    <t>[10]</t>
  </si>
  <si>
    <t>[11]</t>
  </si>
  <si>
    <t>[12]</t>
  </si>
  <si>
    <t>[13]</t>
  </si>
  <si>
    <t>CPIS assets</t>
  </si>
  <si>
    <t>A</t>
  </si>
  <si>
    <t>C1</t>
  </si>
  <si>
    <t>For 2008, based on IMF</t>
  </si>
  <si>
    <t>Total</t>
  </si>
  <si>
    <t>LT debt liabilities of IOs, bn of USD</t>
  </si>
  <si>
    <t>[14]</t>
  </si>
  <si>
    <t>Assumption: SIFC = 8,5% of cross-border secs positions</t>
  </si>
  <si>
    <t>Lane&amp;MilesiFerreti (2010)</t>
  </si>
  <si>
    <t>Average share Ireland-Lux</t>
  </si>
  <si>
    <t>See robustness checks in OtherCPIS.xls</t>
  </si>
  <si>
    <t>Memo: Cayman Islands bank sector, equities</t>
  </si>
  <si>
    <t>Memo: Cayman Islands bank sector, debt</t>
  </si>
  <si>
    <t>For 2001: use % change of total Cayman assets</t>
  </si>
  <si>
    <t>Correction for CPIS reporting countries</t>
  </si>
  <si>
    <t>IMF BOPS</t>
  </si>
  <si>
    <t>Date of release</t>
  </si>
  <si>
    <t>August 2009</t>
  </si>
  <si>
    <t>Missing SIFCs</t>
  </si>
  <si>
    <t>EWNII and IMF aggregates + correc Netherlands</t>
  </si>
  <si>
    <t>Portfolio liabilities of SIFCs</t>
  </si>
  <si>
    <t>Debt assets of SPEs in Netherlands</t>
  </si>
  <si>
    <t>Of which Taiwan total reserve</t>
  </si>
  <si>
    <t>Foreign Exchange reserve of CPIS countries</t>
  </si>
  <si>
    <t>–</t>
  </si>
  <si>
    <t>Note</t>
  </si>
  <si>
    <t>Raw Data source</t>
  </si>
  <si>
    <t>CPIS Table 12.2</t>
  </si>
  <si>
    <t>August 2010</t>
  </si>
  <si>
    <t>Non-reserve debt assets of non-CPIS non-China non-oil countries</t>
  </si>
  <si>
    <t>Foreign exchange reserve China+non-CPIS Middle-East Oil exporters</t>
  </si>
  <si>
    <t>COFER</t>
  </si>
  <si>
    <t>June 2010</t>
  </si>
  <si>
    <t>cofer_June2010.xls</t>
  </si>
  <si>
    <t>IFS</t>
  </si>
  <si>
    <t>IFS lilne 1d.d (foreign exchange), juste like in COFER</t>
  </si>
  <si>
    <t>[15]</t>
  </si>
  <si>
    <t>MissingStocks.do / MissingStocks.dta</t>
  </si>
  <si>
    <t>CPIS Table 12.1</t>
  </si>
  <si>
    <t>Netherlands IIP</t>
  </si>
  <si>
    <t>March 2010</t>
  </si>
  <si>
    <t>CPIS-derived eq liab for countries not in EWNII  (includes Intern orga.)</t>
  </si>
  <si>
    <t xml:space="preserve"> Billions of current USD</t>
  </si>
  <si>
    <t>TIC Survey and CPIS</t>
  </si>
  <si>
    <t>March 2010 / August 2010</t>
  </si>
  <si>
    <t>See methodo in OtherCPIS.xls</t>
  </si>
  <si>
    <t>PI assets Singapore source IMF IIP Dec 2009</t>
  </si>
  <si>
    <t>PI assets Singapore source CPIS August 2010</t>
  </si>
  <si>
    <t>PI assets Singapore source EWNII</t>
  </si>
  <si>
    <t>Total foreign exchange reserve COFER</t>
  </si>
  <si>
    <t>EWNII</t>
  </si>
  <si>
    <t>Equity liabilities IMF IIPs</t>
  </si>
  <si>
    <t>Debt liabilities IMF IIPs</t>
  </si>
  <si>
    <t>Liabilities</t>
  </si>
  <si>
    <t>Assets</t>
  </si>
  <si>
    <t>Series</t>
  </si>
  <si>
    <t>Extrapolation</t>
  </si>
  <si>
    <t>Total Debt assets CPIS</t>
  </si>
  <si>
    <t>Panel A: All securities</t>
  </si>
  <si>
    <t>Total equity assets CPIS</t>
  </si>
  <si>
    <t>Equty liabilities smaller in EWN than derived from CPIS</t>
  </si>
  <si>
    <t>Debt liabilities smaller in EWN than derived from CPIS</t>
  </si>
  <si>
    <t>Middle-East oil exporters onshore assets</t>
  </si>
  <si>
    <t>Correction for non-CPIS reporting countries</t>
  </si>
  <si>
    <t>Non-reserve equity assets of non-CPIS non-China non-oil countries</t>
  </si>
  <si>
    <t>Netherlands missing equity liabilities</t>
  </si>
  <si>
    <t>Netherlands missing debt liabilities</t>
  </si>
  <si>
    <t>Of which: Ios</t>
  </si>
  <si>
    <t>Total equity assets EWN</t>
  </si>
  <si>
    <t>Total Debt assets EWN</t>
  </si>
  <si>
    <t>&gt;&gt; a corriger avec assets Netherlands………..</t>
  </si>
  <si>
    <t>Equities assets of SPEs in Netherlands</t>
  </si>
  <si>
    <t>Missing liabilities in EWNII compared to dervied CPIS</t>
  </si>
  <si>
    <t>As a % of EWNII liabilities</t>
  </si>
  <si>
    <t>CPIS-derived debt liab for countries not in EWNII  (inclus Intern orga.)</t>
  </si>
  <si>
    <t>Includes long term (bonds and notes) and short term (money market) debt</t>
  </si>
  <si>
    <t>International debt securities, bn of USD</t>
  </si>
  <si>
    <t>Cayman Islands non-bank sector</t>
  </si>
  <si>
    <t>SPEs liab not included in EWNII (= IMF IIP)</t>
  </si>
  <si>
    <t>OtherCPIS.xls</t>
  </si>
  <si>
    <t>CPIS</t>
  </si>
  <si>
    <t>Of which: China</t>
  </si>
  <si>
    <t>I use bilateral gravity model for U.S. share</t>
  </si>
  <si>
    <t xml:space="preserve">U.S. securities / Total foreign securities </t>
  </si>
  <si>
    <t>[23]</t>
  </si>
  <si>
    <t>Total U.S. securities held by China (TIC)</t>
  </si>
  <si>
    <t>[22]</t>
  </si>
  <si>
    <t>U.S. short-term securites held by China (TIC)</t>
  </si>
  <si>
    <t>[21]</t>
  </si>
  <si>
    <t xml:space="preserve">    Of which: equities</t>
  </si>
  <si>
    <t>[20]</t>
  </si>
  <si>
    <t>U.S. long term securities held by China (TIC)</t>
  </si>
  <si>
    <t>[19]</t>
  </si>
  <si>
    <t>U.S. assets</t>
  </si>
  <si>
    <t>Public assets / total assets</t>
  </si>
  <si>
    <t>[18]</t>
  </si>
  <si>
    <t xml:space="preserve">    Of which: debt</t>
  </si>
  <si>
    <t>[17]</t>
  </si>
  <si>
    <t>[16]</t>
  </si>
  <si>
    <t>Total foreign securities held by China</t>
  </si>
  <si>
    <t>Total assets</t>
  </si>
  <si>
    <r>
      <t xml:space="preserve">    </t>
    </r>
    <r>
      <rPr>
        <i/>
        <sz val="14"/>
        <rFont val="Arial"/>
      </rPr>
      <t>Of which: debt</t>
    </r>
  </si>
  <si>
    <r>
      <t xml:space="preserve">    </t>
    </r>
    <r>
      <rPr>
        <i/>
        <sz val="14"/>
        <rFont val="Arial"/>
      </rPr>
      <t>Of which: equities</t>
    </r>
  </si>
  <si>
    <t>Prefered estimate</t>
  </si>
  <si>
    <t>n.a.</t>
  </si>
  <si>
    <t>International Investment Position</t>
  </si>
  <si>
    <t>External Wealth of Nations II, August 2009</t>
  </si>
  <si>
    <t>Private assets</t>
  </si>
  <si>
    <t>Foreign portfolio reserves (85% of exchange res.)</t>
  </si>
  <si>
    <t>Foreign exchange reserves</t>
  </si>
  <si>
    <t>Memo: total reserve minus gold</t>
  </si>
  <si>
    <t>Public assets</t>
  </si>
  <si>
    <t xml:space="preserve">   Debt</t>
  </si>
  <si>
    <t>[28]</t>
  </si>
  <si>
    <t>[27]</t>
  </si>
  <si>
    <t>Net portfolio position</t>
  </si>
  <si>
    <t>[26]</t>
  </si>
  <si>
    <t>[24]</t>
  </si>
  <si>
    <t xml:space="preserve">   U.S. equities on non-fund sector (TIC)</t>
  </si>
  <si>
    <t>[25]</t>
  </si>
  <si>
    <t>Equities</t>
  </si>
  <si>
    <t xml:space="preserve">   International debt (BIS)</t>
  </si>
  <si>
    <t>Debt</t>
  </si>
  <si>
    <t>Banks + Funds (CPIS + CIMA)</t>
  </si>
  <si>
    <t xml:space="preserve">   Of which: debt </t>
  </si>
  <si>
    <t xml:space="preserve">   Of which: equities</t>
  </si>
  <si>
    <t>Fund assets (CIMA)</t>
  </si>
  <si>
    <t xml:space="preserve">   Of which: debt</t>
  </si>
  <si>
    <t>Bank assets (CPIS)</t>
  </si>
  <si>
    <t>Consistency checks</t>
  </si>
  <si>
    <t>Total assets (est. from TIC + gravity)</t>
  </si>
  <si>
    <t>Estimated share of U.S. securities (gravity)</t>
  </si>
  <si>
    <t xml:space="preserve">   Short term debt</t>
  </si>
  <si>
    <t xml:space="preserve">   Long term debt</t>
  </si>
  <si>
    <t xml:space="preserve">   Equities</t>
  </si>
  <si>
    <t>Holdings of U.S. securities (TIC)</t>
  </si>
  <si>
    <t>A1</t>
  </si>
  <si>
    <t>A2</t>
  </si>
  <si>
    <t>A3</t>
  </si>
  <si>
    <t>A4</t>
  </si>
  <si>
    <t>A5</t>
  </si>
  <si>
    <t>A6</t>
  </si>
  <si>
    <t>A7</t>
  </si>
  <si>
    <t>A8</t>
  </si>
  <si>
    <t>A9</t>
  </si>
  <si>
    <t>A10</t>
  </si>
  <si>
    <t>A11</t>
  </si>
  <si>
    <t>EWNII liabilities</t>
  </si>
  <si>
    <t>Correction to EWNII data</t>
  </si>
  <si>
    <t>Netherlands SFIs</t>
  </si>
  <si>
    <t>Cayman Islands</t>
  </si>
  <si>
    <t xml:space="preserve">   Creditor derived debt liabilities</t>
  </si>
  <si>
    <t xml:space="preserve">   Creditor-derived equity liabilities</t>
  </si>
  <si>
    <t>Small OFCs</t>
  </si>
  <si>
    <t>Other small OFCs</t>
  </si>
  <si>
    <t>Non EWNII countries</t>
  </si>
  <si>
    <t>Liechtenstein</t>
  </si>
  <si>
    <t>[37]</t>
  </si>
  <si>
    <t>BVI</t>
  </si>
  <si>
    <t>[36]</t>
  </si>
  <si>
    <t>Netherland Antilles</t>
  </si>
  <si>
    <t>[35]</t>
  </si>
  <si>
    <t>Isle of Man</t>
  </si>
  <si>
    <t>[34]</t>
  </si>
  <si>
    <t>Guernsey</t>
  </si>
  <si>
    <t>[33]</t>
  </si>
  <si>
    <t>Jersey</t>
  </si>
  <si>
    <t>[32]</t>
  </si>
  <si>
    <t>[31]</t>
  </si>
  <si>
    <t>Bermuda</t>
  </si>
  <si>
    <t>[30]</t>
  </si>
  <si>
    <t>Bahamas</t>
  </si>
  <si>
    <t>[29]</t>
  </si>
  <si>
    <t>Memo: creditor-derived equity liabilities</t>
  </si>
  <si>
    <t>Memo: non-fund equity liabilities / U.S.</t>
  </si>
  <si>
    <t>Portfolio equity liabilities</t>
  </si>
  <si>
    <t>Memo: Creditor-derived debt liabilities</t>
  </si>
  <si>
    <t>Memo: International debt issued (BIS)</t>
  </si>
  <si>
    <t>Portfolio debt liabilities</t>
  </si>
  <si>
    <t>Memo: small OFCs / Total</t>
  </si>
  <si>
    <t>Panel B: Equities</t>
  </si>
  <si>
    <t>Panel C: Debt</t>
  </si>
  <si>
    <t>Cross-border debt / International debt</t>
  </si>
  <si>
    <t>Equity liabilities of non EWNII non SIFC</t>
  </si>
  <si>
    <t>Debt liabilities of non EWNII non SIFC</t>
  </si>
  <si>
    <t>Equal to derived liab</t>
  </si>
  <si>
    <t>CPIS-augmented</t>
  </si>
  <si>
    <t>No debt data</t>
  </si>
  <si>
    <t>No portfolio debt data in EWNII</t>
  </si>
  <si>
    <t>Data = IMF or derived liab</t>
  </si>
  <si>
    <t>raw CPIS derived liabilities &gt; reported liabilities</t>
  </si>
  <si>
    <t>International organizations</t>
  </si>
  <si>
    <t>Discrepancy</t>
  </si>
  <si>
    <t>Missing wealth / Cross-border securities</t>
  </si>
  <si>
    <t>Luxembourg</t>
  </si>
  <si>
    <t>Ireland</t>
  </si>
  <si>
    <t>Cayman islands</t>
  </si>
  <si>
    <t>Kuwait</t>
  </si>
  <si>
    <t>Bahrain</t>
  </si>
  <si>
    <t xml:space="preserve">     Saudi Arabia's net oil balance / Middle East net oil bal.</t>
  </si>
  <si>
    <t>Saudi Arabia's foreign securities (Reserve + SWF + pension)</t>
  </si>
  <si>
    <t xml:space="preserve">Setser &amp; Ziemba (2009) estimate of GCC foreign assets </t>
  </si>
  <si>
    <t xml:space="preserve">     Japanese assets / U.S. assets</t>
  </si>
  <si>
    <t xml:space="preserve">     Of which: equities</t>
  </si>
  <si>
    <t>Japanese securities held by Middle-East oil exporters (CPIS)</t>
  </si>
  <si>
    <t>Portfolios held as reserve assets (75% of reserves)</t>
  </si>
  <si>
    <t xml:space="preserve">Implied total securities held onshore by ME oil exporters </t>
  </si>
  <si>
    <t xml:space="preserve">    Assumed U.S. share</t>
  </si>
  <si>
    <t>Total U.S. securities held onshore by ME oil exp. (est., TIC)</t>
  </si>
  <si>
    <t>Total U.S.debt securities held onshore by ME oil exp. (est.)</t>
  </si>
  <si>
    <t xml:space="preserve">    Memo: Total U.S. short term claims (i.e. incl. bank accounts) </t>
  </si>
  <si>
    <t>U.S. short-term securities held onshore by ME oil exp. (est., TIC)</t>
  </si>
  <si>
    <t xml:space="preserve">    Of which: long-term debt</t>
  </si>
  <si>
    <t>Bahrain + Kuwait</t>
  </si>
  <si>
    <t>A12</t>
  </si>
  <si>
    <t>A13</t>
  </si>
  <si>
    <t xml:space="preserve">    Of which: Bahrain + Kuwait</t>
  </si>
  <si>
    <t>[38]</t>
  </si>
  <si>
    <t>Small International Financial Centers</t>
  </si>
  <si>
    <t>Foreign portfolio reserves (75% of exchange res.)</t>
  </si>
  <si>
    <r>
      <t xml:space="preserve">    </t>
    </r>
    <r>
      <rPr>
        <i/>
        <sz val="14"/>
        <rFont val="Arial"/>
      </rPr>
      <t>Of which: equities (1%)</t>
    </r>
  </si>
  <si>
    <r>
      <t xml:space="preserve">    </t>
    </r>
    <r>
      <rPr>
        <i/>
        <sz val="14"/>
        <rFont val="Arial"/>
      </rPr>
      <t>Of which: debt (74%)</t>
    </r>
  </si>
  <si>
    <t>External Wealth of Nations II countries</t>
  </si>
  <si>
    <r>
      <t xml:space="preserve">      </t>
    </r>
    <r>
      <rPr>
        <i/>
        <sz val="14"/>
        <rFont val="Arial"/>
      </rPr>
      <t>Of which: equities</t>
    </r>
  </si>
  <si>
    <r>
      <t xml:space="preserve">      </t>
    </r>
    <r>
      <rPr>
        <i/>
        <sz val="14"/>
        <rFont val="Arial"/>
      </rPr>
      <t>Of which: debt</t>
    </r>
  </si>
  <si>
    <t xml:space="preserve">   Memo: Taiwan</t>
  </si>
  <si>
    <t xml:space="preserve">   Memo: British Virgin Islands</t>
  </si>
  <si>
    <t>Belgium</t>
  </si>
  <si>
    <t>Germany</t>
  </si>
  <si>
    <t>Greece</t>
  </si>
  <si>
    <t>Malaysia</t>
  </si>
  <si>
    <t>Singapore</t>
  </si>
  <si>
    <t>United Kingdom</t>
  </si>
  <si>
    <t>Canada</t>
  </si>
  <si>
    <t>Panama</t>
  </si>
  <si>
    <t>Cyprus</t>
  </si>
  <si>
    <t>Egypt</t>
  </si>
  <si>
    <t>India</t>
  </si>
  <si>
    <t xml:space="preserve">Other </t>
  </si>
  <si>
    <t>China, P.R.</t>
  </si>
  <si>
    <t>Panel A: Equities</t>
  </si>
  <si>
    <t>Panel B: Debt</t>
  </si>
  <si>
    <t>U.K.</t>
  </si>
  <si>
    <t>United States</t>
  </si>
  <si>
    <t>Netherlands</t>
  </si>
  <si>
    <t>Swtizerland</t>
  </si>
  <si>
    <t xml:space="preserve">. </t>
  </si>
  <si>
    <t>Residual adjustement (unexplained discrepancy in Stata)</t>
  </si>
  <si>
    <t>Switzerland</t>
  </si>
  <si>
    <t>France</t>
  </si>
  <si>
    <t>Japan</t>
  </si>
  <si>
    <t>World market cap</t>
  </si>
  <si>
    <t>Missing wealth / World market cap</t>
  </si>
  <si>
    <t>Zimbabwe</t>
  </si>
  <si>
    <t>Zambia</t>
  </si>
  <si>
    <t>Yemen, Republic of</t>
  </si>
  <si>
    <t>Western Sahara</t>
  </si>
  <si>
    <t>West Bank and Gaza Strip</t>
  </si>
  <si>
    <t>Wallis and Futuna Islands</t>
  </si>
  <si>
    <t>Virgin Islands, U.S.</t>
  </si>
  <si>
    <t>Virgin Islands, British</t>
  </si>
  <si>
    <t>Vietnam</t>
  </si>
  <si>
    <t>Venezuela, República Bolivariana de</t>
  </si>
  <si>
    <t>Vatican  City State</t>
  </si>
  <si>
    <t>Vanuatu</t>
  </si>
  <si>
    <t>Uzbekistan</t>
  </si>
  <si>
    <t>Uruguay</t>
  </si>
  <si>
    <t>United States Minor Outlying Islands</t>
  </si>
  <si>
    <t>United Arab Emirates</t>
  </si>
  <si>
    <t>Ukraine</t>
  </si>
  <si>
    <t>Uganda</t>
  </si>
  <si>
    <t>Tuvalu</t>
  </si>
  <si>
    <t>Turks and Caicos Islands</t>
  </si>
  <si>
    <t>Turkmenistan</t>
  </si>
  <si>
    <t>Turkey</t>
  </si>
  <si>
    <t>Tunisia</t>
  </si>
  <si>
    <t>Trinidad and Tobago</t>
  </si>
  <si>
    <t>Tonga</t>
  </si>
  <si>
    <t>Tokelau</t>
  </si>
  <si>
    <t>Togo</t>
  </si>
  <si>
    <t>Timor-Leste</t>
  </si>
  <si>
    <t>Thailand</t>
  </si>
  <si>
    <t>Tanzania</t>
  </si>
  <si>
    <t>Tajikistan</t>
  </si>
  <si>
    <t>Taiwan Province of China</t>
  </si>
  <si>
    <t>São Tomé and Príncipe</t>
  </si>
  <si>
    <t>Syrian Arab Republic</t>
  </si>
  <si>
    <t>Sweden</t>
  </si>
  <si>
    <t>Swaziland</t>
  </si>
  <si>
    <t>Suriname</t>
  </si>
  <si>
    <t>Sudan</t>
  </si>
  <si>
    <t>St. Vincent and the Grenadines</t>
  </si>
  <si>
    <t>St. Pierre and Miquelon</t>
  </si>
  <si>
    <t>St. Lucia</t>
  </si>
  <si>
    <t>St. Kitts and Nevis</t>
  </si>
  <si>
    <t>St. Helena</t>
  </si>
  <si>
    <t>Sri Lanka</t>
  </si>
  <si>
    <t>Spain</t>
  </si>
  <si>
    <t>South Africa</t>
  </si>
  <si>
    <t>Somalia</t>
  </si>
  <si>
    <t>Solomon Islands</t>
  </si>
  <si>
    <t>Slovenia</t>
  </si>
  <si>
    <t>Slovak Republic</t>
  </si>
  <si>
    <t>Sierra Leone</t>
  </si>
  <si>
    <t>Seychelles</t>
  </si>
  <si>
    <t>Serbia, Republic of</t>
  </si>
  <si>
    <t>Senegal</t>
  </si>
  <si>
    <t>Saudi Arabia</t>
  </si>
  <si>
    <t>San Marino</t>
  </si>
  <si>
    <t>Samoa</t>
  </si>
  <si>
    <t>Réunion</t>
  </si>
  <si>
    <t>Rwanda</t>
  </si>
  <si>
    <t>Russian Federation</t>
  </si>
  <si>
    <t>Romania</t>
  </si>
  <si>
    <t>Qatar</t>
  </si>
  <si>
    <t>Puerto Rico</t>
  </si>
  <si>
    <t>Portugal</t>
  </si>
  <si>
    <t>Poland</t>
  </si>
  <si>
    <t>Pitcairn</t>
  </si>
  <si>
    <t>Philippines</t>
  </si>
  <si>
    <t>Peru</t>
  </si>
  <si>
    <t>Paraguay</t>
  </si>
  <si>
    <t>Papua New Guinea</t>
  </si>
  <si>
    <t>Palau</t>
  </si>
  <si>
    <t>Pakistan</t>
  </si>
  <si>
    <t>Oman</t>
  </si>
  <si>
    <t>Norway</t>
  </si>
  <si>
    <t>Norfolk Island</t>
  </si>
  <si>
    <t>Niue</t>
  </si>
  <si>
    <t>Nigeria</t>
  </si>
  <si>
    <t>Niger</t>
  </si>
  <si>
    <t>Nicaragua</t>
  </si>
  <si>
    <t>New Zealand</t>
  </si>
  <si>
    <t>New Caledonia</t>
  </si>
  <si>
    <t>Netherlands Antilles</t>
  </si>
  <si>
    <t>Nepal</t>
  </si>
  <si>
    <t>Nauru</t>
  </si>
  <si>
    <t>Namibia</t>
  </si>
  <si>
    <t>Myanmar</t>
  </si>
  <si>
    <t>Mozambique</t>
  </si>
  <si>
    <t>Morocco</t>
  </si>
  <si>
    <t>Montserrat</t>
  </si>
  <si>
    <t>Montenegro, Republic of</t>
  </si>
  <si>
    <t>Mongolia</t>
  </si>
  <si>
    <t>Monaco</t>
  </si>
  <si>
    <t>Moldova</t>
  </si>
  <si>
    <t>Micronesia, Federated States of</t>
  </si>
  <si>
    <t>Mexico</t>
  </si>
  <si>
    <t>Mayotte</t>
  </si>
  <si>
    <t>Mauritius</t>
  </si>
  <si>
    <t>Mauritania</t>
  </si>
  <si>
    <t>Martinique</t>
  </si>
  <si>
    <t>Marshall Islands</t>
  </si>
  <si>
    <t>Malta</t>
  </si>
  <si>
    <t>Mali</t>
  </si>
  <si>
    <t>Maldives</t>
  </si>
  <si>
    <t>Malawi</t>
  </si>
  <si>
    <t>Madagascar</t>
  </si>
  <si>
    <t>Macedonia, FYR</t>
  </si>
  <si>
    <t>Macao SAR of China</t>
  </si>
  <si>
    <t>Lithuania</t>
  </si>
  <si>
    <t>Libya</t>
  </si>
  <si>
    <t>Liberia</t>
  </si>
  <si>
    <t>Lesotho</t>
  </si>
  <si>
    <t>Lebanon</t>
  </si>
  <si>
    <t>Latvia</t>
  </si>
  <si>
    <t>Lao People's Democratic Republic</t>
  </si>
  <si>
    <t>Kyrgyz Republic</t>
  </si>
  <si>
    <t>Korea, Republic of</t>
  </si>
  <si>
    <t>Korea, Democratic People's Republic of</t>
  </si>
  <si>
    <t>Kiribati</t>
  </si>
  <si>
    <t>Kenya</t>
  </si>
  <si>
    <t>Kazakhstan</t>
  </si>
  <si>
    <t>Jordan</t>
  </si>
  <si>
    <t>Jamaica</t>
  </si>
  <si>
    <t>Italy</t>
  </si>
  <si>
    <t>Israel</t>
  </si>
  <si>
    <t>Iraq</t>
  </si>
  <si>
    <t>Iran, Islamic Republic of</t>
  </si>
  <si>
    <t>Indonesia</t>
  </si>
  <si>
    <t>Iceland</t>
  </si>
  <si>
    <t>Hungary</t>
  </si>
  <si>
    <t>Hong Kong SAR of China</t>
  </si>
  <si>
    <t>Honduras</t>
  </si>
  <si>
    <t>Haiti</t>
  </si>
  <si>
    <t>Guyana</t>
  </si>
  <si>
    <t>Guinea-Bissau</t>
  </si>
  <si>
    <t>Guinea</t>
  </si>
  <si>
    <t>Guatemala</t>
  </si>
  <si>
    <t>Guam</t>
  </si>
  <si>
    <t>Guadeloupe</t>
  </si>
  <si>
    <t>Grenada</t>
  </si>
  <si>
    <t>Greenland</t>
  </si>
  <si>
    <t>Gibraltar</t>
  </si>
  <si>
    <t>Ghana</t>
  </si>
  <si>
    <t>Georgia</t>
  </si>
  <si>
    <t>Gambia, The</t>
  </si>
  <si>
    <t>Gabon</t>
  </si>
  <si>
    <t>French Southern Territories</t>
  </si>
  <si>
    <t>French Polynesia</t>
  </si>
  <si>
    <t>French Guiana</t>
  </si>
  <si>
    <t>Finland</t>
  </si>
  <si>
    <t>Fiji</t>
  </si>
  <si>
    <t>Faroe Islands</t>
  </si>
  <si>
    <t>Falkland Islands (Malvinas)</t>
  </si>
  <si>
    <t>Ethiopia</t>
  </si>
  <si>
    <t>Estonia</t>
  </si>
  <si>
    <t>Eritrea</t>
  </si>
  <si>
    <t>Equatorial Guinea</t>
  </si>
  <si>
    <t>El Salvador</t>
  </si>
  <si>
    <t>Ecuador</t>
  </si>
  <si>
    <t>Dominican Republic</t>
  </si>
  <si>
    <t>Dominica</t>
  </si>
  <si>
    <t>Djibouti</t>
  </si>
  <si>
    <t>Denmark</t>
  </si>
  <si>
    <t>Côte d'Ivoire</t>
  </si>
  <si>
    <t>Czech Republic</t>
  </si>
  <si>
    <t>Cuba</t>
  </si>
  <si>
    <t>Croatia</t>
  </si>
  <si>
    <t>Costa Rica</t>
  </si>
  <si>
    <t>Cook Islands</t>
  </si>
  <si>
    <t>Congo, Rep. of</t>
  </si>
  <si>
    <t>Congo, Dem. Rep. of</t>
  </si>
  <si>
    <t>Comoros</t>
  </si>
  <si>
    <t>Colombia</t>
  </si>
  <si>
    <t>Cocos (Keeling) Islands</t>
  </si>
  <si>
    <t>Christmas Island</t>
  </si>
  <si>
    <t>Chile</t>
  </si>
  <si>
    <t>Chad</t>
  </si>
  <si>
    <t>Central African Republic</t>
  </si>
  <si>
    <t>Cape Verde</t>
  </si>
  <si>
    <t>Cameroon</t>
  </si>
  <si>
    <t>Cambodia</t>
  </si>
  <si>
    <t>Burundi</t>
  </si>
  <si>
    <t>Burkina Faso</t>
  </si>
  <si>
    <t>Bulgaria</t>
  </si>
  <si>
    <t>Brunei Darussalam</t>
  </si>
  <si>
    <t>British Indian Ocean Territory</t>
  </si>
  <si>
    <t>Brazil</t>
  </si>
  <si>
    <t>Botswana</t>
  </si>
  <si>
    <t>Bosnia and Herzegovina</t>
  </si>
  <si>
    <t>Bolivia</t>
  </si>
  <si>
    <t>Bhutan</t>
  </si>
  <si>
    <t>Benin</t>
  </si>
  <si>
    <t>Belize</t>
  </si>
  <si>
    <t>Belarus</t>
  </si>
  <si>
    <t>Barbados</t>
  </si>
  <si>
    <t>Bangladesh</t>
  </si>
  <si>
    <t>Bahamas, The</t>
  </si>
  <si>
    <t>Azerbaijan</t>
  </si>
  <si>
    <t>Austria</t>
  </si>
  <si>
    <t>Australia</t>
  </si>
  <si>
    <t>Aruba</t>
  </si>
  <si>
    <t>Armenia</t>
  </si>
  <si>
    <t>Argentina</t>
  </si>
  <si>
    <t>Antigua and Barbuda</t>
  </si>
  <si>
    <t>Anguilla</t>
  </si>
  <si>
    <t>Angola</t>
  </si>
  <si>
    <t>Andorra</t>
  </si>
  <si>
    <t>American Samoa</t>
  </si>
  <si>
    <t>Algeria</t>
  </si>
  <si>
    <t>Albania</t>
  </si>
  <si>
    <t>Afghanistan, Islamic State of</t>
  </si>
  <si>
    <t>International Organizations</t>
  </si>
  <si>
    <t xml:space="preserve">Offshore asset allocation </t>
  </si>
  <si>
    <t>Total onshore</t>
  </si>
  <si>
    <t>Hong-Kong</t>
  </si>
  <si>
    <t>Other (private)</t>
  </si>
  <si>
    <t>Billions of current USD</t>
  </si>
  <si>
    <t>Cross-Border Equity Liabilities of Small Offshore Financial Centers</t>
  </si>
  <si>
    <t>Cross-Border Debt Liabilities of Small Offshore Financial Centers</t>
  </si>
  <si>
    <t>Reported Equity Liabilities Minus Creditor-Derived Liabilities</t>
  </si>
  <si>
    <t>Reported Debt Liabilities Minus Creditor-Derived Liabilities</t>
  </si>
  <si>
    <t>Main Tables</t>
  </si>
  <si>
    <t>All</t>
  </si>
  <si>
    <t>Portfolio and other income</t>
  </si>
  <si>
    <t>FDI income</t>
  </si>
  <si>
    <t>Investment income</t>
  </si>
  <si>
    <t>Compensation of employees</t>
  </si>
  <si>
    <t>World exports / world GDP</t>
  </si>
  <si>
    <t>World GDP</t>
  </si>
  <si>
    <t>Current Transfers</t>
  </si>
  <si>
    <t>Income</t>
  </si>
  <si>
    <t>Trade</t>
  </si>
  <si>
    <t>Current account</t>
  </si>
  <si>
    <t>U.S. CPI-U (annual average)</t>
  </si>
  <si>
    <t>Cumulative current account balance</t>
  </si>
  <si>
    <t>Cumulative C.A. minus non-DI inv income balance</t>
  </si>
  <si>
    <t>Cumulative trade</t>
  </si>
  <si>
    <t>Cumulateive FDI income</t>
  </si>
  <si>
    <t>Cumulative transfers + employee income</t>
  </si>
  <si>
    <t>Portfolio and other income</t>
  </si>
  <si>
    <t>Yield</t>
  </si>
  <si>
    <t>A14</t>
  </si>
  <si>
    <t>The World Current Account: Credits</t>
  </si>
  <si>
    <t>The World Current Acount: Debits</t>
  </si>
  <si>
    <t>A15</t>
  </si>
  <si>
    <t>A16</t>
  </si>
  <si>
    <t>A17</t>
  </si>
  <si>
    <t>Memo: Portfolio &amp; other income balance / debits</t>
  </si>
  <si>
    <t>Memo: number of countries used for estimation</t>
  </si>
  <si>
    <t xml:space="preserve">Memo: Cross-Border Bank Liabilities </t>
  </si>
  <si>
    <t xml:space="preserve"> Cross-Border Bank Accounts </t>
  </si>
  <si>
    <t>Cross Border Portfolios</t>
  </si>
  <si>
    <t>Memo: EWNII debt + equity</t>
  </si>
  <si>
    <t>Deposits &amp; portfolio, stocks</t>
  </si>
  <si>
    <t>Deposits &amp; portfolio, income</t>
  </si>
  <si>
    <t>Missing deposits &amp; portfolio income</t>
  </si>
  <si>
    <t>Cumulative investment income balance (ex-FDI)</t>
  </si>
  <si>
    <t>Cumulative trade + FDI income</t>
  </si>
  <si>
    <t>Billions of 2008 USD</t>
  </si>
  <si>
    <t>Weighted Mean</t>
  </si>
  <si>
    <t>Venezuela</t>
  </si>
  <si>
    <t>Macao</t>
  </si>
  <si>
    <t>Of which: non banks</t>
  </si>
  <si>
    <t>Of which: banks</t>
  </si>
  <si>
    <t>Table A10: Cross-Border Equity Liabilities of Small Offshore Financial Centers (bn of USD)</t>
  </si>
  <si>
    <t>Table A11: Cross-Border Portfolio Debt Liabilities of Small Offshore Financial Centers (bn of USD)</t>
  </si>
  <si>
    <t>Table A12: Raw CPIS-derived liabilities &gt; reported liabilities (bn of USD)</t>
  </si>
  <si>
    <t>Table A13: Reported equity liabilities minus creditor-derived liabilities (bn of USD)</t>
  </si>
  <si>
    <t>Table A14: Reported debt liabilities minus creditor-derived liabilities (bn of USD)</t>
  </si>
  <si>
    <t>Industrial, emerging and developing countries</t>
  </si>
  <si>
    <t>Offshore financial centers</t>
  </si>
  <si>
    <t>Private sector</t>
  </si>
  <si>
    <t>Equity liabilities of Lux, Cayman + Ireland</t>
  </si>
  <si>
    <t>CPIS-augmented + my estimation for Cayman</t>
  </si>
  <si>
    <t>As a share of all cross-border equity liab</t>
  </si>
  <si>
    <t>Total cross border eq liab without 3 main offshore funds</t>
  </si>
  <si>
    <t>Table A1: Global Cross-Border Securities Assets</t>
  </si>
  <si>
    <t>Table A2: Global Cross-Border Securities Liabilities</t>
  </si>
  <si>
    <t>Table A3 – Global Discrepancy Between Cross-Border Securities Assets and Liabilities</t>
  </si>
  <si>
    <t>Table A4: Main Holders of Cross-Border Securities</t>
  </si>
  <si>
    <t>Main Holders of Cross-Border Securities</t>
  </si>
  <si>
    <t>Public sector</t>
  </si>
  <si>
    <t>Table A7: China' Cross-Border Securities Assets (bn of USD)</t>
  </si>
  <si>
    <t>Table A9: Other non-CPIS Countries Securities Assets (bn of USD)</t>
  </si>
  <si>
    <t>Investment Patterns of Reserve Managers and International Organizations (SEFER-SSIO)</t>
  </si>
  <si>
    <t>Global Cross-Border Securities Assets</t>
  </si>
  <si>
    <t>Global Cross-Border Securities Liabilities</t>
  </si>
  <si>
    <t>Global Discrepancy Between Cross-Border Securities Assets and Liabilities</t>
  </si>
  <si>
    <t>Sectoral Breakdown of Securities Claims Reported in the CPIS, year-end 2008</t>
  </si>
  <si>
    <t>Cayman Islands' Cross-Border Securities Assets and Liabilities</t>
  </si>
  <si>
    <t>Middle-East Oil Exporting Countries' Cross-Border Securities Assets</t>
  </si>
  <si>
    <t>Other non-CPIS Countries Cross-Border Securities Assets</t>
  </si>
  <si>
    <t>Missing portfolio wealth</t>
  </si>
  <si>
    <t>Memo: Capitalized missing wealth</t>
  </si>
  <si>
    <t>A18</t>
  </si>
  <si>
    <t>Table</t>
  </si>
  <si>
    <t>Yield on Global Cross-Border Bank Deposits and Portfolio Claims</t>
  </si>
  <si>
    <t>USA</t>
  </si>
  <si>
    <t>Venezuela, Rep˙blica Bolivariana de</t>
  </si>
  <si>
    <t>CÙte d'Ivoire</t>
  </si>
  <si>
    <t>RÈunion</t>
  </si>
  <si>
    <t>S„o TomÈ and PrÌncipe</t>
  </si>
  <si>
    <t>Equity recorded</t>
  </si>
  <si>
    <t>Equity predicted</t>
  </si>
  <si>
    <t>Debt recorded</t>
  </si>
  <si>
    <t>Debt predicted</t>
  </si>
  <si>
    <t>A19</t>
  </si>
  <si>
    <t>Equity</t>
  </si>
  <si>
    <t>Actual</t>
  </si>
  <si>
    <t>Predicted</t>
  </si>
  <si>
    <t>Confidential</t>
  </si>
  <si>
    <t>Memo: SEFER+SSIO (bn USD)</t>
  </si>
  <si>
    <t>Recorded vs. Predicted Shares of Each Developed Country in the Global Portfolio of CPIS-Participating Countries</t>
  </si>
  <si>
    <t>A20</t>
  </si>
  <si>
    <t>A21</t>
  </si>
  <si>
    <t>Of which: reserve</t>
  </si>
  <si>
    <t>Europe</t>
  </si>
  <si>
    <t>Middle East</t>
  </si>
  <si>
    <t>Latin and South America</t>
  </si>
  <si>
    <t>Asia</t>
  </si>
  <si>
    <t>Africa</t>
  </si>
  <si>
    <t>North America</t>
  </si>
  <si>
    <t>Caribbean</t>
  </si>
  <si>
    <t>Rich countries</t>
  </si>
  <si>
    <t>Developing countries</t>
  </si>
  <si>
    <t>Tax havens</t>
  </si>
  <si>
    <t>Total ex-tax havens</t>
  </si>
  <si>
    <t>Of which: Euro area 16</t>
  </si>
  <si>
    <t>Excl. Middle East</t>
  </si>
  <si>
    <t>Assets reported in the CPIS</t>
  </si>
  <si>
    <t>Middle East oil exporters' onshore assets</t>
  </si>
  <si>
    <t xml:space="preserve">     Saudi Arabia's foreign sec. / Middle East est. onshore foreign sec.</t>
  </si>
  <si>
    <t>Memo: foreign exchange reserves (old classification for Saudi Arabia)</t>
  </si>
  <si>
    <t>Implied portfolios held onshore by SWFs and by private agents</t>
  </si>
  <si>
    <t>Implied onshore portfolios missed by CPIS</t>
  </si>
  <si>
    <t>Total securities assets</t>
  </si>
  <si>
    <t xml:space="preserve">Memo: (CPIS + SEFER) / Total assets </t>
  </si>
  <si>
    <t>Of which: reserves + int'l orga.</t>
  </si>
  <si>
    <t>Memo: reserve minus bank deposits</t>
  </si>
  <si>
    <t>Of which: held as reserve</t>
  </si>
  <si>
    <t>Of which: reported in CPIS</t>
  </si>
  <si>
    <r>
      <t xml:space="preserve">   </t>
    </r>
    <r>
      <rPr>
        <i/>
        <sz val="16"/>
        <color indexed="8"/>
        <rFont val="Arial"/>
      </rPr>
      <t>Equities</t>
    </r>
  </si>
  <si>
    <r>
      <t xml:space="preserve">   </t>
    </r>
    <r>
      <rPr>
        <i/>
        <sz val="16"/>
        <color indexed="8"/>
        <rFont val="Arial"/>
      </rPr>
      <t>Debt</t>
    </r>
  </si>
  <si>
    <r>
      <t xml:space="preserve">  </t>
    </r>
    <r>
      <rPr>
        <i/>
        <sz val="16"/>
        <color indexed="8"/>
        <rFont val="Arial"/>
      </rPr>
      <t xml:space="preserve"> Mutual fund shares (CIMA, est.)</t>
    </r>
  </si>
  <si>
    <r>
      <t xml:space="preserve">   </t>
    </r>
    <r>
      <rPr>
        <i/>
        <sz val="16"/>
        <color indexed="8"/>
        <rFont val="Arial"/>
      </rPr>
      <t>Equity</t>
    </r>
  </si>
  <si>
    <t>Table A6: Portfolio Assets and Liabilities of the Cayman Islands (bn of USD)</t>
  </si>
  <si>
    <t>Memo: IMF IIPs</t>
  </si>
  <si>
    <t>int'l orga.</t>
  </si>
  <si>
    <t>Total securities liabilities</t>
  </si>
  <si>
    <t>EWNII liabilities / Total liabilities</t>
  </si>
  <si>
    <t>Memo: Int'l debt securities (BIS)</t>
  </si>
  <si>
    <t>Memo: investment funds foreign liabilities</t>
  </si>
  <si>
    <r>
      <t xml:space="preserve"> Σ</t>
    </r>
    <r>
      <rPr>
        <vertAlign val="subscript"/>
        <sz val="15"/>
        <rFont val="Arial"/>
      </rPr>
      <t>i</t>
    </r>
    <r>
      <rPr>
        <sz val="15"/>
        <rFont val="Arial"/>
      </rPr>
      <t>Σ</t>
    </r>
    <r>
      <rPr>
        <vertAlign val="subscript"/>
        <sz val="15"/>
        <rFont val="Arial"/>
      </rPr>
      <t>j</t>
    </r>
    <r>
      <rPr>
        <sz val="15"/>
        <rFont val="Arial"/>
      </rPr>
      <t xml:space="preserve"> Â</t>
    </r>
    <r>
      <rPr>
        <vertAlign val="subscript"/>
        <sz val="15"/>
        <rFont val="Arial"/>
      </rPr>
      <t>ij</t>
    </r>
  </si>
  <si>
    <r>
      <t>Σ</t>
    </r>
    <r>
      <rPr>
        <vertAlign val="subscript"/>
        <sz val="15"/>
        <rFont val="Arial"/>
      </rPr>
      <t>j</t>
    </r>
    <r>
      <rPr>
        <sz val="15"/>
        <rFont val="Arial"/>
      </rPr>
      <t>L</t>
    </r>
    <r>
      <rPr>
        <vertAlign val="subscript"/>
        <sz val="15"/>
        <rFont val="Arial"/>
      </rPr>
      <t>j</t>
    </r>
  </si>
  <si>
    <r>
      <t>Ω = Σ</t>
    </r>
    <r>
      <rPr>
        <b/>
        <vertAlign val="subscript"/>
        <sz val="15"/>
        <rFont val="Arial"/>
      </rPr>
      <t>j</t>
    </r>
    <r>
      <rPr>
        <b/>
        <sz val="15"/>
        <rFont val="Arial"/>
      </rPr>
      <t>L</t>
    </r>
    <r>
      <rPr>
        <b/>
        <vertAlign val="subscript"/>
        <sz val="15"/>
        <rFont val="Arial"/>
      </rPr>
      <t>j</t>
    </r>
    <r>
      <rPr>
        <b/>
        <sz val="15"/>
        <rFont val="Arial"/>
      </rPr>
      <t>- Σ</t>
    </r>
    <r>
      <rPr>
        <b/>
        <vertAlign val="subscript"/>
        <sz val="15"/>
        <rFont val="Arial"/>
      </rPr>
      <t>i</t>
    </r>
    <r>
      <rPr>
        <b/>
        <sz val="15"/>
        <rFont val="Arial"/>
      </rPr>
      <t>Σ</t>
    </r>
    <r>
      <rPr>
        <b/>
        <vertAlign val="subscript"/>
        <sz val="15"/>
        <rFont val="Arial"/>
      </rPr>
      <t>j</t>
    </r>
    <r>
      <rPr>
        <b/>
        <sz val="15"/>
        <rFont val="Arial"/>
      </rPr>
      <t xml:space="preserve"> Â</t>
    </r>
    <r>
      <rPr>
        <b/>
        <vertAlign val="subscript"/>
        <sz val="15"/>
        <rFont val="Arial"/>
      </rPr>
      <t>ij</t>
    </r>
  </si>
  <si>
    <t>Euro Area</t>
  </si>
  <si>
    <t>Liabilities and debits</t>
  </si>
  <si>
    <t>Missing flows and stocks</t>
  </si>
  <si>
    <t>Total offshore centers</t>
  </si>
  <si>
    <t>Memo: Unknown Owner (Ω)</t>
  </si>
  <si>
    <t>Reserve + Int'l orga.</t>
  </si>
  <si>
    <t>Luxem-bourg</t>
  </si>
  <si>
    <t>Table A5: Sectoral Breakdown of Portfolio Claims Reported in the CPIS, 2008</t>
  </si>
  <si>
    <t>bn NZ$</t>
  </si>
  <si>
    <t>bn C$</t>
  </si>
  <si>
    <t>bn AUS$</t>
  </si>
  <si>
    <t>bn DKK</t>
  </si>
  <si>
    <t>bn ISK</t>
  </si>
  <si>
    <t>bn NOK</t>
  </si>
  <si>
    <t>bn SEK</t>
  </si>
  <si>
    <t>bn CHF</t>
  </si>
  <si>
    <t>bn £</t>
  </si>
  <si>
    <t>bn EUR</t>
  </si>
  <si>
    <t>bn yen</t>
  </si>
  <si>
    <t>bn USD</t>
  </si>
  <si>
    <t>Unit</t>
  </si>
  <si>
    <t>Canada publishes one IIP with portfolio investment at book value (= reported to the IMF), and another one with portfolio investment at market value. I take the market value IIP</t>
  </si>
  <si>
    <t>Waiting for 2010</t>
  </si>
  <si>
    <t>16 = all euro area members as of December 2010. The IMF BOPS series for the euro zone is for the euro zone changing composition</t>
  </si>
  <si>
    <t xml:space="preserve">Change of methodo in 1986 </t>
  </si>
  <si>
    <t>BEA IIP line 1 = IMF IFS IIP (once revisions are included)</t>
  </si>
  <si>
    <t>http://www.stats.govt.nz/infoshare/ViewTable.aspx?pxID=a5cfbf2e-8302-427f-ac57-83515b4a2ade</t>
  </si>
  <si>
    <t>http://publications.gc.ca/collections/collection_2011/statcan/67-202-X/67-202-x2010004-eng.pdf</t>
  </si>
  <si>
    <t>http://www.statbank.dk/statbank5a/SelectVarVal/Define.asp?MainTable=DNDAPU&amp;PLanguage=1&amp;PXSId=0</t>
  </si>
  <si>
    <t>http://www.sedlabanki.is/?pageid=552&amp;itemid=684d7b4a-7b6d-4a49-8b0c-f62d792fd59a&amp;nextday=7&amp;nextmonth=3</t>
  </si>
  <si>
    <t>http://www.ssb.no/intinvpos_en/tab-2010-10-12-01-en.html</t>
  </si>
  <si>
    <t>http://www.scb.se/Pages/ProductTables____215231.aspx</t>
  </si>
  <si>
    <t>http://www.snb.ch/fr/iabout/stat/statpub/iip/stats/iip/iip_Vermoegen_Ueb</t>
  </si>
  <si>
    <t>http://www.statistics.gov.uk/STATBASE/tsdataset.asp?vlnk=1550&amp;More=Y</t>
  </si>
  <si>
    <t>http://sdw.ecb.europa.eu/browseTable.do?node=2120816&amp;REF_AREA=308&amp;FREQ=A&amp;sfl2=4&amp;sfl1=4&amp;SERIES_KEY=116.BOP.A.U2.N.8.988.N.A1.E&amp;SERIES_KEY=116.BOP.A.U2.N.8.989.N.A1.E&amp;sfl4=4&amp;sfl3=4&amp;DATASET=0&amp;periodSortOrder=ASC</t>
  </si>
  <si>
    <t>http://sdw.ecb.europa.eu/browseTable.do?node=2120816&amp;REF_AREA=341&amp;FREQ=A&amp;sfl2=4&amp;sfl1=4&amp;sfl4=4&amp;SERIES_KEY=116.BOP.A.I5.N.8.988.N.A1.E&amp;SERIES_KEY=116.BOP.A.I5.N.8.989.N.A1.E&amp;DATASET=0&amp;sfl3=4&amp;periodSortOrder=ASC</t>
  </si>
  <si>
    <t>http://www.mof.go.jp/english/international_policy/reference/iip/index.htm</t>
  </si>
  <si>
    <t>http://www.bea.gov/international/index.htm#iip</t>
  </si>
  <si>
    <t>Statistics New Zealand</t>
  </si>
  <si>
    <t>Statistics Canada</t>
  </si>
  <si>
    <t>Asutralian Bureau of Statistics</t>
  </si>
  <si>
    <t>Danmarks Nationalbank</t>
  </si>
  <si>
    <t>Central Bank of Iceland</t>
  </si>
  <si>
    <t>Statistics Norway</t>
  </si>
  <si>
    <t>Statistics Sweden</t>
  </si>
  <si>
    <t>SNB</t>
  </si>
  <si>
    <t>ONS</t>
  </si>
  <si>
    <t>ECB</t>
  </si>
  <si>
    <t>Ministry of finance</t>
  </si>
  <si>
    <t>BEA</t>
  </si>
  <si>
    <t>Source</t>
  </si>
  <si>
    <t>Asutralia</t>
  </si>
  <si>
    <t>UK</t>
  </si>
  <si>
    <t>Euro area, changing compo</t>
  </si>
  <si>
    <t>Euro area 16</t>
  </si>
  <si>
    <t>Country</t>
  </si>
  <si>
    <t>Other rich countries</t>
  </si>
  <si>
    <t>Other Europe</t>
  </si>
  <si>
    <t>Main regions</t>
  </si>
  <si>
    <t>2000-2010: official data converted to USD, 1991-1999: official IIP in LMF EWN; 1985-1989: NFA computed by LMF</t>
  </si>
  <si>
    <t>2005-2010: official data converted to USD, 1970-2004: NFA computed by LMF (from IIP at market value 1990 onwards)</t>
  </si>
  <si>
    <t>After 2001: official data converted to USD; 1988-2000: "Official IIP" in LMF EWN; 1985-1987: NFA computed by LMF</t>
  </si>
  <si>
    <t>After 1998: official data converted to USD; 1991-1997 = "Net IIP as officially reported" in LMF EWN database; 1985-1989: NFA computed by LMF</t>
  </si>
  <si>
    <t>1988 = "net IIP as officially reported" in LMF EWN; 1985-1987: NFA computed by LMF</t>
  </si>
  <si>
    <t>After 1998: official data converted to USD; 1980-1993 = "Net IIP as officially reported" in LMF EWN database; 1994-1997 = liner interpolation</t>
  </si>
  <si>
    <t>After 1999: official data converted to USD; 1982-1999 = "Net IIP as officially reported" in LMF EWN database</t>
  </si>
  <si>
    <t>Before 1999: Sum of all 16 members' NFAs computed by LMF in August 2009 EWNII (see RichWorldNFA.do)</t>
  </si>
  <si>
    <t>Before 1995, I take the USD NFA values straight from the Japanese ministry of finance. They are consistent with IMF IFS data. Yen data converted in USD differ in 1985 and 1994 from published data in USD.</t>
  </si>
  <si>
    <t>http://www.abs.gov.au/AUSSTATS/abs@.nsf/DetailsPage/5352.0Calendar%20year%202010?OpenDocument</t>
  </si>
  <si>
    <t>Exchange rate with USD, year-end</t>
  </si>
  <si>
    <t>IMF IFS</t>
  </si>
  <si>
    <t>Euro area 16, post 1999</t>
  </si>
  <si>
    <t>Net foreign asset positions in local currency</t>
  </si>
  <si>
    <t>2010=2009</t>
  </si>
  <si>
    <t>Net foreign asset positions in USD</t>
  </si>
  <si>
    <t>WB WDI</t>
  </si>
  <si>
    <t>Euro area 16 GDP</t>
  </si>
  <si>
    <t>US GDP</t>
  </si>
  <si>
    <t>Canada, Australia, NZ</t>
  </si>
  <si>
    <t>Other Europe GDP</t>
  </si>
  <si>
    <t>Australia + Canada + NZ</t>
  </si>
  <si>
    <t>April 2011</t>
  </si>
  <si>
    <t>Euro area changing compo</t>
  </si>
  <si>
    <t>2001-2008 average</t>
  </si>
  <si>
    <t>Net foreign asset position / Country or region GDP</t>
  </si>
  <si>
    <t>Net foreign asset position / World GDP</t>
  </si>
  <si>
    <t xml:space="preserve">     Debt securities (portfolio + reserve)</t>
  </si>
  <si>
    <t xml:space="preserve">       Memo: deposits in BIS banks (BIS Table 7A), excl. Bahrain</t>
  </si>
  <si>
    <t xml:space="preserve">       Memo: Reserve assets (EWNII), excl. Bahrain</t>
  </si>
  <si>
    <t xml:space="preserve">       Memo: Portfolio debt of Bahrain (EWNII)</t>
  </si>
  <si>
    <t xml:space="preserve">     Portfolio equities (EWNII)</t>
  </si>
  <si>
    <t xml:space="preserve">     Implied share of missing wealth Ω belonging to ME oil exp.</t>
  </si>
  <si>
    <t xml:space="preserve">     Implied sahre of missing wealth Ω belonging to ME oil exp.</t>
  </si>
  <si>
    <t>[39]</t>
  </si>
  <si>
    <t>[40]</t>
  </si>
  <si>
    <t>[41]</t>
  </si>
  <si>
    <t>[42]</t>
  </si>
  <si>
    <t>[43]</t>
  </si>
  <si>
    <t>[44]</t>
  </si>
  <si>
    <t xml:space="preserve">     Assuming 85% in portfolio assets and Iran=Iraq=0</t>
  </si>
  <si>
    <t xml:space="preserve">     Implied offshore portfolio of ME oil exporters</t>
  </si>
  <si>
    <t>Lane &amp; Milesi-Ferretti's (2007) estimate of ME oil exp' foreign secs</t>
  </si>
  <si>
    <t xml:space="preserve">       Memo: Total debt assets (portfolio+other, EWNII) excl. Bahrain</t>
  </si>
  <si>
    <t xml:space="preserve">     Implied share of ME oil exp' portfolios held offshore</t>
  </si>
  <si>
    <t>U.S. long term securities held onshore  by ME oil exp. (TIC)</t>
  </si>
  <si>
    <t>Table A8: Middle-East Oil Exporting Countries' Cross-Border Securities Assets (bn of USD)</t>
  </si>
  <si>
    <t>My estimate of households' unrecorded assets Ω</t>
  </si>
  <si>
    <t xml:space="preserve">   Minus: Correction to portfolio liability data reported in EWNII</t>
  </si>
  <si>
    <t xml:space="preserve">   Minus: Other</t>
  </si>
  <si>
    <t xml:space="preserve">   Minus: FDI discrepancy (EWNII)</t>
  </si>
  <si>
    <t xml:space="preserve">   Minus: Middle East oil exporters' offshore holdings incl. in EWNII (est.)</t>
  </si>
  <si>
    <t xml:space="preserve">   Minus: Derivative discrepancy (EWNII)</t>
  </si>
  <si>
    <t>Equals = World net debt (EWNII)</t>
  </si>
  <si>
    <t xml:space="preserve">   Memo: World net debt (IMF, July 2011)</t>
  </si>
  <si>
    <t>Of which: Rich World</t>
  </si>
  <si>
    <t>Of which: Euro area</t>
  </si>
  <si>
    <t xml:space="preserve">   Minus: Cumulated trade discrepancy after 2004</t>
  </si>
  <si>
    <t>Share of Swiss fortunes belonging to euro-area</t>
  </si>
  <si>
    <t>Share of non-Swiss fortunes belonging to euro-area</t>
  </si>
  <si>
    <t>Official euro area NFA/GDP</t>
  </si>
  <si>
    <t>Corrected euro area NFA/GDP</t>
  </si>
  <si>
    <t>Swiss-managed offshore fortunes/euro area GDP</t>
  </si>
  <si>
    <t>non-Swiss managed offshore fortunes/euro-area GDP</t>
  </si>
  <si>
    <t>Swiss owned</t>
  </si>
  <si>
    <t>Foreign owned</t>
  </si>
  <si>
    <t>Swiss securities</t>
  </si>
  <si>
    <t>All securities</t>
  </si>
  <si>
    <t>Bonds</t>
  </si>
  <si>
    <t>Mutual fund shares</t>
  </si>
  <si>
    <t>Share of offshore fortunes managed in Switzerland</t>
  </si>
  <si>
    <t>Unexplained discrepancy between Omega and net debt of the world</t>
  </si>
  <si>
    <t>2001-2007 average</t>
  </si>
  <si>
    <t>Share of Swiss fortunes belonging to the U.S.</t>
  </si>
  <si>
    <t>Share of non-Swiss fortunes belonging to the U.S.</t>
  </si>
  <si>
    <t>Official U.S. NFA/GDP</t>
  </si>
  <si>
    <t>Corrected Rich World NFA/GDP</t>
  </si>
  <si>
    <t>Swiss-managed offshore fortunes/US GDP</t>
  </si>
  <si>
    <t>non-Swiss managed offshore fortunes/US GDP</t>
  </si>
  <si>
    <t>Swiss-managed offshore fortunes/rich world GDP</t>
  </si>
  <si>
    <t>non-Swiss managed offshore fortunes/rich world GDP</t>
  </si>
  <si>
    <t>Share of Swiss fortunes belonging to rich world</t>
  </si>
  <si>
    <t>Share of non-Swiss fortunes belonging to rich world</t>
  </si>
  <si>
    <t>(I assume that 50% is due to rich world under-estimating its liabilities)</t>
  </si>
  <si>
    <t>Creditor-derived equity liabilities</t>
  </si>
  <si>
    <t>Reported equity liabilities</t>
  </si>
  <si>
    <t>Discrepancy, % of equity liabilities</t>
  </si>
  <si>
    <t>Share of fund assets invested in U.S. equities</t>
  </si>
  <si>
    <t>U.S. equities with no identifiable owner</t>
  </si>
  <si>
    <t>As a % of U.S. foreign equity liabilities</t>
  </si>
  <si>
    <t xml:space="preserve"> [2]-[1]</t>
  </si>
  <si>
    <t xml:space="preserve"> ([2]-[1])/[2]</t>
  </si>
  <si>
    <t>[3]x[5]</t>
  </si>
  <si>
    <t>Table A23: Securities in Custody in Swiss Banks, bn of USD</t>
  </si>
  <si>
    <t>Table A24: Fiduciary Deposits in Swiss Banks, 1976-2008, mn of USD</t>
  </si>
  <si>
    <t>Table A25: Distribution of Fiduciary Deposits in Swiss Banks by Country of Owner, 1976-2008, Uncorrected Shares (% of Total)</t>
  </si>
  <si>
    <t>Table A27: Net Foreign Asset Positions of Rich Countries, As Officially Reported</t>
  </si>
  <si>
    <t>U.S. equities in Swiss banks with unidentifiable owner</t>
  </si>
  <si>
    <t>U.S. equity liabilities "vis-à-vis Switzerland"</t>
  </si>
  <si>
    <t>As a fraction of all U.S. equity liabilities</t>
  </si>
  <si>
    <t>U.S. equity assets of Switzerland</t>
  </si>
  <si>
    <t>As a fraction of U.S. equity liab. "vis-à-vis Switzerland"</t>
  </si>
  <si>
    <t xml:space="preserve">Global Securities Assets     </t>
  </si>
  <si>
    <t xml:space="preserve">Global Securities Liabilities </t>
  </si>
  <si>
    <r>
      <t>Where the missing securities are invested: L</t>
    </r>
    <r>
      <rPr>
        <b/>
        <vertAlign val="subscript"/>
        <sz val="15"/>
        <rFont val="Arial"/>
      </rPr>
      <t xml:space="preserve">j </t>
    </r>
    <r>
      <rPr>
        <b/>
        <sz val="15"/>
        <rFont val="Arial"/>
      </rPr>
      <t>- Σ</t>
    </r>
    <r>
      <rPr>
        <b/>
        <vertAlign val="subscript"/>
        <sz val="15"/>
        <rFont val="Arial"/>
      </rPr>
      <t>i</t>
    </r>
    <r>
      <rPr>
        <b/>
        <sz val="15"/>
        <rFont val="Arial"/>
      </rPr>
      <t>Â</t>
    </r>
    <r>
      <rPr>
        <b/>
        <vertAlign val="subscript"/>
        <sz val="15"/>
        <rFont val="Arial"/>
      </rPr>
      <t>ij</t>
    </r>
  </si>
  <si>
    <t>Asset allocation of Swiss offshore portfolio</t>
  </si>
  <si>
    <t>Foreign securities  (= offshore)</t>
  </si>
  <si>
    <t>Swiss offshore portfolio / Global offshore portfolio</t>
  </si>
  <si>
    <t>Table A26: Distribution of Fiduciary Deposits in Swiss Banks by Country of Owner, 1976-2004, Corrected Shares (% of Total)</t>
  </si>
  <si>
    <t>Table A28: Euro-Area Net Foreign Asset Position/Euro-Area GDP</t>
  </si>
  <si>
    <t>Table A29: U.S. Net Foreign Asset Position/U.S. GDP</t>
  </si>
  <si>
    <t>Table A30: Households' Unrecorded Offshore Assets vs. Net Debt of the World (bn USD)</t>
  </si>
  <si>
    <t>Table A31: Euro-Area Net Foreign Asset Position/Euro-Area GDP, World IIP balanced</t>
  </si>
  <si>
    <t>Table A32: Rich World Net Foreign Asset Position/Rich World GDP, World IIP balanced</t>
  </si>
  <si>
    <t>Recorded vs. predicted shares of each country in the U.S., Japanese, and French portfolios</t>
  </si>
  <si>
    <t>Securities Assets (Appendix Section A)</t>
  </si>
  <si>
    <t>Securities Liabilities (Appendix Section B)</t>
  </si>
  <si>
    <t>Flow Data (Appendix Section D)</t>
  </si>
  <si>
    <t>Missing Securities (Appendix Section C)</t>
  </si>
  <si>
    <t>Offshore Fortunes in Switzerland (Appendix Section E)</t>
  </si>
  <si>
    <t>A22</t>
  </si>
  <si>
    <t>A23</t>
  </si>
  <si>
    <t>A24</t>
  </si>
  <si>
    <t>Unindentified Investments in U.S. Equities</t>
  </si>
  <si>
    <t>A25</t>
  </si>
  <si>
    <t>A26</t>
  </si>
  <si>
    <t>Securities in Custody in Swiss Banks</t>
  </si>
  <si>
    <t>Fiduciary Deposits in Swiss Banks, 1976-2008</t>
  </si>
  <si>
    <t>Distribution of Fiduciary Deposits in Swiss Banks by Country of Owner, Uncorrected Shares</t>
  </si>
  <si>
    <t>Distribution of Fiduciary Deposits in Swiss Banks by Country of Owner, Corrected Shares</t>
  </si>
  <si>
    <t>Net Foreign Asset Positions (Appendix Section F)</t>
  </si>
  <si>
    <t>A27</t>
  </si>
  <si>
    <t>A28</t>
  </si>
  <si>
    <t>A29</t>
  </si>
  <si>
    <t>A31</t>
  </si>
  <si>
    <t>A30</t>
  </si>
  <si>
    <t>Net Foreign Asset Positions of Rich Countries, As Officially Reported</t>
  </si>
  <si>
    <t>Euro-Area Net Foreign Asset Position/Euro-Area GDP</t>
  </si>
  <si>
    <t>U.S. Net Foreign Asset Position/U.S. GDP</t>
  </si>
  <si>
    <t>Households' Unrecorded Offshore Assets vs. Net Debt of the World</t>
  </si>
  <si>
    <t>Euro-Area Net Foreign Asset Position/Euro-Area GDP, World IIP balanced</t>
  </si>
  <si>
    <t>A32</t>
  </si>
  <si>
    <t>Rich World Net Foreign Asset Position/Rich World GDP, World IIP balanced</t>
  </si>
  <si>
    <t>China's Cross-Border Securities Assets</t>
  </si>
  <si>
    <t>Raw CPIS-derived liabilities &gt; reported liabilities (bn of USD)</t>
  </si>
  <si>
    <t>Table A15: Allocation of SEFER-SSIO Holdings</t>
  </si>
  <si>
    <t>Table A16: Actual and Predicted Shares of Each Developed Country in the Aggregate Portfolio of CPIS-Participating Countries</t>
  </si>
  <si>
    <t>Table A17: Reported and Predicted Shares of Each Foreign Country in the U.S., Japanese, and French Portfolios (2001-2008 averages)</t>
  </si>
  <si>
    <t>Table A18a: Unidentified Investments in U.S. Equities through Irish, Luxembourgish and Caymanian Funds, bn U.S.D., 2008</t>
  </si>
  <si>
    <t>Table A18b: Unidentified Investments in U.S. Equities through Switzerland, bn U.S.D.</t>
  </si>
  <si>
    <t>Table A19 – The World Current Account: Credits</t>
  </si>
  <si>
    <t>The World Current Account: Discrepancies</t>
  </si>
  <si>
    <t>Table A21 – The World Current Account: Discrepancies</t>
  </si>
  <si>
    <t>Table A20 – The World Current Account: Debits</t>
  </si>
  <si>
    <t>Table A22 – Yield on Global Cross-Border Bank Deposits and Portfolio Claims</t>
  </si>
  <si>
    <t xml:space="preserve">     n.a.</t>
  </si>
  <si>
    <t>-</t>
  </si>
  <si>
    <t>Memo: unrecorded offshore assets/World GDP</t>
  </si>
  <si>
    <t>Memo: Japan</t>
  </si>
  <si>
    <t>A9b</t>
  </si>
  <si>
    <t>A9c</t>
  </si>
  <si>
    <t>Bilateral Portfoio Holdings, Panel Regressions</t>
  </si>
  <si>
    <t>Bilateral Portfoio Holdings in and of Offshore Financial Centers, Panel Regressions</t>
  </si>
  <si>
    <t xml:space="preserve">* p&lt;0.05, ** p&lt;0.01, *** p&lt;0.001. Standard errors in parentheses. </t>
  </si>
  <si>
    <t xml:space="preserve">0.707   </t>
  </si>
  <si>
    <t>0.685</t>
  </si>
  <si>
    <t>0.739</t>
  </si>
  <si>
    <t>0.734</t>
  </si>
  <si>
    <t>Adjusted R-squared</t>
  </si>
  <si>
    <t>Observations</t>
  </si>
  <si>
    <t>Yes</t>
  </si>
  <si>
    <t>No</t>
  </si>
  <si>
    <t>Offshore centers included</t>
  </si>
  <si>
    <t>Host-country fixed effects</t>
  </si>
  <si>
    <t>Year fixed-effect</t>
  </si>
  <si>
    <t xml:space="preserve">(0.143)   </t>
  </si>
  <si>
    <t>(0.141)</t>
  </si>
  <si>
    <t>1.800***</t>
  </si>
  <si>
    <t>1.235***</t>
  </si>
  <si>
    <t>OFC dummy</t>
  </si>
  <si>
    <t xml:space="preserve">(0.012)   </t>
  </si>
  <si>
    <t>(0.012)</t>
  </si>
  <si>
    <t>(0.016)</t>
  </si>
  <si>
    <t>(0.015)</t>
  </si>
  <si>
    <t>1.157***</t>
  </si>
  <si>
    <t>1.220***</t>
  </si>
  <si>
    <t>0.969***</t>
  </si>
  <si>
    <t>1.123***</t>
  </si>
  <si>
    <t>GDP per capita</t>
  </si>
  <si>
    <t xml:space="preserve">(0.007)   </t>
  </si>
  <si>
    <t>(0.007)</t>
  </si>
  <si>
    <t>(0.010)</t>
  </si>
  <si>
    <t>0.480***</t>
  </si>
  <si>
    <t>0.447***</t>
  </si>
  <si>
    <t>0.518***</t>
  </si>
  <si>
    <t>0.517***</t>
  </si>
  <si>
    <t>Population</t>
  </si>
  <si>
    <t xml:space="preserve">(0.021)   </t>
  </si>
  <si>
    <t>(0.021)</t>
  </si>
  <si>
    <t>(0.026)</t>
  </si>
  <si>
    <t>(0.024)</t>
  </si>
  <si>
    <t>0.303***</t>
  </si>
  <si>
    <t>0.144***</t>
  </si>
  <si>
    <t>0.208***</t>
  </si>
  <si>
    <t>-0.087***</t>
  </si>
  <si>
    <t>Landlocked dummy</t>
  </si>
  <si>
    <t xml:space="preserve">(0.000)   </t>
  </si>
  <si>
    <t>(0.000)</t>
  </si>
  <si>
    <t>-0.005***</t>
  </si>
  <si>
    <t>-0.003***</t>
  </si>
  <si>
    <t>Latitude</t>
  </si>
  <si>
    <t>Source country controls</t>
  </si>
  <si>
    <t>OFC source x host dummy</t>
  </si>
  <si>
    <t>(0.009)</t>
  </si>
  <si>
    <t>-0.195***</t>
  </si>
  <si>
    <t>-0.260***</t>
  </si>
  <si>
    <t>-0.149***</t>
  </si>
  <si>
    <t>-0.250***</t>
  </si>
  <si>
    <t>Log of GDP p.c. gap</t>
  </si>
  <si>
    <t>-0.230***</t>
  </si>
  <si>
    <t>-0.159***</t>
  </si>
  <si>
    <t>-0.307***</t>
  </si>
  <si>
    <t>Log of GDP gap</t>
  </si>
  <si>
    <t xml:space="preserve">(0.036)   </t>
  </si>
  <si>
    <t>(0.036)</t>
  </si>
  <si>
    <t>(0.046)</t>
  </si>
  <si>
    <t>(0.043)</t>
  </si>
  <si>
    <t>2.303***</t>
  </si>
  <si>
    <t>2.499***</t>
  </si>
  <si>
    <t>2.806***</t>
  </si>
  <si>
    <t>2.739***</t>
  </si>
  <si>
    <t>Both countries industrial</t>
  </si>
  <si>
    <t xml:space="preserve">(0.041)   </t>
  </si>
  <si>
    <t>(0.038)</t>
  </si>
  <si>
    <t>(0.060)</t>
  </si>
  <si>
    <t>(0.055)</t>
  </si>
  <si>
    <t>0.488***</t>
  </si>
  <si>
    <t>0.343***</t>
  </si>
  <si>
    <t>0.251***</t>
  </si>
  <si>
    <t>Colonial relationship after 1945</t>
  </si>
  <si>
    <t xml:space="preserve">(0.023)   </t>
  </si>
  <si>
    <t>(0.022)</t>
  </si>
  <si>
    <t>(0.032)</t>
  </si>
  <si>
    <t>(0.030)</t>
  </si>
  <si>
    <t xml:space="preserve">0.014   </t>
  </si>
  <si>
    <t>0.451***</t>
  </si>
  <si>
    <t>-0.110***</t>
  </si>
  <si>
    <t>0.394***</t>
  </si>
  <si>
    <t>Common language</t>
  </si>
  <si>
    <t>0.003***</t>
  </si>
  <si>
    <t>Longitude gap</t>
  </si>
  <si>
    <t xml:space="preserve">(0.010)   </t>
  </si>
  <si>
    <t>(0.018)</t>
  </si>
  <si>
    <t>(0.017)</t>
  </si>
  <si>
    <t>-0.594***</t>
  </si>
  <si>
    <t>-0.450***</t>
  </si>
  <si>
    <t>-0.733***</t>
  </si>
  <si>
    <t>-0.561***</t>
  </si>
  <si>
    <t>Log distance</t>
  </si>
  <si>
    <t>Bilateral controls</t>
  </si>
  <si>
    <t>Data sources: IMF Coordinated Portoflio Survey, 2001-2008</t>
  </si>
  <si>
    <t>OLS regressions, pooled data 2001-2008</t>
  </si>
  <si>
    <t>Source countries</t>
  </si>
  <si>
    <t>Non-OFCs</t>
  </si>
  <si>
    <t>OFCs</t>
  </si>
  <si>
    <t>Host countries</t>
  </si>
  <si>
    <t>-0.340***</t>
  </si>
  <si>
    <t>-0.596***</t>
  </si>
  <si>
    <t>-0.774***</t>
  </si>
  <si>
    <t>-0.792***</t>
  </si>
  <si>
    <t>-0.658***</t>
  </si>
  <si>
    <t>-0.651***</t>
  </si>
  <si>
    <t>(0.028)</t>
  </si>
  <si>
    <t>(0.02)</t>
  </si>
  <si>
    <t>(0.019)</t>
  </si>
  <si>
    <t>0.471***</t>
  </si>
  <si>
    <t>-0.202***</t>
  </si>
  <si>
    <t>0.376***</t>
  </si>
  <si>
    <t>0.143***</t>
  </si>
  <si>
    <t>0.374***</t>
  </si>
  <si>
    <t>0.125***</t>
  </si>
  <si>
    <t>(0.059)</t>
  </si>
  <si>
    <t>(0.04)</t>
  </si>
  <si>
    <t>0.620***</t>
  </si>
  <si>
    <t>1.444***</t>
  </si>
  <si>
    <t>0.274***</t>
  </si>
  <si>
    <t>0.311***</t>
  </si>
  <si>
    <t>0.502***</t>
  </si>
  <si>
    <t>0.307***</t>
  </si>
  <si>
    <t>(0.126)</t>
  </si>
  <si>
    <t>(0.13)</t>
  </si>
  <si>
    <t>(0.076)</t>
  </si>
  <si>
    <t>(0.077)</t>
  </si>
  <si>
    <t>(0.062)</t>
  </si>
  <si>
    <t>1.897***</t>
  </si>
  <si>
    <t>1.972***</t>
  </si>
  <si>
    <t>2.145***</t>
  </si>
  <si>
    <t>1.688***</t>
  </si>
  <si>
    <t>2.030***</t>
  </si>
  <si>
    <t>1.673***</t>
  </si>
  <si>
    <t>(0.127)</t>
  </si>
  <si>
    <t>(0.087)</t>
  </si>
  <si>
    <t>(0.085)</t>
  </si>
  <si>
    <t>(0.074)</t>
  </si>
  <si>
    <t>-0.228***</t>
  </si>
  <si>
    <t>-0.275***</t>
  </si>
  <si>
    <t>-0.203***</t>
  </si>
  <si>
    <t>-0.204***</t>
  </si>
  <si>
    <t>(0.039)</t>
  </si>
  <si>
    <t>(0.041)</t>
  </si>
  <si>
    <t>(0.014)</t>
  </si>
  <si>
    <t>(0.013)</t>
  </si>
  <si>
    <t>-0.139***</t>
  </si>
  <si>
    <t>-0.140***</t>
  </si>
  <si>
    <t>-0.220***</t>
  </si>
  <si>
    <t>-0.224***</t>
  </si>
  <si>
    <t>-0.002*</t>
  </si>
  <si>
    <t>-0.023***</t>
  </si>
  <si>
    <t>-0.025***</t>
  </si>
  <si>
    <t>-0.022***</t>
  </si>
  <si>
    <t>-0.024***</t>
  </si>
  <si>
    <t>(0.001)</t>
  </si>
  <si>
    <t>0.270***</t>
  </si>
  <si>
    <t>0.424***</t>
  </si>
  <si>
    <t>0.562***</t>
  </si>
  <si>
    <t>0.552***</t>
  </si>
  <si>
    <t>0.691***</t>
  </si>
  <si>
    <t>0.647***</t>
  </si>
  <si>
    <t>(0.061)</t>
  </si>
  <si>
    <t>(0.053)</t>
  </si>
  <si>
    <t>(0.05)</t>
  </si>
  <si>
    <t>0.410***</t>
  </si>
  <si>
    <t>0.548***</t>
  </si>
  <si>
    <t>0.356***</t>
  </si>
  <si>
    <t>0.433***</t>
  </si>
  <si>
    <t>0.391***</t>
  </si>
  <si>
    <t>0.456***</t>
  </si>
  <si>
    <t>(0.045)</t>
  </si>
  <si>
    <t>(0.011)</t>
  </si>
  <si>
    <t>1.055***</t>
  </si>
  <si>
    <t>0.926***</t>
  </si>
  <si>
    <t>1.545***</t>
  </si>
  <si>
    <t>1.740***</t>
  </si>
  <si>
    <t>1.587***</t>
  </si>
  <si>
    <t>1.724***</t>
  </si>
  <si>
    <t>(0.047)</t>
  </si>
  <si>
    <t>(0.049)</t>
  </si>
  <si>
    <t>(0.03)</t>
  </si>
  <si>
    <t>(0.025)</t>
  </si>
  <si>
    <t>0.650</t>
  </si>
  <si>
    <t>0.643</t>
  </si>
  <si>
    <t>0.710</t>
  </si>
  <si>
    <t>Table A9B: Bilateral Portfolio Holdings, Panel Regressions</t>
  </si>
  <si>
    <t>Table A9C: Bilateral Portfolio Holdings in and of Offshore Financial Canters, Panel Regressions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</si>
</sst>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
    <numFmt numFmtId="165" formatCode="0.000"/>
    <numFmt numFmtId="166" formatCode="#,##0.0"/>
    <numFmt numFmtId="167" formatCode="#,##0.00000"/>
    <numFmt numFmtId="168" formatCode="\$#,##0\ ;\(\$#,##0\)"/>
    <numFmt numFmtId="169" formatCode="#,##0.0000"/>
    <numFmt numFmtId="170" formatCode="0.0000%"/>
    <numFmt numFmtId="171" formatCode="#,##0.000000000"/>
    <numFmt numFmtId="172" formatCode="0.00000000000000%"/>
  </numFmts>
  <fonts count="97" x14ac:knownFonts="1">
    <font>
      <sz val="10"/>
      <name val="Verdana"/>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0"/>
      <name val="Verdana"/>
    </font>
    <font>
      <i/>
      <sz val="10"/>
      <name val="Verdana"/>
    </font>
    <font>
      <b/>
      <i/>
      <sz val="10"/>
      <name val="Verdana"/>
    </font>
    <font>
      <sz val="10"/>
      <name val="Verdana"/>
    </font>
    <font>
      <u/>
      <sz val="10"/>
      <color indexed="12"/>
      <name val="Verdana"/>
    </font>
    <font>
      <sz val="8"/>
      <name val="Verdana"/>
    </font>
    <font>
      <sz val="12"/>
      <color indexed="24"/>
      <name val="Arial"/>
    </font>
    <font>
      <b/>
      <sz val="10"/>
      <name val="Arial"/>
      <family val="2"/>
    </font>
    <font>
      <sz val="10"/>
      <name val="Arial"/>
    </font>
    <font>
      <b/>
      <sz val="8"/>
      <color indexed="24"/>
      <name val="Times New Roman"/>
    </font>
    <font>
      <sz val="8"/>
      <color indexed="24"/>
      <name val="Times New Roman"/>
    </font>
    <font>
      <sz val="7"/>
      <name val="Helvetica"/>
    </font>
    <font>
      <b/>
      <sz val="12"/>
      <name val="Arial"/>
      <family val="2"/>
    </font>
    <font>
      <sz val="8"/>
      <name val="Arial"/>
      <family val="2"/>
    </font>
    <font>
      <i/>
      <sz val="10"/>
      <name val="Arial"/>
    </font>
    <font>
      <b/>
      <sz val="14"/>
      <name val="Arial"/>
      <family val="2"/>
    </font>
    <font>
      <sz val="11"/>
      <name val="Arial"/>
    </font>
    <font>
      <b/>
      <sz val="11"/>
      <name val="Arial"/>
    </font>
    <font>
      <i/>
      <sz val="11"/>
      <name val="Arial"/>
    </font>
    <font>
      <sz val="14"/>
      <name val="Arial"/>
    </font>
    <font>
      <i/>
      <sz val="12"/>
      <name val="Arial"/>
    </font>
    <font>
      <sz val="12"/>
      <name val="Arial"/>
    </font>
    <font>
      <sz val="12"/>
      <name val="Verdana"/>
    </font>
    <font>
      <i/>
      <sz val="14"/>
      <name val="Arial"/>
    </font>
    <font>
      <b/>
      <i/>
      <sz val="14"/>
      <name val="Arial"/>
    </font>
    <font>
      <b/>
      <sz val="16"/>
      <name val="Arial"/>
    </font>
    <font>
      <sz val="12"/>
      <color theme="1"/>
      <name val="Calibri"/>
      <family val="2"/>
      <scheme val="minor"/>
    </font>
    <font>
      <sz val="14"/>
      <color theme="1"/>
      <name val="Arial"/>
    </font>
    <font>
      <b/>
      <sz val="14"/>
      <color theme="1"/>
      <name val="Arial"/>
    </font>
    <font>
      <i/>
      <sz val="14"/>
      <color theme="1"/>
      <name val="Arial"/>
    </font>
    <font>
      <sz val="10"/>
      <color rgb="FFFF0000"/>
      <name val="Verdana"/>
    </font>
    <font>
      <b/>
      <sz val="14"/>
      <color rgb="FF000000"/>
      <name val="Arial"/>
    </font>
    <font>
      <u/>
      <sz val="14"/>
      <color indexed="12"/>
      <name val="Arial"/>
    </font>
    <font>
      <b/>
      <i/>
      <sz val="11"/>
      <name val="Arial"/>
    </font>
    <font>
      <b/>
      <i/>
      <sz val="10"/>
      <name val="Arial"/>
    </font>
    <font>
      <sz val="13"/>
      <name val="Arial"/>
    </font>
    <font>
      <b/>
      <sz val="13"/>
      <name val="Arial"/>
    </font>
    <font>
      <i/>
      <sz val="13"/>
      <name val="Arial"/>
    </font>
    <font>
      <sz val="15"/>
      <name val="Arial"/>
    </font>
    <font>
      <b/>
      <sz val="15"/>
      <name val="Arial"/>
    </font>
    <font>
      <i/>
      <sz val="15"/>
      <name val="Arial"/>
    </font>
    <font>
      <u/>
      <sz val="10"/>
      <color theme="11"/>
      <name val="Verdana"/>
    </font>
    <font>
      <sz val="14"/>
      <name val="Verdana"/>
    </font>
    <font>
      <sz val="12"/>
      <color theme="1"/>
      <name val="Arial"/>
    </font>
    <font>
      <b/>
      <sz val="8"/>
      <name val="Verdana"/>
    </font>
    <font>
      <i/>
      <sz val="12"/>
      <color theme="1"/>
      <name val="Arial"/>
    </font>
    <font>
      <sz val="10"/>
      <color theme="1"/>
      <name val="Arial"/>
    </font>
    <font>
      <sz val="15"/>
      <name val="Verdana"/>
    </font>
    <font>
      <b/>
      <sz val="15"/>
      <name val="Verdana"/>
    </font>
    <font>
      <b/>
      <sz val="22"/>
      <name val="Arial"/>
    </font>
    <font>
      <b/>
      <sz val="22"/>
      <color theme="1"/>
      <name val="Arial"/>
    </font>
    <font>
      <sz val="15"/>
      <color theme="1"/>
      <name val="Calibri"/>
      <family val="2"/>
      <scheme val="minor"/>
    </font>
    <font>
      <sz val="16"/>
      <color theme="1"/>
      <name val="Arial"/>
    </font>
    <font>
      <sz val="16"/>
      <name val="Arial"/>
    </font>
    <font>
      <b/>
      <sz val="16"/>
      <color theme="1"/>
      <name val="Arial"/>
    </font>
    <font>
      <i/>
      <sz val="16"/>
      <color theme="1"/>
      <name val="Arial"/>
    </font>
    <font>
      <i/>
      <sz val="16"/>
      <color indexed="8"/>
      <name val="Arial"/>
    </font>
    <font>
      <i/>
      <sz val="16"/>
      <color rgb="FF000000"/>
      <name val="Arial"/>
    </font>
    <font>
      <sz val="16"/>
      <color rgb="FF000000"/>
      <name val="Arial"/>
    </font>
    <font>
      <b/>
      <i/>
      <sz val="16"/>
      <color theme="1"/>
      <name val="Arial"/>
    </font>
    <font>
      <i/>
      <sz val="16"/>
      <name val="Arial"/>
    </font>
    <font>
      <b/>
      <sz val="22"/>
      <color rgb="FF000000"/>
      <name val="Arial"/>
    </font>
    <font>
      <b/>
      <sz val="20"/>
      <color rgb="FF000000"/>
      <name val="Arial"/>
    </font>
    <font>
      <b/>
      <i/>
      <sz val="16"/>
      <name val="Arial"/>
    </font>
    <font>
      <b/>
      <sz val="20"/>
      <name val="Arial"/>
    </font>
    <font>
      <b/>
      <vertAlign val="subscript"/>
      <sz val="15"/>
      <name val="Arial"/>
    </font>
    <font>
      <vertAlign val="subscript"/>
      <sz val="15"/>
      <name val="Arial"/>
    </font>
    <font>
      <sz val="22"/>
      <name val="Arial"/>
    </font>
    <font>
      <b/>
      <sz val="18"/>
      <color rgb="FF000000"/>
      <name val="Arial"/>
    </font>
    <font>
      <b/>
      <sz val="12"/>
      <color indexed="8"/>
      <name val="Calibri"/>
      <family val="2"/>
    </font>
    <font>
      <b/>
      <sz val="24"/>
      <color theme="1"/>
      <name val="Arial"/>
    </font>
    <font>
      <sz val="17"/>
      <name val="Arial"/>
    </font>
    <font>
      <b/>
      <sz val="17"/>
      <name val="Arial"/>
    </font>
    <font>
      <i/>
      <sz val="17"/>
      <name val="Arial"/>
    </font>
    <font>
      <u/>
      <sz val="17"/>
      <name val="Arial"/>
    </font>
    <font>
      <b/>
      <sz val="26"/>
      <color theme="1"/>
      <name val="Arial"/>
    </font>
    <font>
      <sz val="24"/>
      <color theme="1"/>
      <name val="Arial"/>
    </font>
    <font>
      <b/>
      <sz val="18"/>
      <color theme="1"/>
      <name val="Arial"/>
    </font>
    <font>
      <sz val="22"/>
      <color theme="1"/>
      <name val="Arial"/>
    </font>
    <font>
      <sz val="11"/>
      <color theme="1"/>
      <name val="Arial"/>
    </font>
    <font>
      <b/>
      <sz val="11"/>
      <color theme="1"/>
      <name val="Arial"/>
    </font>
    <font>
      <b/>
      <sz val="12"/>
      <color theme="1"/>
      <name val="Arial"/>
    </font>
    <font>
      <sz val="18"/>
      <color theme="1"/>
      <name val="Arial"/>
    </font>
    <font>
      <i/>
      <sz val="18"/>
      <color theme="1"/>
      <name val="Arial"/>
    </font>
    <font>
      <b/>
      <i/>
      <sz val="18"/>
      <color theme="1"/>
      <name val="Arial"/>
    </font>
    <font>
      <b/>
      <sz val="20"/>
      <color theme="1"/>
      <name val="Arial"/>
    </font>
    <font>
      <b/>
      <i/>
      <sz val="14"/>
      <color theme="1"/>
      <name val="Arial"/>
    </font>
    <font>
      <b/>
      <sz val="30"/>
      <name val="Arial"/>
    </font>
    <font>
      <b/>
      <sz val="29"/>
      <name val="Arial"/>
    </font>
  </fonts>
  <fills count="4">
    <fill>
      <patternFill patternType="none"/>
    </fill>
    <fill>
      <patternFill patternType="gray125"/>
    </fill>
    <fill>
      <patternFill patternType="solid">
        <fgColor indexed="13"/>
        <bgColor indexed="64"/>
      </patternFill>
    </fill>
    <fill>
      <patternFill patternType="solid">
        <fgColor rgb="FFFFFF00"/>
        <bgColor indexed="64"/>
      </patternFill>
    </fill>
  </fills>
  <borders count="98">
    <border>
      <left/>
      <right/>
      <top/>
      <bottom/>
      <diagonal/>
    </border>
    <border>
      <left style="thin">
        <color auto="1"/>
      </left>
      <right/>
      <top/>
      <bottom/>
      <diagonal/>
    </border>
    <border>
      <left/>
      <right/>
      <top style="double">
        <color auto="1"/>
      </top>
      <bottom/>
      <diagonal/>
    </border>
    <border>
      <left/>
      <right style="thick">
        <color auto="1"/>
      </right>
      <top/>
      <bottom/>
      <diagonal/>
    </border>
    <border>
      <left/>
      <right/>
      <top/>
      <bottom style="thin">
        <color auto="1"/>
      </bottom>
      <diagonal/>
    </border>
    <border>
      <left/>
      <right/>
      <top/>
      <bottom style="thick">
        <color auto="1"/>
      </bottom>
      <diagonal/>
    </border>
    <border>
      <left style="thick">
        <color auto="1"/>
      </left>
      <right/>
      <top/>
      <bottom/>
      <diagonal/>
    </border>
    <border>
      <left style="thick">
        <color auto="1"/>
      </left>
      <right/>
      <top/>
      <bottom style="medium">
        <color auto="1"/>
      </bottom>
      <diagonal/>
    </border>
    <border>
      <left style="thick">
        <color auto="1"/>
      </left>
      <right style="thin">
        <color auto="1"/>
      </right>
      <top/>
      <bottom/>
      <diagonal/>
    </border>
    <border>
      <left/>
      <right/>
      <top style="thin">
        <color auto="1"/>
      </top>
      <bottom/>
      <diagonal/>
    </border>
    <border>
      <left/>
      <right/>
      <top/>
      <bottom style="medium">
        <color auto="1"/>
      </bottom>
      <diagonal/>
    </border>
    <border>
      <left/>
      <right style="medium">
        <color auto="1"/>
      </right>
      <top/>
      <bottom/>
      <diagonal/>
    </border>
    <border>
      <left style="thick">
        <color auto="1"/>
      </left>
      <right/>
      <top style="medium">
        <color auto="1"/>
      </top>
      <bottom/>
      <diagonal/>
    </border>
    <border>
      <left/>
      <right style="medium">
        <color auto="1"/>
      </right>
      <top/>
      <bottom style="medium">
        <color auto="1"/>
      </bottom>
      <diagonal/>
    </border>
    <border>
      <left/>
      <right style="thick">
        <color auto="1"/>
      </right>
      <top style="thin">
        <color auto="1"/>
      </top>
      <bottom style="medium">
        <color auto="1"/>
      </bottom>
      <diagonal/>
    </border>
    <border>
      <left/>
      <right/>
      <top style="thick">
        <color auto="1"/>
      </top>
      <bottom/>
      <diagonal/>
    </border>
    <border>
      <left/>
      <right style="thick">
        <color auto="1"/>
      </right>
      <top/>
      <bottom style="medium">
        <color auto="1"/>
      </bottom>
      <diagonal/>
    </border>
    <border>
      <left/>
      <right style="thick">
        <color auto="1"/>
      </right>
      <top style="medium">
        <color auto="1"/>
      </top>
      <bottom/>
      <diagonal/>
    </border>
    <border>
      <left/>
      <right/>
      <top/>
      <bottom style="double">
        <color auto="1"/>
      </bottom>
      <diagonal/>
    </border>
    <border>
      <left/>
      <right/>
      <top style="double">
        <color auto="1"/>
      </top>
      <bottom style="thin">
        <color auto="1"/>
      </bottom>
      <diagonal/>
    </border>
    <border>
      <left style="thick">
        <color auto="1"/>
      </left>
      <right/>
      <top/>
      <bottom style="thick">
        <color auto="1"/>
      </bottom>
      <diagonal/>
    </border>
    <border>
      <left/>
      <right/>
      <top style="medium">
        <color auto="1"/>
      </top>
      <bottom/>
      <diagonal/>
    </border>
    <border>
      <left style="thin">
        <color auto="1"/>
      </left>
      <right/>
      <top style="thin">
        <color auto="1"/>
      </top>
      <bottom/>
      <diagonal/>
    </border>
    <border>
      <left/>
      <right style="thick">
        <color auto="1"/>
      </right>
      <top style="thin">
        <color auto="1"/>
      </top>
      <bottom/>
      <diagonal/>
    </border>
    <border>
      <left/>
      <right style="thick">
        <color auto="1"/>
      </right>
      <top/>
      <bottom style="thin">
        <color auto="1"/>
      </bottom>
      <diagonal/>
    </border>
    <border>
      <left/>
      <right style="medium">
        <color auto="1"/>
      </right>
      <top style="medium">
        <color auto="1"/>
      </top>
      <bottom/>
      <diagonal/>
    </border>
    <border>
      <left/>
      <right/>
      <top/>
      <bottom style="dashed">
        <color auto="1"/>
      </bottom>
      <diagonal/>
    </border>
    <border>
      <left/>
      <right style="thick">
        <color auto="1"/>
      </right>
      <top/>
      <bottom style="thick">
        <color auto="1"/>
      </bottom>
      <diagonal/>
    </border>
    <border>
      <left style="medium">
        <color auto="1"/>
      </left>
      <right/>
      <top/>
      <bottom style="medium">
        <color auto="1"/>
      </bottom>
      <diagonal/>
    </border>
    <border>
      <left/>
      <right/>
      <top style="thin">
        <color auto="1"/>
      </top>
      <bottom style="medium">
        <color auto="1"/>
      </bottom>
      <diagonal/>
    </border>
    <border>
      <left style="thick">
        <color auto="1"/>
      </left>
      <right/>
      <top style="thick">
        <color auto="1"/>
      </top>
      <bottom/>
      <diagonal/>
    </border>
    <border>
      <left style="medium">
        <color auto="1"/>
      </left>
      <right/>
      <top/>
      <bottom/>
      <diagonal/>
    </border>
    <border>
      <left/>
      <right style="thin">
        <color auto="1"/>
      </right>
      <top/>
      <bottom/>
      <diagonal/>
    </border>
    <border>
      <left/>
      <right/>
      <top style="dashed">
        <color auto="1"/>
      </top>
      <bottom/>
      <diagonal/>
    </border>
    <border>
      <left/>
      <right style="thick">
        <color auto="1"/>
      </right>
      <top style="dashed">
        <color auto="1"/>
      </top>
      <bottom/>
      <diagonal/>
    </border>
    <border>
      <left/>
      <right style="thin">
        <color auto="1"/>
      </right>
      <top/>
      <bottom style="medium">
        <color auto="1"/>
      </bottom>
      <diagonal/>
    </border>
    <border>
      <left style="medium">
        <color auto="1"/>
      </left>
      <right/>
      <top style="medium">
        <color auto="1"/>
      </top>
      <bottom/>
      <diagonal/>
    </border>
    <border>
      <left style="thin">
        <color auto="1"/>
      </left>
      <right style="medium">
        <color auto="1"/>
      </right>
      <top style="medium">
        <color auto="1"/>
      </top>
      <bottom/>
      <diagonal/>
    </border>
    <border>
      <left style="thin">
        <color auto="1"/>
      </left>
      <right style="medium">
        <color auto="1"/>
      </right>
      <top/>
      <bottom/>
      <diagonal/>
    </border>
    <border>
      <left style="thin">
        <color auto="1"/>
      </left>
      <right style="medium">
        <color auto="1"/>
      </right>
      <top/>
      <bottom style="medium">
        <color auto="1"/>
      </bottom>
      <diagonal/>
    </border>
    <border>
      <left/>
      <right style="thick">
        <color auto="1"/>
      </right>
      <top style="thick">
        <color auto="1"/>
      </top>
      <bottom/>
      <diagonal/>
    </border>
    <border>
      <left style="thin">
        <color auto="1"/>
      </left>
      <right/>
      <top style="thin">
        <color auto="1"/>
      </top>
      <bottom style="medium">
        <color auto="1"/>
      </bottom>
      <diagonal/>
    </border>
    <border>
      <left style="thin">
        <color auto="1"/>
      </left>
      <right/>
      <top/>
      <bottom style="medium">
        <color auto="1"/>
      </bottom>
      <diagonal/>
    </border>
    <border>
      <left/>
      <right style="thin">
        <color auto="1"/>
      </right>
      <top style="thin">
        <color auto="1"/>
      </top>
      <bottom/>
      <diagonal/>
    </border>
    <border>
      <left/>
      <right style="thin">
        <color auto="1"/>
      </right>
      <top style="medium">
        <color auto="1"/>
      </top>
      <bottom/>
      <diagonal/>
    </border>
    <border>
      <left style="thin">
        <color auto="1"/>
      </left>
      <right/>
      <top style="medium">
        <color auto="1"/>
      </top>
      <bottom/>
      <diagonal/>
    </border>
    <border>
      <left style="thin">
        <color auto="1"/>
      </left>
      <right style="medium">
        <color auto="1"/>
      </right>
      <top/>
      <bottom style="thick">
        <color auto="1"/>
      </bottom>
      <diagonal/>
    </border>
    <border>
      <left/>
      <right style="thin">
        <color auto="1"/>
      </right>
      <top/>
      <bottom style="thick">
        <color auto="1"/>
      </bottom>
      <diagonal/>
    </border>
    <border>
      <left style="mediumDashed">
        <color auto="1"/>
      </left>
      <right/>
      <top/>
      <bottom style="thick">
        <color auto="1"/>
      </bottom>
      <diagonal/>
    </border>
    <border>
      <left style="thin">
        <color auto="1"/>
      </left>
      <right/>
      <top/>
      <bottom style="thick">
        <color auto="1"/>
      </bottom>
      <diagonal/>
    </border>
    <border>
      <left style="medium">
        <color auto="1"/>
      </left>
      <right/>
      <top/>
      <bottom style="thick">
        <color auto="1"/>
      </bottom>
      <diagonal/>
    </border>
    <border>
      <left style="mediumDashed">
        <color auto="1"/>
      </left>
      <right/>
      <top/>
      <bottom/>
      <diagonal/>
    </border>
    <border>
      <left/>
      <right style="thin">
        <color auto="1"/>
      </right>
      <top style="dashed">
        <color auto="1"/>
      </top>
      <bottom/>
      <diagonal/>
    </border>
    <border>
      <left/>
      <right style="mediumDashed">
        <color auto="1"/>
      </right>
      <top style="dashed">
        <color auto="1"/>
      </top>
      <bottom/>
      <diagonal/>
    </border>
    <border>
      <left style="thin">
        <color auto="1"/>
      </left>
      <right/>
      <top style="dashed">
        <color auto="1"/>
      </top>
      <bottom/>
      <diagonal/>
    </border>
    <border>
      <left/>
      <right style="thick">
        <color auto="1"/>
      </right>
      <top/>
      <bottom style="dashed">
        <color auto="1"/>
      </bottom>
      <diagonal/>
    </border>
    <border>
      <left style="thin">
        <color auto="1"/>
      </left>
      <right style="medium">
        <color auto="1"/>
      </right>
      <top/>
      <bottom style="dashed">
        <color auto="1"/>
      </bottom>
      <diagonal/>
    </border>
    <border>
      <left style="mediumDashed">
        <color auto="1"/>
      </left>
      <right/>
      <top/>
      <bottom style="dashed">
        <color auto="1"/>
      </bottom>
      <diagonal/>
    </border>
    <border>
      <left/>
      <right style="thin">
        <color auto="1"/>
      </right>
      <top/>
      <bottom style="dashed">
        <color auto="1"/>
      </bottom>
      <diagonal/>
    </border>
    <border>
      <left style="thick">
        <color auto="1"/>
      </left>
      <right/>
      <top/>
      <bottom style="dashed">
        <color auto="1"/>
      </bottom>
      <diagonal/>
    </border>
    <border>
      <left style="mediumDashed">
        <color auto="1"/>
      </left>
      <right/>
      <top/>
      <bottom style="medium">
        <color auto="1"/>
      </bottom>
      <diagonal/>
    </border>
    <border>
      <left/>
      <right style="thin">
        <color auto="1"/>
      </right>
      <top style="thin">
        <color auto="1"/>
      </top>
      <bottom style="mediumDashed">
        <color auto="1"/>
      </bottom>
      <diagonal/>
    </border>
    <border>
      <left/>
      <right/>
      <top style="thin">
        <color auto="1"/>
      </top>
      <bottom style="mediumDashed">
        <color auto="1"/>
      </bottom>
      <diagonal/>
    </border>
    <border>
      <left/>
      <right/>
      <top style="medium">
        <color auto="1"/>
      </top>
      <bottom style="thin">
        <color auto="1"/>
      </bottom>
      <diagonal/>
    </border>
    <border>
      <left/>
      <right/>
      <top style="thin">
        <color auto="1"/>
      </top>
      <bottom style="thin">
        <color auto="1"/>
      </bottom>
      <diagonal/>
    </border>
    <border>
      <left/>
      <right/>
      <top style="medium">
        <color auto="1"/>
      </top>
      <bottom style="thick">
        <color auto="1"/>
      </bottom>
      <diagonal/>
    </border>
    <border>
      <left style="medium">
        <color auto="1"/>
      </left>
      <right/>
      <top style="medium">
        <color auto="1"/>
      </top>
      <bottom style="thick">
        <color auto="1"/>
      </bottom>
      <diagonal/>
    </border>
    <border>
      <left/>
      <right style="thin">
        <color auto="1"/>
      </right>
      <top style="thin">
        <color auto="1"/>
      </top>
      <bottom style="medium">
        <color auto="1"/>
      </bottom>
      <diagonal/>
    </border>
    <border>
      <left/>
      <right style="medium">
        <color auto="1"/>
      </right>
      <top/>
      <bottom style="dashed">
        <color auto="1"/>
      </bottom>
      <diagonal/>
    </border>
    <border>
      <left/>
      <right style="medium">
        <color auto="1"/>
      </right>
      <top/>
      <bottom style="thick">
        <color auto="1"/>
      </bottom>
      <diagonal/>
    </border>
    <border>
      <left/>
      <right/>
      <top style="medium">
        <color auto="1"/>
      </top>
      <bottom style="medium">
        <color auto="1"/>
      </bottom>
      <diagonal/>
    </border>
    <border>
      <left style="thick">
        <color auto="1"/>
      </left>
      <right/>
      <top style="dashed">
        <color auto="1"/>
      </top>
      <bottom/>
      <diagonal/>
    </border>
    <border>
      <left/>
      <right style="medium">
        <color auto="1"/>
      </right>
      <top style="dashed">
        <color auto="1"/>
      </top>
      <bottom/>
      <diagonal/>
    </border>
    <border>
      <left style="mediumDashed">
        <color auto="1"/>
      </left>
      <right/>
      <top style="dashed">
        <color auto="1"/>
      </top>
      <bottom/>
      <diagonal/>
    </border>
    <border>
      <left style="thin">
        <color auto="1"/>
      </left>
      <right style="medium">
        <color auto="1"/>
      </right>
      <top style="dashed">
        <color auto="1"/>
      </top>
      <bottom/>
      <diagonal/>
    </border>
    <border>
      <left/>
      <right style="mediumDashed">
        <color auto="1"/>
      </right>
      <top/>
      <bottom/>
      <diagonal/>
    </border>
    <border>
      <left style="medium">
        <color auto="1"/>
      </left>
      <right/>
      <top style="dashed">
        <color auto="1"/>
      </top>
      <bottom/>
      <diagonal/>
    </border>
    <border>
      <left/>
      <right style="mediumDashed">
        <color auto="1"/>
      </right>
      <top/>
      <bottom style="thick">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right style="thick">
        <color auto="1"/>
      </right>
      <top style="medium">
        <color auto="1"/>
      </top>
      <bottom style="medium">
        <color auto="1"/>
      </bottom>
      <diagonal/>
    </border>
    <border>
      <left/>
      <right style="thin">
        <color auto="1"/>
      </right>
      <top style="double">
        <color auto="1"/>
      </top>
      <bottom/>
      <diagonal/>
    </border>
    <border>
      <left/>
      <right style="thin">
        <color auto="1"/>
      </right>
      <top/>
      <bottom style="double">
        <color auto="1"/>
      </bottom>
      <diagonal/>
    </border>
    <border>
      <left/>
      <right style="thick">
        <color auto="1"/>
      </right>
      <top style="thin">
        <color auto="1"/>
      </top>
      <bottom style="thin">
        <color auto="1"/>
      </bottom>
      <diagonal/>
    </border>
    <border>
      <left style="thin">
        <color auto="1"/>
      </left>
      <right style="medium">
        <color auto="1"/>
      </right>
      <top style="thin">
        <color auto="1"/>
      </top>
      <bottom/>
      <diagonal/>
    </border>
    <border>
      <left style="thin">
        <color auto="1"/>
      </left>
      <right/>
      <top style="medium">
        <color auto="1"/>
      </top>
      <bottom style="thin">
        <color auto="1"/>
      </bottom>
      <diagonal/>
    </border>
    <border>
      <left/>
      <right style="thick">
        <color auto="1"/>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bottom style="medium">
        <color auto="1"/>
      </bottom>
      <diagonal/>
    </border>
    <border>
      <left style="thin">
        <color auto="1"/>
      </left>
      <right style="thin">
        <color auto="1"/>
      </right>
      <top style="medium">
        <color auto="1"/>
      </top>
      <bottom/>
      <diagonal/>
    </border>
    <border>
      <left style="thin">
        <color auto="1"/>
      </left>
      <right style="thin">
        <color auto="1"/>
      </right>
      <top/>
      <bottom/>
      <diagonal/>
    </border>
    <border>
      <left/>
      <right style="thin">
        <color auto="1"/>
      </right>
      <top/>
      <bottom style="thin">
        <color auto="1"/>
      </bottom>
      <diagonal/>
    </border>
    <border>
      <left style="thin">
        <color auto="1"/>
      </left>
      <right/>
      <top style="double">
        <color auto="1"/>
      </top>
      <bottom/>
      <diagonal/>
    </border>
    <border>
      <left style="thin">
        <color auto="1"/>
      </left>
      <right/>
      <top/>
      <bottom style="thin">
        <color auto="1"/>
      </bottom>
      <diagonal/>
    </border>
    <border>
      <left style="thin">
        <color auto="1"/>
      </left>
      <right/>
      <top/>
      <bottom style="double">
        <color auto="1"/>
      </bottom>
      <diagonal/>
    </border>
    <border>
      <left style="thin">
        <color auto="1"/>
      </left>
      <right/>
      <top/>
      <bottom style="dashed">
        <color auto="1"/>
      </bottom>
      <diagonal/>
    </border>
    <border>
      <left style="medium">
        <color auto="1"/>
      </left>
      <right/>
      <top/>
      <bottom style="dashed">
        <color auto="1"/>
      </bottom>
      <diagonal/>
    </border>
    <border>
      <left/>
      <right style="mediumDashed">
        <color auto="1"/>
      </right>
      <top/>
      <bottom style="dashed">
        <color auto="1"/>
      </bottom>
      <diagonal/>
    </border>
  </borders>
  <cellStyleXfs count="202">
    <xf numFmtId="0" fontId="0" fillId="0" borderId="0"/>
    <xf numFmtId="0" fontId="14" fillId="0" borderId="0" applyFon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3" fontId="14" fillId="0" borderId="0" applyFont="0" applyFill="0" applyBorder="0" applyAlignment="0" applyProtection="0"/>
    <xf numFmtId="0" fontId="12" fillId="0" borderId="0" applyNumberFormat="0" applyFill="0" applyBorder="0" applyAlignment="0" applyProtection="0">
      <alignment vertical="top"/>
      <protection locked="0"/>
    </xf>
    <xf numFmtId="168" fontId="14" fillId="0" borderId="0" applyFont="0" applyFill="0" applyBorder="0" applyAlignment="0" applyProtection="0"/>
    <xf numFmtId="0" fontId="34" fillId="0" borderId="0"/>
    <xf numFmtId="0" fontId="16" fillId="0" borderId="0"/>
    <xf numFmtId="9" fontId="11" fillId="0" borderId="0" applyFont="0" applyFill="0" applyBorder="0" applyAlignment="0" applyProtection="0"/>
    <xf numFmtId="0" fontId="19" fillId="0" borderId="1">
      <alignment horizontal="center"/>
    </xf>
    <xf numFmtId="2" fontId="14" fillId="0" borderId="0" applyFon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7" fillId="0" borderId="0"/>
    <xf numFmtId="9" fontId="7" fillId="0" borderId="0" applyFont="0" applyFill="0" applyBorder="0" applyAlignment="0" applyProtection="0"/>
    <xf numFmtId="0" fontId="49" fillId="0" borderId="0" applyNumberFormat="0" applyFill="0" applyBorder="0" applyAlignment="0" applyProtection="0"/>
    <xf numFmtId="0" fontId="6" fillId="0" borderId="0"/>
    <xf numFmtId="9" fontId="6" fillId="0" borderId="0" applyFon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 fillId="0" borderId="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3" fillId="0" borderId="0"/>
    <xf numFmtId="9" fontId="3" fillId="0" borderId="0" applyFont="0" applyFill="0" applyBorder="0" applyAlignment="0" applyProtection="0"/>
    <xf numFmtId="0" fontId="16" fillId="0" borderId="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2" fillId="0" borderId="0"/>
    <xf numFmtId="0" fontId="11" fillId="0" borderId="0"/>
    <xf numFmtId="9" fontId="2" fillId="0" borderId="0" applyFon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1" fillId="0" borderId="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cellStyleXfs>
  <cellXfs count="828">
    <xf numFmtId="0" fontId="0" fillId="0" borderId="0" xfId="0"/>
    <xf numFmtId="3" fontId="0" fillId="0" borderId="0" xfId="0" applyNumberFormat="1"/>
    <xf numFmtId="0" fontId="0" fillId="0" borderId="0" xfId="0" applyAlignment="1">
      <alignment wrapText="1"/>
    </xf>
    <xf numFmtId="0" fontId="9" fillId="0" borderId="0" xfId="0" applyFont="1"/>
    <xf numFmtId="0" fontId="9" fillId="0" borderId="0" xfId="0" applyFont="1" applyAlignment="1">
      <alignment wrapText="1"/>
    </xf>
    <xf numFmtId="0" fontId="11" fillId="0" borderId="0" xfId="0" applyFont="1" applyAlignment="1">
      <alignment wrapText="1"/>
    </xf>
    <xf numFmtId="3" fontId="11" fillId="0" borderId="0" xfId="0" applyNumberFormat="1" applyFont="1"/>
    <xf numFmtId="3" fontId="9" fillId="0" borderId="0" xfId="0" applyNumberFormat="1" applyFont="1"/>
    <xf numFmtId="0" fontId="8" fillId="0" borderId="0" xfId="0" applyFont="1" applyAlignment="1">
      <alignment wrapText="1"/>
    </xf>
    <xf numFmtId="0" fontId="16" fillId="0" borderId="0" xfId="8"/>
    <xf numFmtId="0" fontId="16" fillId="0" borderId="3" xfId="8" applyBorder="1"/>
    <xf numFmtId="0" fontId="16" fillId="0" borderId="4" xfId="8" applyBorder="1" applyAlignment="1">
      <alignment horizontal="center"/>
    </xf>
    <xf numFmtId="3" fontId="16" fillId="0" borderId="0" xfId="8" applyNumberFormat="1"/>
    <xf numFmtId="0" fontId="20" fillId="0" borderId="0" xfId="0" applyFont="1" applyAlignment="1">
      <alignment horizontal="center" vertical="center" wrapText="1"/>
    </xf>
    <xf numFmtId="0" fontId="21" fillId="0" borderId="3" xfId="8" applyFont="1" applyBorder="1" applyAlignment="1">
      <alignment horizontal="center" vertical="center" wrapText="1"/>
    </xf>
    <xf numFmtId="0" fontId="16" fillId="0" borderId="5" xfId="8" applyBorder="1"/>
    <xf numFmtId="0" fontId="24" fillId="0" borderId="6" xfId="8" applyFont="1" applyBorder="1" applyAlignment="1">
      <alignment horizontal="center" vertical="center"/>
    </xf>
    <xf numFmtId="3" fontId="25" fillId="0" borderId="0" xfId="8" applyNumberFormat="1" applyFont="1" applyAlignment="1">
      <alignment horizontal="center" vertical="center"/>
    </xf>
    <xf numFmtId="0" fontId="16" fillId="0" borderId="6" xfId="8" applyBorder="1"/>
    <xf numFmtId="0" fontId="16" fillId="0" borderId="7" xfId="8" applyBorder="1"/>
    <xf numFmtId="0" fontId="16" fillId="0" borderId="8" xfId="8" applyBorder="1"/>
    <xf numFmtId="0" fontId="8" fillId="0" borderId="0" xfId="0" applyFont="1"/>
    <xf numFmtId="0" fontId="15" fillId="0" borderId="0" xfId="8" applyFont="1"/>
    <xf numFmtId="164" fontId="11" fillId="0" borderId="0" xfId="0" applyNumberFormat="1" applyFont="1"/>
    <xf numFmtId="3" fontId="11" fillId="2" borderId="0" xfId="0" applyNumberFormat="1" applyFont="1" applyFill="1"/>
    <xf numFmtId="165" fontId="9" fillId="0" borderId="0" xfId="0" applyNumberFormat="1" applyFont="1"/>
    <xf numFmtId="165" fontId="11" fillId="0" borderId="0" xfId="0" applyNumberFormat="1" applyFont="1"/>
    <xf numFmtId="164" fontId="9" fillId="0" borderId="0" xfId="0" applyNumberFormat="1" applyFont="1"/>
    <xf numFmtId="3" fontId="11" fillId="0" borderId="9" xfId="0" applyNumberFormat="1" applyFont="1" applyBorder="1"/>
    <xf numFmtId="9" fontId="9" fillId="0" borderId="0" xfId="0" applyNumberFormat="1" applyFont="1"/>
    <xf numFmtId="3" fontId="26" fillId="0" borderId="0" xfId="8" applyNumberFormat="1" applyFont="1" applyAlignment="1">
      <alignment horizontal="center" vertical="center"/>
    </xf>
    <xf numFmtId="0" fontId="10" fillId="0" borderId="0" xfId="0" applyFont="1"/>
    <xf numFmtId="164" fontId="16" fillId="0" borderId="0" xfId="8" applyNumberFormat="1"/>
    <xf numFmtId="164" fontId="11" fillId="2" borderId="0" xfId="0" applyNumberFormat="1" applyFont="1" applyFill="1"/>
    <xf numFmtId="3" fontId="24" fillId="0" borderId="0" xfId="8" applyNumberFormat="1" applyFont="1" applyAlignment="1">
      <alignment horizontal="center" vertical="center"/>
    </xf>
    <xf numFmtId="0" fontId="28" fillId="0" borderId="0" xfId="8" applyFont="1" applyAlignment="1">
      <alignment horizontal="center" vertical="center" wrapText="1"/>
    </xf>
    <xf numFmtId="0" fontId="16" fillId="0" borderId="0" xfId="8" applyAlignment="1">
      <alignment horizontal="center"/>
    </xf>
    <xf numFmtId="0" fontId="16" fillId="0" borderId="3" xfId="8" applyBorder="1" applyAlignment="1">
      <alignment horizontal="center"/>
    </xf>
    <xf numFmtId="0" fontId="24" fillId="0" borderId="12" xfId="8" applyFont="1" applyBorder="1" applyAlignment="1">
      <alignment horizontal="center" vertical="center"/>
    </xf>
    <xf numFmtId="0" fontId="30" fillId="0" borderId="0" xfId="0" applyFont="1" applyAlignment="1">
      <alignment horizontal="center" vertical="center"/>
    </xf>
    <xf numFmtId="0" fontId="0" fillId="0" borderId="14" xfId="0" applyBorder="1" applyAlignment="1">
      <alignment horizontal="center"/>
    </xf>
    <xf numFmtId="3" fontId="25" fillId="0" borderId="0" xfId="8" applyNumberFormat="1" applyFont="1" applyAlignment="1">
      <alignment horizontal="center"/>
    </xf>
    <xf numFmtId="0" fontId="16" fillId="0" borderId="15" xfId="8" applyBorder="1"/>
    <xf numFmtId="0" fontId="0" fillId="0" borderId="0" xfId="0" applyAlignment="1">
      <alignment horizontal="center"/>
    </xf>
    <xf numFmtId="4" fontId="24" fillId="0" borderId="0" xfId="8" applyNumberFormat="1" applyFont="1" applyAlignment="1">
      <alignment horizontal="center" vertical="center"/>
    </xf>
    <xf numFmtId="3" fontId="24" fillId="0" borderId="0" xfId="8" applyNumberFormat="1" applyFont="1" applyAlignment="1">
      <alignment horizontal="center"/>
    </xf>
    <xf numFmtId="0" fontId="22" fillId="0" borderId="0" xfId="8" applyFont="1" applyAlignment="1">
      <alignment horizontal="center" vertical="center" wrapText="1"/>
    </xf>
    <xf numFmtId="0" fontId="16" fillId="0" borderId="17" xfId="8" applyBorder="1"/>
    <xf numFmtId="0" fontId="0" fillId="0" borderId="0" xfId="0" applyAlignment="1">
      <alignment horizontal="center" vertical="center"/>
    </xf>
    <xf numFmtId="0" fontId="30" fillId="0" borderId="0" xfId="0" applyFont="1"/>
    <xf numFmtId="3" fontId="30" fillId="0" borderId="0" xfId="0" applyNumberFormat="1" applyFont="1"/>
    <xf numFmtId="4" fontId="16" fillId="0" borderId="0" xfId="8" applyNumberFormat="1"/>
    <xf numFmtId="169" fontId="15" fillId="0" borderId="0" xfId="8" applyNumberFormat="1" applyFont="1"/>
    <xf numFmtId="10" fontId="16" fillId="0" borderId="0" xfId="8" applyNumberFormat="1"/>
    <xf numFmtId="3" fontId="16" fillId="0" borderId="3" xfId="8" applyNumberFormat="1" applyBorder="1"/>
    <xf numFmtId="170" fontId="16" fillId="0" borderId="3" xfId="8" applyNumberFormat="1" applyBorder="1"/>
    <xf numFmtId="170" fontId="16" fillId="0" borderId="0" xfId="8" applyNumberFormat="1"/>
    <xf numFmtId="165" fontId="16" fillId="0" borderId="3" xfId="8" applyNumberFormat="1" applyBorder="1"/>
    <xf numFmtId="165" fontId="16" fillId="0" borderId="0" xfId="8" applyNumberFormat="1"/>
    <xf numFmtId="0" fontId="27" fillId="0" borderId="0" xfId="0" applyFont="1"/>
    <xf numFmtId="164" fontId="27" fillId="0" borderId="0" xfId="0" applyNumberFormat="1" applyFont="1"/>
    <xf numFmtId="0" fontId="31" fillId="0" borderId="0" xfId="0" applyFont="1"/>
    <xf numFmtId="9" fontId="27" fillId="0" borderId="18" xfId="0" applyNumberFormat="1" applyFont="1" applyBorder="1" applyAlignment="1">
      <alignment vertical="center"/>
    </xf>
    <xf numFmtId="0" fontId="27" fillId="0" borderId="18" xfId="0" applyFont="1" applyBorder="1" applyAlignment="1">
      <alignment vertical="center"/>
    </xf>
    <xf numFmtId="3" fontId="27" fillId="0" borderId="0" xfId="0" applyNumberFormat="1" applyFont="1" applyAlignment="1">
      <alignment vertical="center"/>
    </xf>
    <xf numFmtId="0" fontId="27" fillId="0" borderId="0" xfId="0" applyFont="1" applyAlignment="1">
      <alignment vertical="center"/>
    </xf>
    <xf numFmtId="0" fontId="31" fillId="0" borderId="0" xfId="0" applyFont="1" applyAlignment="1">
      <alignment vertical="center"/>
    </xf>
    <xf numFmtId="0" fontId="23" fillId="0" borderId="0" xfId="0" applyFont="1" applyAlignment="1">
      <alignment vertical="center"/>
    </xf>
    <xf numFmtId="164" fontId="27" fillId="0" borderId="4" xfId="0" applyNumberFormat="1" applyFont="1" applyBorder="1" applyAlignment="1">
      <alignment vertical="center"/>
    </xf>
    <xf numFmtId="9" fontId="27" fillId="0" borderId="0" xfId="0" applyNumberFormat="1" applyFont="1" applyAlignment="1">
      <alignment vertical="center"/>
    </xf>
    <xf numFmtId="3" fontId="23" fillId="0" borderId="0" xfId="0" applyNumberFormat="1" applyFont="1" applyAlignment="1">
      <alignment vertical="center"/>
    </xf>
    <xf numFmtId="3" fontId="27" fillId="0" borderId="9" xfId="0" applyNumberFormat="1" applyFont="1" applyBorder="1" applyAlignment="1">
      <alignment vertical="center"/>
    </xf>
    <xf numFmtId="0" fontId="27" fillId="0" borderId="0" xfId="0" applyFont="1" applyAlignment="1">
      <alignment vertical="center" wrapText="1"/>
    </xf>
    <xf numFmtId="3" fontId="31" fillId="0" borderId="0" xfId="0" applyNumberFormat="1" applyFont="1" applyAlignment="1">
      <alignment vertical="center"/>
    </xf>
    <xf numFmtId="3" fontId="27" fillId="0" borderId="0" xfId="0" applyNumberFormat="1" applyFont="1" applyAlignment="1">
      <alignment horizontal="right" vertical="center"/>
    </xf>
    <xf numFmtId="3" fontId="23" fillId="0" borderId="0" xfId="0" applyNumberFormat="1" applyFont="1" applyAlignment="1">
      <alignment vertical="center" wrapText="1"/>
    </xf>
    <xf numFmtId="0" fontId="27" fillId="0" borderId="9" xfId="0" applyFont="1" applyBorder="1" applyAlignment="1">
      <alignment vertical="center"/>
    </xf>
    <xf numFmtId="0" fontId="27" fillId="0" borderId="19" xfId="0" applyFont="1" applyBorder="1"/>
    <xf numFmtId="0" fontId="27" fillId="0" borderId="2" xfId="0" applyFont="1" applyBorder="1"/>
    <xf numFmtId="0" fontId="35" fillId="0" borderId="0" xfId="7" applyFont="1"/>
    <xf numFmtId="0" fontId="34" fillId="0" borderId="0" xfId="7"/>
    <xf numFmtId="0" fontId="36" fillId="0" borderId="0" xfId="7" applyFont="1"/>
    <xf numFmtId="0" fontId="27" fillId="0" borderId="0" xfId="7" applyFont="1"/>
    <xf numFmtId="3" fontId="35" fillId="0" borderId="0" xfId="7" applyNumberFormat="1" applyFont="1"/>
    <xf numFmtId="0" fontId="27" fillId="0" borderId="0" xfId="7" applyFont="1" applyAlignment="1">
      <alignment vertical="center"/>
    </xf>
    <xf numFmtId="3" fontId="37" fillId="0" borderId="0" xfId="7" applyNumberFormat="1" applyFont="1"/>
    <xf numFmtId="9" fontId="37" fillId="0" borderId="0" xfId="7" applyNumberFormat="1" applyFont="1"/>
    <xf numFmtId="0" fontId="27" fillId="0" borderId="0" xfId="7" applyFont="1" applyAlignment="1">
      <alignment vertical="center" wrapText="1"/>
    </xf>
    <xf numFmtId="3" fontId="36" fillId="0" borderId="0" xfId="7" applyNumberFormat="1" applyFont="1"/>
    <xf numFmtId="0" fontId="35" fillId="0" borderId="18" xfId="7" applyFont="1" applyBorder="1"/>
    <xf numFmtId="0" fontId="27" fillId="0" borderId="0" xfId="0" applyFont="1" applyAlignment="1">
      <alignment wrapText="1"/>
    </xf>
    <xf numFmtId="3" fontId="27" fillId="0" borderId="0" xfId="0" applyNumberFormat="1" applyFont="1"/>
    <xf numFmtId="3" fontId="24" fillId="0" borderId="5" xfId="8" applyNumberFormat="1" applyFont="1" applyBorder="1" applyAlignment="1">
      <alignment horizontal="center" vertical="center"/>
    </xf>
    <xf numFmtId="3" fontId="27" fillId="0" borderId="18" xfId="0" applyNumberFormat="1" applyFont="1" applyBorder="1"/>
    <xf numFmtId="0" fontId="27" fillId="0" borderId="18" xfId="0" applyFont="1" applyBorder="1"/>
    <xf numFmtId="3" fontId="27" fillId="0" borderId="0" xfId="0" applyNumberFormat="1" applyFont="1" applyAlignment="1">
      <alignment horizontal="right"/>
    </xf>
    <xf numFmtId="0" fontId="23" fillId="0" borderId="0" xfId="0" applyFont="1"/>
    <xf numFmtId="0" fontId="27" fillId="0" borderId="9" xfId="0" applyFont="1" applyBorder="1"/>
    <xf numFmtId="0" fontId="31" fillId="0" borderId="9" xfId="0" applyFont="1" applyBorder="1"/>
    <xf numFmtId="3" fontId="27" fillId="0" borderId="9" xfId="0" applyNumberFormat="1" applyFont="1" applyBorder="1"/>
    <xf numFmtId="17" fontId="11" fillId="0" borderId="0" xfId="0" applyNumberFormat="1" applyFont="1" applyAlignment="1">
      <alignment wrapText="1"/>
    </xf>
    <xf numFmtId="169" fontId="24" fillId="0" borderId="0" xfId="8" applyNumberFormat="1" applyFont="1" applyAlignment="1">
      <alignment horizontal="center" vertical="center"/>
    </xf>
    <xf numFmtId="3" fontId="24" fillId="0" borderId="5" xfId="8" applyNumberFormat="1" applyFont="1" applyBorder="1" applyAlignment="1">
      <alignment horizontal="center"/>
    </xf>
    <xf numFmtId="0" fontId="24" fillId="0" borderId="20" xfId="8" applyFont="1" applyBorder="1" applyAlignment="1">
      <alignment horizontal="center" vertical="center"/>
    </xf>
    <xf numFmtId="0" fontId="22" fillId="0" borderId="23" xfId="8" applyFont="1" applyBorder="1" applyAlignment="1">
      <alignment horizontal="center" vertical="center" wrapText="1"/>
    </xf>
    <xf numFmtId="0" fontId="16" fillId="0" borderId="24" xfId="8" applyBorder="1" applyAlignment="1">
      <alignment horizontal="center"/>
    </xf>
    <xf numFmtId="0" fontId="0" fillId="0" borderId="18" xfId="0" applyBorder="1"/>
    <xf numFmtId="0" fontId="15" fillId="0" borderId="5" xfId="8" applyFont="1" applyBorder="1"/>
    <xf numFmtId="3" fontId="23" fillId="0" borderId="9" xfId="0" applyNumberFormat="1" applyFont="1" applyBorder="1" applyAlignment="1">
      <alignment vertical="center"/>
    </xf>
    <xf numFmtId="0" fontId="33" fillId="0" borderId="0" xfId="0" applyFont="1" applyAlignment="1">
      <alignment vertical="center"/>
    </xf>
    <xf numFmtId="3" fontId="23" fillId="0" borderId="0" xfId="0" applyNumberFormat="1" applyFont="1" applyAlignment="1">
      <alignment horizontal="right" vertical="center"/>
    </xf>
    <xf numFmtId="3" fontId="31" fillId="0" borderId="0" xfId="0" applyNumberFormat="1" applyFont="1" applyAlignment="1">
      <alignment horizontal="right" vertical="center"/>
    </xf>
    <xf numFmtId="171" fontId="25" fillId="0" borderId="0" xfId="8" applyNumberFormat="1" applyFont="1" applyAlignment="1">
      <alignment horizontal="center" vertical="center"/>
    </xf>
    <xf numFmtId="0" fontId="15" fillId="0" borderId="0" xfId="8" applyFont="1" applyAlignment="1">
      <alignment horizontal="center"/>
    </xf>
    <xf numFmtId="169" fontId="16" fillId="0" borderId="0" xfId="8" applyNumberFormat="1"/>
    <xf numFmtId="0" fontId="27" fillId="0" borderId="18" xfId="0" applyFont="1" applyBorder="1" applyAlignment="1">
      <alignment vertical="center" wrapText="1"/>
    </xf>
    <xf numFmtId="3" fontId="31" fillId="0" borderId="18" xfId="0" applyNumberFormat="1" applyFont="1" applyBorder="1" applyAlignment="1">
      <alignment vertical="center"/>
    </xf>
    <xf numFmtId="3" fontId="24" fillId="0" borderId="0" xfId="8" applyNumberFormat="1" applyFont="1"/>
    <xf numFmtId="3" fontId="25" fillId="0" borderId="0" xfId="8" applyNumberFormat="1" applyFont="1"/>
    <xf numFmtId="0" fontId="24" fillId="0" borderId="3" xfId="8" applyFont="1" applyBorder="1"/>
    <xf numFmtId="3" fontId="24" fillId="0" borderId="5" xfId="8" applyNumberFormat="1" applyFont="1" applyBorder="1"/>
    <xf numFmtId="3" fontId="25" fillId="0" borderId="5" xfId="8" applyNumberFormat="1" applyFont="1" applyBorder="1"/>
    <xf numFmtId="0" fontId="24" fillId="0" borderId="27" xfId="8" applyFont="1" applyBorder="1"/>
    <xf numFmtId="3" fontId="34" fillId="0" borderId="0" xfId="7" applyNumberFormat="1"/>
    <xf numFmtId="1" fontId="36" fillId="0" borderId="0" xfId="7" applyNumberFormat="1" applyFont="1"/>
    <xf numFmtId="3" fontId="24" fillId="0" borderId="33" xfId="8" applyNumberFormat="1" applyFont="1" applyBorder="1" applyAlignment="1">
      <alignment horizontal="center" vertical="center"/>
    </xf>
    <xf numFmtId="3" fontId="24" fillId="0" borderId="3" xfId="8" applyNumberFormat="1" applyFont="1" applyBorder="1" applyAlignment="1">
      <alignment horizontal="center" vertical="center"/>
    </xf>
    <xf numFmtId="3" fontId="16" fillId="0" borderId="0" xfId="8" applyNumberFormat="1" applyAlignment="1">
      <alignment horizontal="right"/>
    </xf>
    <xf numFmtId="0" fontId="23" fillId="0" borderId="0" xfId="0" applyFont="1" applyAlignment="1">
      <alignment horizontal="center"/>
    </xf>
    <xf numFmtId="0" fontId="40" fillId="0" borderId="0" xfId="5" applyFont="1" applyBorder="1" applyAlignment="1" applyProtection="1"/>
    <xf numFmtId="164" fontId="0" fillId="0" borderId="0" xfId="9" applyNumberFormat="1" applyFont="1"/>
    <xf numFmtId="167" fontId="16" fillId="0" borderId="0" xfId="8" applyNumberFormat="1"/>
    <xf numFmtId="3" fontId="24" fillId="0" borderId="27" xfId="8" applyNumberFormat="1" applyFont="1" applyBorder="1" applyAlignment="1">
      <alignment horizontal="center" vertical="center"/>
    </xf>
    <xf numFmtId="3" fontId="24" fillId="0" borderId="46" xfId="8" applyNumberFormat="1" applyFont="1" applyBorder="1" applyAlignment="1">
      <alignment horizontal="center" vertical="center"/>
    </xf>
    <xf numFmtId="3" fontId="26" fillId="0" borderId="48" xfId="8" applyNumberFormat="1" applyFont="1" applyBorder="1" applyAlignment="1">
      <alignment horizontal="center" vertical="center"/>
    </xf>
    <xf numFmtId="3" fontId="24" fillId="0" borderId="49" xfId="8" applyNumberFormat="1" applyFont="1" applyBorder="1" applyAlignment="1">
      <alignment horizontal="center" vertical="center"/>
    </xf>
    <xf numFmtId="3" fontId="25" fillId="0" borderId="50" xfId="8" applyNumberFormat="1" applyFont="1" applyBorder="1" applyAlignment="1">
      <alignment horizontal="center" vertical="center"/>
    </xf>
    <xf numFmtId="3" fontId="24" fillId="0" borderId="11" xfId="8" applyNumberFormat="1" applyFont="1" applyBorder="1" applyAlignment="1">
      <alignment horizontal="center" vertical="center"/>
    </xf>
    <xf numFmtId="3" fontId="26" fillId="0" borderId="51" xfId="8" applyNumberFormat="1" applyFont="1" applyBorder="1" applyAlignment="1">
      <alignment horizontal="center" vertical="center"/>
    </xf>
    <xf numFmtId="3" fontId="24" fillId="0" borderId="1" xfId="8" applyNumberFormat="1" applyFont="1" applyBorder="1" applyAlignment="1">
      <alignment horizontal="center" vertical="center"/>
    </xf>
    <xf numFmtId="3" fontId="25" fillId="0" borderId="32" xfId="8" applyNumberFormat="1" applyFont="1" applyBorder="1" applyAlignment="1">
      <alignment horizontal="center" vertical="center"/>
    </xf>
    <xf numFmtId="3" fontId="25" fillId="0" borderId="31" xfId="8" applyNumberFormat="1" applyFont="1" applyBorder="1" applyAlignment="1">
      <alignment horizontal="center" vertical="center"/>
    </xf>
    <xf numFmtId="3" fontId="24" fillId="0" borderId="54" xfId="8" applyNumberFormat="1" applyFont="1" applyBorder="1" applyAlignment="1">
      <alignment horizontal="center" vertical="center"/>
    </xf>
    <xf numFmtId="3" fontId="24" fillId="0" borderId="56" xfId="8" applyNumberFormat="1" applyFont="1" applyBorder="1" applyAlignment="1">
      <alignment horizontal="center" vertical="center"/>
    </xf>
    <xf numFmtId="3" fontId="26" fillId="0" borderId="57" xfId="8" applyNumberFormat="1" applyFont="1" applyBorder="1" applyAlignment="1">
      <alignment horizontal="center" vertical="center"/>
    </xf>
    <xf numFmtId="3" fontId="24" fillId="0" borderId="26" xfId="8" applyNumberFormat="1" applyFont="1" applyBorder="1" applyAlignment="1">
      <alignment horizontal="center" vertical="center"/>
    </xf>
    <xf numFmtId="0" fontId="24" fillId="0" borderId="59" xfId="8" applyFont="1" applyBorder="1" applyAlignment="1">
      <alignment horizontal="center" vertical="center"/>
    </xf>
    <xf numFmtId="3" fontId="16" fillId="0" borderId="3" xfId="8" applyNumberFormat="1" applyBorder="1" applyAlignment="1">
      <alignment horizontal="center" vertical="center"/>
    </xf>
    <xf numFmtId="3" fontId="16" fillId="0" borderId="11" xfId="8" applyNumberFormat="1" applyBorder="1" applyAlignment="1">
      <alignment horizontal="center" vertical="center"/>
    </xf>
    <xf numFmtId="3" fontId="22" fillId="0" borderId="32" xfId="8" applyNumberFormat="1" applyFont="1" applyBorder="1" applyAlignment="1">
      <alignment horizontal="center" vertical="center"/>
    </xf>
    <xf numFmtId="3" fontId="22" fillId="0" borderId="51" xfId="8" applyNumberFormat="1" applyFont="1" applyBorder="1" applyAlignment="1">
      <alignment horizontal="center" vertical="center"/>
    </xf>
    <xf numFmtId="3" fontId="15" fillId="0" borderId="1" xfId="8" applyNumberFormat="1" applyFont="1" applyBorder="1" applyAlignment="1">
      <alignment horizontal="center" vertical="center"/>
    </xf>
    <xf numFmtId="3" fontId="16" fillId="0" borderId="1" xfId="8" applyNumberFormat="1" applyBorder="1" applyAlignment="1">
      <alignment horizontal="center" vertical="center"/>
    </xf>
    <xf numFmtId="3" fontId="15" fillId="0" borderId="0" xfId="8" applyNumberFormat="1" applyFont="1" applyAlignment="1">
      <alignment horizontal="center" vertical="center"/>
    </xf>
    <xf numFmtId="3" fontId="16" fillId="0" borderId="0" xfId="8" applyNumberFormat="1" applyAlignment="1">
      <alignment horizontal="center" vertical="center"/>
    </xf>
    <xf numFmtId="3" fontId="15" fillId="0" borderId="31" xfId="8" applyNumberFormat="1" applyFont="1" applyBorder="1" applyAlignment="1">
      <alignment horizontal="center" vertical="center"/>
    </xf>
    <xf numFmtId="0" fontId="16" fillId="0" borderId="6" xfId="8" applyBorder="1" applyAlignment="1">
      <alignment horizontal="center" vertical="center"/>
    </xf>
    <xf numFmtId="0" fontId="22" fillId="0" borderId="60" xfId="8" applyFont="1" applyBorder="1" applyAlignment="1">
      <alignment horizontal="center" wrapText="1"/>
    </xf>
    <xf numFmtId="0" fontId="16" fillId="0" borderId="61" xfId="8" applyBorder="1" applyAlignment="1">
      <alignment horizontal="center"/>
    </xf>
    <xf numFmtId="0" fontId="16" fillId="0" borderId="62" xfId="8" applyBorder="1" applyAlignment="1">
      <alignment horizontal="center"/>
    </xf>
    <xf numFmtId="0" fontId="16" fillId="0" borderId="63" xfId="8" applyBorder="1" applyAlignment="1">
      <alignment horizontal="center"/>
    </xf>
    <xf numFmtId="0" fontId="15" fillId="0" borderId="65" xfId="8" applyFont="1" applyBorder="1"/>
    <xf numFmtId="0" fontId="16" fillId="0" borderId="65" xfId="8" applyBorder="1"/>
    <xf numFmtId="0" fontId="16" fillId="0" borderId="66" xfId="8" applyBorder="1"/>
    <xf numFmtId="166" fontId="24" fillId="0" borderId="3" xfId="8" applyNumberFormat="1" applyFont="1" applyBorder="1" applyAlignment="1">
      <alignment horizontal="center" vertical="center"/>
    </xf>
    <xf numFmtId="166" fontId="24" fillId="0" borderId="17" xfId="8" applyNumberFormat="1" applyFont="1" applyBorder="1" applyAlignment="1">
      <alignment horizontal="center" vertical="center"/>
    </xf>
    <xf numFmtId="3" fontId="25" fillId="0" borderId="26" xfId="8" applyNumberFormat="1" applyFont="1" applyBorder="1" applyAlignment="1">
      <alignment horizontal="center" vertical="center"/>
    </xf>
    <xf numFmtId="3" fontId="25" fillId="0" borderId="5" xfId="8" applyNumberFormat="1" applyFont="1" applyBorder="1" applyAlignment="1">
      <alignment horizontal="center" vertical="center"/>
    </xf>
    <xf numFmtId="3" fontId="24" fillId="0" borderId="69" xfId="8" applyNumberFormat="1" applyFont="1" applyBorder="1" applyAlignment="1">
      <alignment horizontal="center" vertical="center"/>
    </xf>
    <xf numFmtId="166" fontId="24" fillId="0" borderId="27" xfId="8" applyNumberFormat="1" applyFont="1" applyBorder="1" applyAlignment="1">
      <alignment horizontal="center" vertical="center"/>
    </xf>
    <xf numFmtId="0" fontId="22" fillId="0" borderId="0" xfId="8" applyFont="1" applyAlignment="1">
      <alignment horizontal="center" vertical="center"/>
    </xf>
    <xf numFmtId="0" fontId="26" fillId="0" borderId="0" xfId="8" applyFont="1" applyAlignment="1">
      <alignment horizontal="center" vertical="center"/>
    </xf>
    <xf numFmtId="0" fontId="26" fillId="0" borderId="5" xfId="8" applyFont="1" applyBorder="1" applyAlignment="1">
      <alignment horizontal="center" vertical="center"/>
    </xf>
    <xf numFmtId="3" fontId="26" fillId="0" borderId="31" xfId="8" applyNumberFormat="1" applyFont="1" applyBorder="1" applyAlignment="1">
      <alignment horizontal="center" vertical="center"/>
    </xf>
    <xf numFmtId="3" fontId="26" fillId="0" borderId="50" xfId="8" applyNumberFormat="1" applyFont="1" applyBorder="1" applyAlignment="1">
      <alignment horizontal="center" vertical="center"/>
    </xf>
    <xf numFmtId="3" fontId="24" fillId="0" borderId="38" xfId="8" applyNumberFormat="1" applyFont="1" applyBorder="1" applyAlignment="1">
      <alignment horizontal="center" vertical="center"/>
    </xf>
    <xf numFmtId="3" fontId="15" fillId="0" borderId="0" xfId="8" applyNumberFormat="1" applyFont="1"/>
    <xf numFmtId="9" fontId="16" fillId="0" borderId="3" xfId="8" applyNumberFormat="1" applyBorder="1"/>
    <xf numFmtId="9" fontId="26" fillId="0" borderId="3" xfId="8" applyNumberFormat="1" applyFont="1" applyBorder="1" applyAlignment="1">
      <alignment horizontal="center"/>
    </xf>
    <xf numFmtId="9" fontId="26" fillId="0" borderId="55" xfId="8" applyNumberFormat="1" applyFont="1" applyBorder="1" applyAlignment="1">
      <alignment horizontal="center"/>
    </xf>
    <xf numFmtId="9" fontId="26" fillId="0" borderId="27" xfId="8" applyNumberFormat="1" applyFont="1" applyBorder="1" applyAlignment="1">
      <alignment horizontal="center"/>
    </xf>
    <xf numFmtId="0" fontId="22" fillId="0" borderId="11" xfId="8" applyFont="1" applyBorder="1" applyAlignment="1">
      <alignment horizontal="center" vertical="center"/>
    </xf>
    <xf numFmtId="0" fontId="26" fillId="0" borderId="11" xfId="8" applyFont="1" applyBorder="1" applyAlignment="1">
      <alignment horizontal="center" vertical="center"/>
    </xf>
    <xf numFmtId="0" fontId="26" fillId="0" borderId="68" xfId="8" applyFont="1" applyBorder="1" applyAlignment="1">
      <alignment horizontal="center" vertical="center"/>
    </xf>
    <xf numFmtId="0" fontId="26" fillId="0" borderId="69" xfId="8" applyFont="1" applyBorder="1" applyAlignment="1">
      <alignment horizontal="center" vertical="center"/>
    </xf>
    <xf numFmtId="0" fontId="16" fillId="0" borderId="64" xfId="8" applyBorder="1"/>
    <xf numFmtId="0" fontId="24" fillId="0" borderId="71" xfId="8" applyFont="1" applyBorder="1" applyAlignment="1">
      <alignment horizontal="center" vertical="center"/>
    </xf>
    <xf numFmtId="0" fontId="26" fillId="0" borderId="72" xfId="8" applyFont="1" applyBorder="1" applyAlignment="1">
      <alignment horizontal="center" vertical="center"/>
    </xf>
    <xf numFmtId="3" fontId="25" fillId="0" borderId="33" xfId="8" applyNumberFormat="1" applyFont="1" applyBorder="1" applyAlignment="1">
      <alignment horizontal="center" vertical="center"/>
    </xf>
    <xf numFmtId="3" fontId="25" fillId="0" borderId="52" xfId="8" applyNumberFormat="1" applyFont="1" applyBorder="1" applyAlignment="1">
      <alignment horizontal="center" vertical="center"/>
    </xf>
    <xf numFmtId="3" fontId="26" fillId="0" borderId="73" xfId="8" applyNumberFormat="1" applyFont="1" applyBorder="1" applyAlignment="1">
      <alignment horizontal="center" vertical="center"/>
    </xf>
    <xf numFmtId="3" fontId="24" fillId="0" borderId="74" xfId="8" applyNumberFormat="1" applyFont="1" applyBorder="1" applyAlignment="1">
      <alignment horizontal="center" vertical="center"/>
    </xf>
    <xf numFmtId="9" fontId="26" fillId="0" borderId="34" xfId="8" applyNumberFormat="1" applyFont="1" applyBorder="1" applyAlignment="1">
      <alignment horizontal="center"/>
    </xf>
    <xf numFmtId="3" fontId="24" fillId="0" borderId="32" xfId="8" applyNumberFormat="1" applyFont="1" applyBorder="1" applyAlignment="1">
      <alignment horizontal="center" vertical="center"/>
    </xf>
    <xf numFmtId="3" fontId="24" fillId="0" borderId="52" xfId="8" applyNumberFormat="1" applyFont="1" applyBorder="1" applyAlignment="1">
      <alignment horizontal="center" vertical="center"/>
    </xf>
    <xf numFmtId="3" fontId="24" fillId="0" borderId="58" xfId="8" applyNumberFormat="1" applyFont="1" applyBorder="1" applyAlignment="1">
      <alignment horizontal="center" vertical="center"/>
    </xf>
    <xf numFmtId="3" fontId="24" fillId="0" borderId="47" xfId="8" applyNumberFormat="1" applyFont="1" applyBorder="1" applyAlignment="1">
      <alignment horizontal="center" vertical="center"/>
    </xf>
    <xf numFmtId="3" fontId="24" fillId="0" borderId="53" xfId="8" applyNumberFormat="1" applyFont="1" applyBorder="1" applyAlignment="1">
      <alignment horizontal="center" vertical="center"/>
    </xf>
    <xf numFmtId="3" fontId="41" fillId="0" borderId="32" xfId="8" applyNumberFormat="1" applyFont="1" applyBorder="1" applyAlignment="1">
      <alignment horizontal="center" vertical="center"/>
    </xf>
    <xf numFmtId="3" fontId="41" fillId="0" borderId="52" xfId="8" applyNumberFormat="1" applyFont="1" applyBorder="1" applyAlignment="1">
      <alignment horizontal="center" vertical="center"/>
    </xf>
    <xf numFmtId="3" fontId="41" fillId="0" borderId="47" xfId="8" applyNumberFormat="1" applyFont="1" applyBorder="1" applyAlignment="1">
      <alignment horizontal="center" vertical="center"/>
    </xf>
    <xf numFmtId="3" fontId="24" fillId="0" borderId="33" xfId="8" applyNumberFormat="1" applyFont="1" applyBorder="1" applyAlignment="1">
      <alignment horizontal="center"/>
    </xf>
    <xf numFmtId="3" fontId="24" fillId="0" borderId="26" xfId="8" applyNumberFormat="1" applyFont="1" applyBorder="1" applyAlignment="1">
      <alignment horizontal="center"/>
    </xf>
    <xf numFmtId="0" fontId="42" fillId="0" borderId="35" xfId="8" applyFont="1" applyBorder="1" applyAlignment="1">
      <alignment horizontal="center" wrapText="1"/>
    </xf>
    <xf numFmtId="3" fontId="42" fillId="0" borderId="32" xfId="8" applyNumberFormat="1" applyFont="1" applyBorder="1" applyAlignment="1">
      <alignment horizontal="center" vertical="center"/>
    </xf>
    <xf numFmtId="3" fontId="24" fillId="0" borderId="51" xfId="8" applyNumberFormat="1" applyFont="1" applyBorder="1" applyAlignment="1">
      <alignment horizontal="center" vertical="center"/>
    </xf>
    <xf numFmtId="3" fontId="24" fillId="0" borderId="73" xfId="8" applyNumberFormat="1" applyFont="1" applyBorder="1" applyAlignment="1">
      <alignment horizontal="center" vertical="center"/>
    </xf>
    <xf numFmtId="3" fontId="24" fillId="0" borderId="75" xfId="8" applyNumberFormat="1" applyFont="1" applyBorder="1" applyAlignment="1">
      <alignment horizontal="center" vertical="center"/>
    </xf>
    <xf numFmtId="0" fontId="26" fillId="0" borderId="33" xfId="8" applyFont="1" applyBorder="1" applyAlignment="1">
      <alignment horizontal="center" vertical="center"/>
    </xf>
    <xf numFmtId="3" fontId="26" fillId="0" borderId="11" xfId="8" applyNumberFormat="1" applyFont="1" applyBorder="1" applyAlignment="1">
      <alignment horizontal="center" vertical="center"/>
    </xf>
    <xf numFmtId="3" fontId="25" fillId="0" borderId="76" xfId="8" applyNumberFormat="1" applyFont="1" applyBorder="1" applyAlignment="1">
      <alignment horizontal="center" vertical="center"/>
    </xf>
    <xf numFmtId="3" fontId="26" fillId="0" borderId="72" xfId="8" applyNumberFormat="1" applyFont="1" applyBorder="1" applyAlignment="1">
      <alignment horizontal="center" vertical="center"/>
    </xf>
    <xf numFmtId="3" fontId="24" fillId="0" borderId="77" xfId="8" applyNumberFormat="1" applyFont="1" applyBorder="1" applyAlignment="1">
      <alignment horizontal="center" vertical="center"/>
    </xf>
    <xf numFmtId="9" fontId="25" fillId="0" borderId="32" xfId="9" applyFont="1" applyBorder="1" applyAlignment="1">
      <alignment horizontal="center" vertical="center"/>
    </xf>
    <xf numFmtId="0" fontId="16" fillId="0" borderId="23" xfId="8" applyBorder="1" applyAlignment="1">
      <alignment vertical="center" wrapText="1"/>
    </xf>
    <xf numFmtId="0" fontId="24" fillId="0" borderId="0" xfId="8" applyFont="1" applyAlignment="1">
      <alignment horizontal="center"/>
    </xf>
    <xf numFmtId="3" fontId="24" fillId="0" borderId="33" xfId="8" applyNumberFormat="1" applyFont="1" applyBorder="1"/>
    <xf numFmtId="166" fontId="24" fillId="0" borderId="34" xfId="8" applyNumberFormat="1" applyFont="1" applyBorder="1" applyAlignment="1">
      <alignment horizontal="center" vertical="center"/>
    </xf>
    <xf numFmtId="3" fontId="24" fillId="0" borderId="72" xfId="8" applyNumberFormat="1" applyFont="1" applyBorder="1" applyAlignment="1">
      <alignment horizontal="center" vertical="center"/>
    </xf>
    <xf numFmtId="3" fontId="25" fillId="0" borderId="33" xfId="8" applyNumberFormat="1" applyFont="1" applyBorder="1"/>
    <xf numFmtId="3" fontId="26" fillId="0" borderId="5" xfId="8" applyNumberFormat="1" applyFont="1" applyBorder="1" applyAlignment="1">
      <alignment horizontal="center" vertical="center"/>
    </xf>
    <xf numFmtId="9" fontId="25" fillId="0" borderId="47" xfId="9" applyFont="1" applyBorder="1" applyAlignment="1">
      <alignment horizontal="center" vertical="center"/>
    </xf>
    <xf numFmtId="0" fontId="21" fillId="0" borderId="0" xfId="8" applyFont="1" applyAlignment="1">
      <alignment horizontal="center" vertical="center" wrapText="1"/>
    </xf>
    <xf numFmtId="3" fontId="43" fillId="0" borderId="0" xfId="8" applyNumberFormat="1" applyFont="1" applyAlignment="1">
      <alignment horizontal="center"/>
    </xf>
    <xf numFmtId="3" fontId="44" fillId="0" borderId="0" xfId="8" applyNumberFormat="1" applyFont="1" applyAlignment="1">
      <alignment horizontal="center"/>
    </xf>
    <xf numFmtId="9" fontId="43" fillId="0" borderId="0" xfId="8" applyNumberFormat="1" applyFont="1" applyAlignment="1">
      <alignment horizontal="center"/>
    </xf>
    <xf numFmtId="3" fontId="45" fillId="0" borderId="0" xfId="8" applyNumberFormat="1" applyFont="1" applyAlignment="1">
      <alignment horizontal="center"/>
    </xf>
    <xf numFmtId="3" fontId="43" fillId="0" borderId="5" xfId="8" applyNumberFormat="1" applyFont="1" applyBorder="1" applyAlignment="1">
      <alignment horizontal="center"/>
    </xf>
    <xf numFmtId="3" fontId="44" fillId="0" borderId="5" xfId="8" applyNumberFormat="1" applyFont="1" applyBorder="1" applyAlignment="1">
      <alignment horizontal="center"/>
    </xf>
    <xf numFmtId="3" fontId="45" fillId="0" borderId="5" xfId="8" applyNumberFormat="1" applyFont="1" applyBorder="1" applyAlignment="1">
      <alignment horizontal="center"/>
    </xf>
    <xf numFmtId="9" fontId="43" fillId="0" borderId="5" xfId="8" applyNumberFormat="1" applyFont="1" applyBorder="1" applyAlignment="1">
      <alignment horizontal="center"/>
    </xf>
    <xf numFmtId="0" fontId="29" fillId="0" borderId="0" xfId="0" applyFont="1"/>
    <xf numFmtId="0" fontId="27" fillId="0" borderId="4" xfId="0" applyFont="1" applyBorder="1"/>
    <xf numFmtId="0" fontId="27" fillId="0" borderId="4" xfId="0" applyFont="1" applyBorder="1" applyAlignment="1">
      <alignment wrapText="1"/>
    </xf>
    <xf numFmtId="0" fontId="27" fillId="0" borderId="4" xfId="0" applyFont="1" applyBorder="1" applyAlignment="1">
      <alignment horizontal="center" vertical="center" wrapText="1"/>
    </xf>
    <xf numFmtId="0" fontId="31" fillId="0" borderId="4" xfId="0" applyFont="1" applyBorder="1" applyAlignment="1">
      <alignment horizontal="center" vertical="center" wrapText="1"/>
    </xf>
    <xf numFmtId="0" fontId="23" fillId="0" borderId="18" xfId="0" applyFont="1" applyBorder="1"/>
    <xf numFmtId="0" fontId="23" fillId="0" borderId="0" xfId="0" applyFont="1" applyAlignment="1">
      <alignment horizontal="center" vertical="center"/>
    </xf>
    <xf numFmtId="0" fontId="29" fillId="0" borderId="10" xfId="8" applyFont="1" applyBorder="1" applyAlignment="1">
      <alignment horizontal="center" vertical="center" wrapText="1"/>
    </xf>
    <xf numFmtId="0" fontId="20" fillId="0" borderId="10" xfId="8" applyFont="1" applyBorder="1" applyAlignment="1">
      <alignment horizontal="center" vertical="center" wrapText="1"/>
    </xf>
    <xf numFmtId="9" fontId="0" fillId="0" borderId="0" xfId="9" applyFont="1"/>
    <xf numFmtId="164" fontId="0" fillId="0" borderId="0" xfId="0" applyNumberFormat="1"/>
    <xf numFmtId="0" fontId="39" fillId="0" borderId="0" xfId="7" applyFont="1" applyAlignment="1">
      <alignment horizontal="left"/>
    </xf>
    <xf numFmtId="0" fontId="40" fillId="0" borderId="0" xfId="5" applyFont="1" applyFill="1" applyBorder="1" applyAlignment="1" applyProtection="1"/>
    <xf numFmtId="3" fontId="24" fillId="0" borderId="0" xfId="9" applyNumberFormat="1" applyFont="1" applyFill="1" applyBorder="1" applyAlignment="1">
      <alignment horizontal="center" vertical="center"/>
    </xf>
    <xf numFmtId="9" fontId="25" fillId="0" borderId="0" xfId="9" applyFont="1" applyFill="1" applyBorder="1" applyAlignment="1">
      <alignment horizontal="center" vertical="center"/>
    </xf>
    <xf numFmtId="9" fontId="24" fillId="0" borderId="0" xfId="9" applyFont="1" applyFill="1" applyBorder="1" applyAlignment="1">
      <alignment horizontal="center" vertical="center"/>
    </xf>
    <xf numFmtId="0" fontId="28" fillId="0" borderId="21" xfId="8" applyFont="1" applyBorder="1" applyAlignment="1">
      <alignment vertical="center" wrapText="1"/>
    </xf>
    <xf numFmtId="9" fontId="24" fillId="0" borderId="5" xfId="9" applyFont="1" applyFill="1" applyBorder="1" applyAlignment="1">
      <alignment horizontal="center" vertical="center"/>
    </xf>
    <xf numFmtId="3" fontId="25" fillId="0" borderId="3" xfId="8" applyNumberFormat="1" applyFont="1" applyBorder="1" applyAlignment="1">
      <alignment horizontal="center" vertical="center"/>
    </xf>
    <xf numFmtId="3" fontId="24" fillId="0" borderId="3" xfId="9" applyNumberFormat="1" applyFont="1" applyFill="1" applyBorder="1" applyAlignment="1">
      <alignment horizontal="center" vertical="center"/>
    </xf>
    <xf numFmtId="3" fontId="24" fillId="0" borderId="27" xfId="9" applyNumberFormat="1" applyFont="1" applyFill="1" applyBorder="1" applyAlignment="1">
      <alignment horizontal="center" vertical="center"/>
    </xf>
    <xf numFmtId="3" fontId="26" fillId="0" borderId="76" xfId="8" applyNumberFormat="1" applyFont="1" applyBorder="1" applyAlignment="1">
      <alignment horizontal="center" vertical="center"/>
    </xf>
    <xf numFmtId="3" fontId="26" fillId="0" borderId="33" xfId="8" applyNumberFormat="1" applyFont="1" applyBorder="1" applyAlignment="1">
      <alignment horizontal="center" vertical="center"/>
    </xf>
    <xf numFmtId="9" fontId="25" fillId="0" borderId="52" xfId="9" applyFont="1" applyBorder="1" applyAlignment="1">
      <alignment horizontal="center" vertical="center"/>
    </xf>
    <xf numFmtId="9" fontId="25" fillId="0" borderId="33" xfId="9" applyFont="1" applyFill="1" applyBorder="1" applyAlignment="1">
      <alignment horizontal="center" vertical="center"/>
    </xf>
    <xf numFmtId="3" fontId="24" fillId="0" borderId="34" xfId="9" applyNumberFormat="1" applyFont="1" applyFill="1" applyBorder="1" applyAlignment="1">
      <alignment horizontal="center" vertical="center"/>
    </xf>
    <xf numFmtId="0" fontId="51" fillId="0" borderId="0" xfId="29" applyFont="1"/>
    <xf numFmtId="0" fontId="51" fillId="0" borderId="0" xfId="29" applyFont="1" applyAlignment="1">
      <alignment wrapText="1"/>
    </xf>
    <xf numFmtId="0" fontId="39" fillId="0" borderId="0" xfId="0" applyFont="1"/>
    <xf numFmtId="0" fontId="35" fillId="0" borderId="0" xfId="29" applyFont="1"/>
    <xf numFmtId="0" fontId="35" fillId="0" borderId="18" xfId="29" applyFont="1" applyBorder="1"/>
    <xf numFmtId="0" fontId="35" fillId="0" borderId="9" xfId="29" applyFont="1" applyBorder="1"/>
    <xf numFmtId="0" fontId="35" fillId="0" borderId="4" xfId="29" applyFont="1" applyBorder="1"/>
    <xf numFmtId="164" fontId="35" fillId="0" borderId="0" xfId="29" applyNumberFormat="1" applyFont="1"/>
    <xf numFmtId="164" fontId="35" fillId="0" borderId="4" xfId="29" applyNumberFormat="1" applyFont="1" applyBorder="1"/>
    <xf numFmtId="164" fontId="35" fillId="0" borderId="18" xfId="29" applyNumberFormat="1" applyFont="1" applyBorder="1"/>
    <xf numFmtId="164" fontId="27" fillId="0" borderId="9" xfId="0" applyNumberFormat="1" applyFont="1" applyBorder="1"/>
    <xf numFmtId="164" fontId="31" fillId="0" borderId="0" xfId="0" applyNumberFormat="1" applyFont="1"/>
    <xf numFmtId="0" fontId="31" fillId="0" borderId="18" xfId="0" applyFont="1" applyBorder="1"/>
    <xf numFmtId="3" fontId="13" fillId="0" borderId="0" xfId="0" applyNumberFormat="1" applyFont="1" applyAlignment="1">
      <alignment horizontal="right" vertical="center" indent="1"/>
    </xf>
    <xf numFmtId="3" fontId="52" fillId="0" borderId="0" xfId="0" applyNumberFormat="1" applyFont="1" applyAlignment="1">
      <alignment horizontal="right" vertical="center" indent="1"/>
    </xf>
    <xf numFmtId="0" fontId="51" fillId="0" borderId="2" xfId="29" applyFont="1" applyBorder="1"/>
    <xf numFmtId="0" fontId="51" fillId="0" borderId="0" xfId="32" applyFont="1"/>
    <xf numFmtId="0" fontId="51" fillId="0" borderId="18" xfId="32" applyFont="1" applyBorder="1"/>
    <xf numFmtId="0" fontId="51" fillId="0" borderId="0" xfId="32" applyFont="1" applyAlignment="1">
      <alignment horizontal="center" wrapText="1"/>
    </xf>
    <xf numFmtId="0" fontId="53" fillId="0" borderId="0" xfId="32" applyFont="1" applyAlignment="1">
      <alignment horizontal="center" wrapText="1"/>
    </xf>
    <xf numFmtId="0" fontId="51" fillId="0" borderId="32" xfId="32" applyFont="1" applyBorder="1" applyAlignment="1">
      <alignment horizontal="center" wrapText="1"/>
    </xf>
    <xf numFmtId="3" fontId="51" fillId="0" borderId="9" xfId="32" applyNumberFormat="1" applyFont="1" applyBorder="1" applyAlignment="1">
      <alignment horizontal="center"/>
    </xf>
    <xf numFmtId="3" fontId="51" fillId="0" borderId="43" xfId="32" applyNumberFormat="1" applyFont="1" applyBorder="1" applyAlignment="1">
      <alignment horizontal="center"/>
    </xf>
    <xf numFmtId="3" fontId="53" fillId="0" borderId="9" xfId="32" applyNumberFormat="1" applyFont="1" applyBorder="1" applyAlignment="1">
      <alignment horizontal="center"/>
    </xf>
    <xf numFmtId="3" fontId="51" fillId="0" borderId="0" xfId="32" applyNumberFormat="1" applyFont="1" applyAlignment="1">
      <alignment horizontal="center"/>
    </xf>
    <xf numFmtId="3" fontId="51" fillId="0" borderId="32" xfId="32" applyNumberFormat="1" applyFont="1" applyBorder="1" applyAlignment="1">
      <alignment horizontal="center"/>
    </xf>
    <xf numFmtId="3" fontId="53" fillId="0" borderId="0" xfId="32" applyNumberFormat="1" applyFont="1" applyAlignment="1">
      <alignment horizontal="center"/>
    </xf>
    <xf numFmtId="3" fontId="51" fillId="0" borderId="18" xfId="32" applyNumberFormat="1" applyFont="1" applyBorder="1" applyAlignment="1">
      <alignment horizontal="center"/>
    </xf>
    <xf numFmtId="3" fontId="51" fillId="0" borderId="82" xfId="32" applyNumberFormat="1" applyFont="1" applyBorder="1" applyAlignment="1">
      <alignment horizontal="center"/>
    </xf>
    <xf numFmtId="3" fontId="53" fillId="0" borderId="18" xfId="32" applyNumberFormat="1" applyFont="1" applyBorder="1" applyAlignment="1">
      <alignment horizontal="center"/>
    </xf>
    <xf numFmtId="0" fontId="54" fillId="0" borderId="0" xfId="32" applyFont="1" applyAlignment="1">
      <alignment horizontal="center"/>
    </xf>
    <xf numFmtId="0" fontId="54" fillId="0" borderId="81" xfId="32" applyFont="1" applyBorder="1" applyAlignment="1">
      <alignment horizontal="center"/>
    </xf>
    <xf numFmtId="0" fontId="54" fillId="0" borderId="32" xfId="32" applyFont="1" applyBorder="1" applyAlignment="1">
      <alignment horizontal="center"/>
    </xf>
    <xf numFmtId="9" fontId="29" fillId="0" borderId="9" xfId="33" applyFont="1" applyBorder="1" applyAlignment="1">
      <alignment horizontal="center"/>
    </xf>
    <xf numFmtId="9" fontId="29" fillId="0" borderId="43" xfId="33" applyFont="1" applyBorder="1" applyAlignment="1">
      <alignment horizontal="center"/>
    </xf>
    <xf numFmtId="9" fontId="28" fillId="0" borderId="9" xfId="33" applyFont="1" applyBorder="1" applyAlignment="1">
      <alignment horizontal="center"/>
    </xf>
    <xf numFmtId="9" fontId="29" fillId="0" borderId="0" xfId="33" applyFont="1" applyAlignment="1">
      <alignment horizontal="center"/>
    </xf>
    <xf numFmtId="9" fontId="29" fillId="0" borderId="32" xfId="33" applyFont="1" applyBorder="1" applyAlignment="1">
      <alignment horizontal="center"/>
    </xf>
    <xf numFmtId="9" fontId="28" fillId="0" borderId="0" xfId="33" applyFont="1" applyAlignment="1">
      <alignment horizontal="center"/>
    </xf>
    <xf numFmtId="9" fontId="29" fillId="0" borderId="18" xfId="33" applyFont="1" applyBorder="1" applyAlignment="1">
      <alignment horizontal="center"/>
    </xf>
    <xf numFmtId="9" fontId="29" fillId="0" borderId="82" xfId="33" applyFont="1" applyBorder="1" applyAlignment="1">
      <alignment horizontal="center"/>
    </xf>
    <xf numFmtId="9" fontId="28" fillId="0" borderId="18" xfId="33" applyFont="1" applyBorder="1" applyAlignment="1">
      <alignment horizontal="center"/>
    </xf>
    <xf numFmtId="0" fontId="53" fillId="0" borderId="0" xfId="32" applyFont="1"/>
    <xf numFmtId="9" fontId="51" fillId="0" borderId="0" xfId="32" applyNumberFormat="1" applyFont="1" applyAlignment="1">
      <alignment horizontal="center"/>
    </xf>
    <xf numFmtId="9" fontId="53" fillId="0" borderId="0" xfId="33" applyFont="1" applyAlignment="1">
      <alignment horizontal="center"/>
    </xf>
    <xf numFmtId="9" fontId="51" fillId="0" borderId="9" xfId="32" applyNumberFormat="1" applyFont="1" applyBorder="1" applyAlignment="1">
      <alignment horizontal="center"/>
    </xf>
    <xf numFmtId="9" fontId="51" fillId="0" borderId="18" xfId="32" applyNumberFormat="1" applyFont="1" applyBorder="1" applyAlignment="1">
      <alignment horizontal="center"/>
    </xf>
    <xf numFmtId="9" fontId="29" fillId="0" borderId="0" xfId="33" applyFont="1" applyBorder="1" applyAlignment="1">
      <alignment horizontal="center"/>
    </xf>
    <xf numFmtId="0" fontId="43" fillId="0" borderId="6" xfId="8" applyFont="1" applyBorder="1" applyAlignment="1">
      <alignment horizontal="center" vertical="center"/>
    </xf>
    <xf numFmtId="3" fontId="44" fillId="0" borderId="0" xfId="8" applyNumberFormat="1" applyFont="1" applyAlignment="1">
      <alignment horizontal="center" vertical="center"/>
    </xf>
    <xf numFmtId="3" fontId="45" fillId="0" borderId="0" xfId="8" applyNumberFormat="1" applyFont="1" applyAlignment="1">
      <alignment horizontal="center" vertical="center"/>
    </xf>
    <xf numFmtId="3" fontId="43" fillId="0" borderId="0" xfId="8" applyNumberFormat="1" applyFont="1" applyAlignment="1">
      <alignment horizontal="center" vertical="center"/>
    </xf>
    <xf numFmtId="3" fontId="45" fillId="0" borderId="3" xfId="8" applyNumberFormat="1" applyFont="1" applyBorder="1" applyAlignment="1">
      <alignment horizontal="center"/>
    </xf>
    <xf numFmtId="3" fontId="44" fillId="0" borderId="5" xfId="8" applyNumberFormat="1" applyFont="1" applyBorder="1" applyAlignment="1">
      <alignment horizontal="center" vertical="center"/>
    </xf>
    <xf numFmtId="3" fontId="45" fillId="0" borderId="5" xfId="8" applyNumberFormat="1" applyFont="1" applyBorder="1" applyAlignment="1">
      <alignment horizontal="center" vertical="center"/>
    </xf>
    <xf numFmtId="3" fontId="43" fillId="0" borderId="5" xfId="8" applyNumberFormat="1" applyFont="1" applyBorder="1" applyAlignment="1">
      <alignment horizontal="center" vertical="center"/>
    </xf>
    <xf numFmtId="0" fontId="43" fillId="0" borderId="3" xfId="8" applyFont="1" applyBorder="1"/>
    <xf numFmtId="0" fontId="47" fillId="0" borderId="0" xfId="8" applyFont="1" applyAlignment="1">
      <alignment horizontal="center" vertical="center" wrapText="1"/>
    </xf>
    <xf numFmtId="0" fontId="47" fillId="0" borderId="0" xfId="0" applyFont="1" applyAlignment="1">
      <alignment horizontal="center" vertical="center" wrapText="1"/>
    </xf>
    <xf numFmtId="0" fontId="48" fillId="0" borderId="10" xfId="8" applyFont="1" applyBorder="1" applyAlignment="1">
      <alignment horizontal="center" wrapText="1"/>
    </xf>
    <xf numFmtId="0" fontId="48" fillId="0" borderId="13" xfId="8" applyFont="1" applyBorder="1" applyAlignment="1">
      <alignment horizontal="center" wrapText="1"/>
    </xf>
    <xf numFmtId="0" fontId="43" fillId="0" borderId="20" xfId="8" applyFont="1" applyBorder="1" applyAlignment="1">
      <alignment horizontal="center" vertical="center"/>
    </xf>
    <xf numFmtId="0" fontId="48" fillId="0" borderId="3" xfId="8" applyFont="1" applyBorder="1" applyAlignment="1">
      <alignment horizontal="center" vertical="center" wrapText="1"/>
    </xf>
    <xf numFmtId="0" fontId="48" fillId="0" borderId="16" xfId="8" applyFont="1" applyBorder="1" applyAlignment="1">
      <alignment horizontal="center" vertical="center" wrapText="1"/>
    </xf>
    <xf numFmtId="0" fontId="46" fillId="0" borderId="0" xfId="8" applyFont="1" applyAlignment="1">
      <alignment horizontal="center"/>
    </xf>
    <xf numFmtId="0" fontId="47" fillId="0" borderId="0" xfId="8" applyFont="1" applyAlignment="1">
      <alignment horizontal="center"/>
    </xf>
    <xf numFmtId="0" fontId="46" fillId="0" borderId="11" xfId="8" applyFont="1" applyBorder="1" applyAlignment="1">
      <alignment horizontal="center"/>
    </xf>
    <xf numFmtId="0" fontId="48" fillId="0" borderId="10" xfId="8" applyFont="1" applyBorder="1" applyAlignment="1">
      <alignment horizontal="center" vertical="center" wrapText="1"/>
    </xf>
    <xf numFmtId="9" fontId="45" fillId="0" borderId="0" xfId="9" applyFont="1" applyBorder="1" applyAlignment="1">
      <alignment horizontal="center" vertical="center"/>
    </xf>
    <xf numFmtId="9" fontId="45" fillId="0" borderId="5" xfId="9" applyFont="1" applyBorder="1" applyAlignment="1">
      <alignment horizontal="center" vertical="center"/>
    </xf>
    <xf numFmtId="0" fontId="46" fillId="0" borderId="2" xfId="7" applyFont="1" applyBorder="1"/>
    <xf numFmtId="0" fontId="59" fillId="0" borderId="0" xfId="7" applyFont="1"/>
    <xf numFmtId="0" fontId="51" fillId="0" borderId="0" xfId="7" applyFont="1"/>
    <xf numFmtId="0" fontId="29" fillId="0" borderId="0" xfId="7" applyFont="1" applyAlignment="1">
      <alignment vertical="center"/>
    </xf>
    <xf numFmtId="0" fontId="5" fillId="0" borderId="0" xfId="7" applyFont="1"/>
    <xf numFmtId="0" fontId="29" fillId="0" borderId="0" xfId="7" applyFont="1" applyAlignment="1">
      <alignment vertical="center" wrapText="1"/>
    </xf>
    <xf numFmtId="0" fontId="29" fillId="0" borderId="18" xfId="7" applyFont="1" applyBorder="1" applyAlignment="1">
      <alignment vertical="center" wrapText="1"/>
    </xf>
    <xf numFmtId="0" fontId="60" fillId="0" borderId="0" xfId="7" applyFont="1"/>
    <xf numFmtId="0" fontId="61" fillId="0" borderId="19" xfId="7" applyFont="1" applyBorder="1"/>
    <xf numFmtId="0" fontId="62" fillId="0" borderId="0" xfId="7" applyFont="1"/>
    <xf numFmtId="3" fontId="60" fillId="0" borderId="0" xfId="7" applyNumberFormat="1" applyFont="1"/>
    <xf numFmtId="0" fontId="63" fillId="0" borderId="0" xfId="7" applyFont="1"/>
    <xf numFmtId="3" fontId="63" fillId="0" borderId="0" xfId="7" applyNumberFormat="1" applyFont="1"/>
    <xf numFmtId="9" fontId="60" fillId="0" borderId="0" xfId="7" applyNumberFormat="1" applyFont="1"/>
    <xf numFmtId="9" fontId="63" fillId="0" borderId="0" xfId="7" applyNumberFormat="1" applyFont="1"/>
    <xf numFmtId="9" fontId="63" fillId="0" borderId="9" xfId="7" applyNumberFormat="1" applyFont="1" applyBorder="1"/>
    <xf numFmtId="3" fontId="62" fillId="0" borderId="0" xfId="7" applyNumberFormat="1" applyFont="1"/>
    <xf numFmtId="3" fontId="63" fillId="0" borderId="9" xfId="7" applyNumberFormat="1" applyFont="1" applyBorder="1"/>
    <xf numFmtId="3" fontId="63" fillId="0" borderId="0" xfId="7" applyNumberFormat="1" applyFont="1" applyAlignment="1">
      <alignment horizontal="right"/>
    </xf>
    <xf numFmtId="0" fontId="65" fillId="0" borderId="0" xfId="7" applyFont="1"/>
    <xf numFmtId="0" fontId="66" fillId="0" borderId="0" xfId="7" applyFont="1"/>
    <xf numFmtId="3" fontId="67" fillId="0" borderId="0" xfId="7" applyNumberFormat="1" applyFont="1"/>
    <xf numFmtId="0" fontId="60" fillId="0" borderId="9" xfId="7" applyFont="1" applyBorder="1"/>
    <xf numFmtId="3" fontId="68" fillId="0" borderId="0" xfId="7" applyNumberFormat="1" applyFont="1"/>
    <xf numFmtId="0" fontId="63" fillId="0" borderId="18" xfId="7" applyFont="1" applyBorder="1"/>
    <xf numFmtId="3" fontId="63" fillId="0" borderId="18" xfId="7" applyNumberFormat="1" applyFont="1" applyBorder="1"/>
    <xf numFmtId="0" fontId="62" fillId="0" borderId="2" xfId="29" applyFont="1" applyBorder="1" applyAlignment="1">
      <alignment horizontal="center" vertical="center" wrapText="1"/>
    </xf>
    <xf numFmtId="0" fontId="35" fillId="0" borderId="0" xfId="29" applyFont="1" applyAlignment="1">
      <alignment wrapText="1"/>
    </xf>
    <xf numFmtId="0" fontId="35" fillId="0" borderId="4" xfId="29" applyFont="1" applyBorder="1" applyAlignment="1">
      <alignment horizontal="center" vertical="center" wrapText="1"/>
    </xf>
    <xf numFmtId="9" fontId="27" fillId="0" borderId="0" xfId="30" applyFont="1" applyAlignment="1">
      <alignment horizontal="center"/>
    </xf>
    <xf numFmtId="9" fontId="35" fillId="0" borderId="0" xfId="29" applyNumberFormat="1" applyFont="1" applyAlignment="1">
      <alignment horizontal="center"/>
    </xf>
    <xf numFmtId="9" fontId="27" fillId="0" borderId="18" xfId="30" applyFont="1" applyBorder="1" applyAlignment="1">
      <alignment horizontal="center"/>
    </xf>
    <xf numFmtId="9" fontId="35" fillId="0" borderId="18" xfId="29" applyNumberFormat="1" applyFont="1" applyBorder="1" applyAlignment="1">
      <alignment horizontal="center"/>
    </xf>
    <xf numFmtId="0" fontId="35" fillId="0" borderId="0" xfId="32" applyFont="1"/>
    <xf numFmtId="0" fontId="35" fillId="0" borderId="0" xfId="32" applyFont="1" applyAlignment="1">
      <alignment horizontal="center" wrapText="1"/>
    </xf>
    <xf numFmtId="0" fontId="35" fillId="0" borderId="32" xfId="32" applyFont="1" applyBorder="1" applyAlignment="1">
      <alignment horizontal="center" wrapText="1"/>
    </xf>
    <xf numFmtId="0" fontId="37" fillId="0" borderId="0" xfId="32" applyFont="1" applyAlignment="1">
      <alignment horizontal="center" wrapText="1"/>
    </xf>
    <xf numFmtId="9" fontId="27" fillId="0" borderId="9" xfId="33" applyFont="1" applyBorder="1" applyAlignment="1">
      <alignment horizontal="center"/>
    </xf>
    <xf numFmtId="9" fontId="27" fillId="0" borderId="43" xfId="33" applyFont="1" applyBorder="1" applyAlignment="1">
      <alignment horizontal="center"/>
    </xf>
    <xf numFmtId="9" fontId="31" fillId="0" borderId="9" xfId="33" applyFont="1" applyBorder="1" applyAlignment="1">
      <alignment horizontal="center"/>
    </xf>
    <xf numFmtId="9" fontId="37" fillId="0" borderId="9" xfId="32" applyNumberFormat="1" applyFont="1" applyBorder="1" applyAlignment="1">
      <alignment horizontal="center"/>
    </xf>
    <xf numFmtId="9" fontId="27" fillId="0" borderId="0" xfId="33" applyFont="1" applyAlignment="1">
      <alignment horizontal="center"/>
    </xf>
    <xf numFmtId="9" fontId="27" fillId="0" borderId="32" xfId="33" applyFont="1" applyBorder="1" applyAlignment="1">
      <alignment horizontal="center"/>
    </xf>
    <xf numFmtId="9" fontId="31" fillId="0" borderId="0" xfId="33" applyFont="1" applyAlignment="1">
      <alignment horizontal="center"/>
    </xf>
    <xf numFmtId="9" fontId="37" fillId="0" borderId="0" xfId="32" applyNumberFormat="1" applyFont="1" applyAlignment="1">
      <alignment horizontal="center"/>
    </xf>
    <xf numFmtId="0" fontId="35" fillId="0" borderId="18" xfId="32" applyFont="1" applyBorder="1"/>
    <xf numFmtId="9" fontId="27" fillId="0" borderId="18" xfId="33" applyFont="1" applyBorder="1" applyAlignment="1">
      <alignment horizontal="center"/>
    </xf>
    <xf numFmtId="9" fontId="27" fillId="0" borderId="82" xfId="33" applyFont="1" applyBorder="1" applyAlignment="1">
      <alignment horizontal="center"/>
    </xf>
    <xf numFmtId="9" fontId="31" fillId="0" borderId="18" xfId="33" applyFont="1" applyBorder="1" applyAlignment="1">
      <alignment horizontal="center"/>
    </xf>
    <xf numFmtId="9" fontId="37" fillId="0" borderId="18" xfId="32" applyNumberFormat="1" applyFont="1" applyBorder="1" applyAlignment="1">
      <alignment horizontal="center"/>
    </xf>
    <xf numFmtId="0" fontId="43" fillId="0" borderId="6" xfId="8" applyFont="1" applyBorder="1"/>
    <xf numFmtId="0" fontId="46" fillId="0" borderId="21" xfId="8" applyFont="1" applyBorder="1"/>
    <xf numFmtId="0" fontId="46" fillId="0" borderId="17" xfId="8" applyFont="1" applyBorder="1"/>
    <xf numFmtId="0" fontId="46" fillId="0" borderId="0" xfId="8" applyFont="1"/>
    <xf numFmtId="0" fontId="46" fillId="0" borderId="3" xfId="8" applyFont="1" applyBorder="1"/>
    <xf numFmtId="0" fontId="46" fillId="0" borderId="35" xfId="8" applyFont="1" applyBorder="1" applyAlignment="1">
      <alignment wrapText="1"/>
    </xf>
    <xf numFmtId="0" fontId="46" fillId="0" borderId="32" xfId="8" applyFont="1" applyBorder="1" applyAlignment="1">
      <alignment horizontal="center" wrapText="1"/>
    </xf>
    <xf numFmtId="0" fontId="46" fillId="0" borderId="0" xfId="8" applyFont="1" applyAlignment="1">
      <alignment horizontal="center" wrapText="1"/>
    </xf>
    <xf numFmtId="0" fontId="48" fillId="0" borderId="0" xfId="8" applyFont="1" applyAlignment="1">
      <alignment horizontal="center" wrapText="1"/>
    </xf>
    <xf numFmtId="164" fontId="45" fillId="0" borderId="0" xfId="9" applyNumberFormat="1" applyFont="1" applyBorder="1" applyAlignment="1">
      <alignment horizontal="center"/>
    </xf>
    <xf numFmtId="0" fontId="43" fillId="0" borderId="0" xfId="8" applyFont="1" applyAlignment="1">
      <alignment horizontal="center"/>
    </xf>
    <xf numFmtId="0" fontId="43" fillId="0" borderId="3" xfId="8" applyFont="1" applyBorder="1" applyAlignment="1">
      <alignment horizontal="center"/>
    </xf>
    <xf numFmtId="164" fontId="45" fillId="0" borderId="5" xfId="9" applyNumberFormat="1" applyFont="1" applyBorder="1" applyAlignment="1">
      <alignment horizontal="center"/>
    </xf>
    <xf numFmtId="9" fontId="45" fillId="0" borderId="0" xfId="9" applyFont="1" applyBorder="1" applyAlignment="1">
      <alignment horizontal="center"/>
    </xf>
    <xf numFmtId="2" fontId="45" fillId="0" borderId="3" xfId="8" applyNumberFormat="1" applyFont="1" applyBorder="1" applyAlignment="1">
      <alignment horizontal="center"/>
    </xf>
    <xf numFmtId="9" fontId="45" fillId="0" borderId="5" xfId="9" applyFont="1" applyBorder="1" applyAlignment="1">
      <alignment horizontal="center"/>
    </xf>
    <xf numFmtId="2" fontId="45" fillId="0" borderId="27" xfId="8" applyNumberFormat="1" applyFont="1" applyBorder="1" applyAlignment="1">
      <alignment horizontal="center"/>
    </xf>
    <xf numFmtId="0" fontId="27" fillId="0" borderId="0" xfId="0" applyFont="1" applyAlignment="1">
      <alignment horizontal="center"/>
    </xf>
    <xf numFmtId="0" fontId="27" fillId="0" borderId="9" xfId="0" applyFont="1" applyBorder="1" applyAlignment="1">
      <alignment horizontal="center"/>
    </xf>
    <xf numFmtId="0" fontId="23" fillId="0" borderId="9" xfId="0" applyFont="1" applyBorder="1" applyAlignment="1">
      <alignment horizontal="center"/>
    </xf>
    <xf numFmtId="3" fontId="27" fillId="0" borderId="0" xfId="0" applyNumberFormat="1" applyFont="1" applyAlignment="1">
      <alignment horizontal="center"/>
    </xf>
    <xf numFmtId="3" fontId="23" fillId="0" borderId="0" xfId="0" applyNumberFormat="1" applyFont="1" applyAlignment="1">
      <alignment horizontal="center"/>
    </xf>
    <xf numFmtId="0" fontId="27" fillId="0" borderId="18" xfId="0" applyFont="1" applyBorder="1" applyAlignment="1">
      <alignment horizontal="center"/>
    </xf>
    <xf numFmtId="3" fontId="27" fillId="0" borderId="18" xfId="0" applyNumberFormat="1" applyFont="1" applyBorder="1" applyAlignment="1">
      <alignment horizontal="center"/>
    </xf>
    <xf numFmtId="3" fontId="23" fillId="0" borderId="18" xfId="0" applyNumberFormat="1" applyFont="1" applyBorder="1" applyAlignment="1">
      <alignment horizontal="center"/>
    </xf>
    <xf numFmtId="0" fontId="46" fillId="0" borderId="28" xfId="8" applyFont="1" applyBorder="1" applyAlignment="1">
      <alignment horizontal="center" vertical="center" wrapText="1"/>
    </xf>
    <xf numFmtId="0" fontId="46" fillId="0" borderId="10" xfId="8" applyFont="1" applyBorder="1" applyAlignment="1">
      <alignment horizontal="center" vertical="center" wrapText="1"/>
    </xf>
    <xf numFmtId="0" fontId="33" fillId="0" borderId="0" xfId="0" applyFont="1"/>
    <xf numFmtId="0" fontId="71" fillId="0" borderId="0" xfId="0" applyFont="1"/>
    <xf numFmtId="0" fontId="47" fillId="0" borderId="25" xfId="8" applyFont="1" applyBorder="1" applyAlignment="1">
      <alignment horizontal="center" vertical="center" wrapText="1"/>
    </xf>
    <xf numFmtId="0" fontId="47" fillId="0" borderId="25" xfId="8" applyFont="1" applyBorder="1" applyAlignment="1">
      <alignment horizontal="center" wrapText="1"/>
    </xf>
    <xf numFmtId="0" fontId="47" fillId="0" borderId="13" xfId="8" applyFont="1" applyBorder="1" applyAlignment="1">
      <alignment vertical="center"/>
    </xf>
    <xf numFmtId="9" fontId="45" fillId="0" borderId="0" xfId="8" applyNumberFormat="1" applyFont="1" applyAlignment="1">
      <alignment horizontal="center"/>
    </xf>
    <xf numFmtId="9" fontId="45" fillId="0" borderId="5" xfId="8" applyNumberFormat="1" applyFont="1" applyBorder="1" applyAlignment="1">
      <alignment horizontal="center"/>
    </xf>
    <xf numFmtId="9" fontId="45" fillId="0" borderId="3" xfId="8" applyNumberFormat="1" applyFont="1" applyBorder="1" applyAlignment="1">
      <alignment horizontal="center"/>
    </xf>
    <xf numFmtId="9" fontId="45" fillId="0" borderId="27" xfId="8" applyNumberFormat="1" applyFont="1" applyBorder="1" applyAlignment="1">
      <alignment horizontal="center"/>
    </xf>
    <xf numFmtId="0" fontId="39" fillId="0" borderId="0" xfId="7" applyFont="1"/>
    <xf numFmtId="0" fontId="34" fillId="0" borderId="18" xfId="7" applyBorder="1"/>
    <xf numFmtId="3" fontId="35" fillId="0" borderId="18" xfId="7" applyNumberFormat="1" applyFont="1" applyBorder="1"/>
    <xf numFmtId="3" fontId="35" fillId="0" borderId="9" xfId="7" applyNumberFormat="1" applyFont="1" applyBorder="1"/>
    <xf numFmtId="0" fontId="22" fillId="0" borderId="83" xfId="8" applyFont="1" applyBorder="1" applyAlignment="1">
      <alignment horizontal="center" vertical="center" wrapText="1"/>
    </xf>
    <xf numFmtId="0" fontId="24" fillId="0" borderId="6" xfId="8" applyFont="1" applyBorder="1"/>
    <xf numFmtId="0" fontId="29" fillId="0" borderId="6" xfId="8" applyFont="1" applyBorder="1" applyAlignment="1">
      <alignment horizontal="center" vertical="center"/>
    </xf>
    <xf numFmtId="0" fontId="29" fillId="0" borderId="20" xfId="8" applyFont="1" applyBorder="1" applyAlignment="1">
      <alignment horizontal="center" vertical="center"/>
    </xf>
    <xf numFmtId="3" fontId="45" fillId="0" borderId="26" xfId="8" applyNumberFormat="1" applyFont="1" applyBorder="1" applyAlignment="1">
      <alignment horizontal="center"/>
    </xf>
    <xf numFmtId="3" fontId="44" fillId="0" borderId="3" xfId="8" applyNumberFormat="1" applyFont="1" applyBorder="1" applyAlignment="1">
      <alignment horizontal="center"/>
    </xf>
    <xf numFmtId="3" fontId="44" fillId="0" borderId="27" xfId="8" applyNumberFormat="1" applyFont="1" applyBorder="1" applyAlignment="1">
      <alignment horizontal="center"/>
    </xf>
    <xf numFmtId="0" fontId="24" fillId="0" borderId="12" xfId="8" applyFont="1" applyBorder="1"/>
    <xf numFmtId="9" fontId="27" fillId="0" borderId="0" xfId="0" applyNumberFormat="1" applyFont="1" applyAlignment="1">
      <alignment horizontal="center"/>
    </xf>
    <xf numFmtId="9" fontId="31" fillId="0" borderId="0" xfId="0" applyNumberFormat="1" applyFont="1" applyAlignment="1">
      <alignment horizontal="center"/>
    </xf>
    <xf numFmtId="9" fontId="27" fillId="0" borderId="4" xfId="0" applyNumberFormat="1" applyFont="1" applyBorder="1" applyAlignment="1">
      <alignment horizontal="center"/>
    </xf>
    <xf numFmtId="9" fontId="31" fillId="0" borderId="4" xfId="0" applyNumberFormat="1" applyFont="1" applyBorder="1" applyAlignment="1">
      <alignment horizontal="center"/>
    </xf>
    <xf numFmtId="9" fontId="23" fillId="0" borderId="18" xfId="0" applyNumberFormat="1" applyFont="1" applyBorder="1" applyAlignment="1">
      <alignment horizontal="center"/>
    </xf>
    <xf numFmtId="9" fontId="32" fillId="0" borderId="18" xfId="0" applyNumberFormat="1" applyFont="1" applyBorder="1" applyAlignment="1">
      <alignment horizontal="center"/>
    </xf>
    <xf numFmtId="0" fontId="4" fillId="0" borderId="0" xfId="54"/>
    <xf numFmtId="0" fontId="4" fillId="0" borderId="0" xfId="54" applyAlignment="1">
      <alignment wrapText="1"/>
    </xf>
    <xf numFmtId="0" fontId="77" fillId="0" borderId="0" xfId="54" applyFont="1"/>
    <xf numFmtId="14" fontId="0" fillId="0" borderId="0" xfId="0" applyNumberFormat="1"/>
    <xf numFmtId="3" fontId="0" fillId="3" borderId="0" xfId="0" applyNumberFormat="1" applyFill="1"/>
    <xf numFmtId="0" fontId="16" fillId="0" borderId="0" xfId="0" applyFont="1"/>
    <xf numFmtId="9" fontId="16" fillId="0" borderId="0" xfId="0" applyNumberFormat="1" applyFont="1"/>
    <xf numFmtId="0" fontId="16" fillId="0" borderId="0" xfId="0" applyFont="1" applyAlignment="1">
      <alignment wrapText="1"/>
    </xf>
    <xf numFmtId="0" fontId="16" fillId="0" borderId="18" xfId="0" applyFont="1" applyBorder="1"/>
    <xf numFmtId="172" fontId="16" fillId="0" borderId="0" xfId="0" applyNumberFormat="1" applyFont="1"/>
    <xf numFmtId="0" fontId="16" fillId="0" borderId="0" xfId="0" applyFont="1" applyAlignment="1">
      <alignment vertical="center"/>
    </xf>
    <xf numFmtId="0" fontId="43" fillId="0" borderId="0" xfId="0" applyFont="1" applyAlignment="1">
      <alignment vertical="center"/>
    </xf>
    <xf numFmtId="0" fontId="43" fillId="0" borderId="0" xfId="0" applyFont="1" applyAlignment="1">
      <alignment wrapText="1"/>
    </xf>
    <xf numFmtId="0" fontId="43" fillId="0" borderId="0" xfId="0" applyFont="1" applyAlignment="1">
      <alignment horizontal="center"/>
    </xf>
    <xf numFmtId="9" fontId="43" fillId="0" borderId="0" xfId="9" applyFont="1" applyBorder="1" applyAlignment="1">
      <alignment horizontal="center"/>
    </xf>
    <xf numFmtId="9" fontId="45" fillId="0" borderId="32" xfId="9" applyFont="1" applyBorder="1" applyAlignment="1">
      <alignment horizontal="center"/>
    </xf>
    <xf numFmtId="9" fontId="43" fillId="0" borderId="0" xfId="0" applyNumberFormat="1" applyFont="1" applyAlignment="1">
      <alignment horizontal="center"/>
    </xf>
    <xf numFmtId="9" fontId="45" fillId="0" borderId="0" xfId="0" applyNumberFormat="1" applyFont="1" applyAlignment="1">
      <alignment horizontal="center"/>
    </xf>
    <xf numFmtId="0" fontId="43" fillId="0" borderId="18" xfId="0" applyFont="1" applyBorder="1" applyAlignment="1">
      <alignment horizontal="center" wrapText="1"/>
    </xf>
    <xf numFmtId="9" fontId="43" fillId="0" borderId="18" xfId="0" applyNumberFormat="1" applyFont="1" applyBorder="1" applyAlignment="1">
      <alignment horizontal="center" vertical="center"/>
    </xf>
    <xf numFmtId="9" fontId="43" fillId="0" borderId="82" xfId="0" applyNumberFormat="1" applyFont="1" applyBorder="1" applyAlignment="1">
      <alignment horizontal="center" vertical="center"/>
    </xf>
    <xf numFmtId="9" fontId="45" fillId="0" borderId="18" xfId="0" applyNumberFormat="1" applyFont="1" applyBorder="1" applyAlignment="1">
      <alignment horizontal="center" vertical="center"/>
    </xf>
    <xf numFmtId="0" fontId="43" fillId="0" borderId="4" xfId="0" applyFont="1" applyBorder="1" applyAlignment="1">
      <alignment horizontal="center" vertical="center" wrapText="1"/>
    </xf>
    <xf numFmtId="0" fontId="45" fillId="0" borderId="4" xfId="0" applyFont="1" applyBorder="1" applyAlignment="1">
      <alignment horizontal="center" vertical="center" wrapText="1"/>
    </xf>
    <xf numFmtId="0" fontId="45" fillId="0" borderId="91" xfId="0" applyFont="1" applyBorder="1" applyAlignment="1">
      <alignment horizontal="center" vertical="center" wrapText="1"/>
    </xf>
    <xf numFmtId="0" fontId="44" fillId="0" borderId="4" xfId="0" applyFont="1" applyBorder="1" applyAlignment="1">
      <alignment horizontal="center" vertical="center" wrapText="1"/>
    </xf>
    <xf numFmtId="9" fontId="44" fillId="0" borderId="0" xfId="9" applyFont="1" applyBorder="1" applyAlignment="1">
      <alignment horizontal="center"/>
    </xf>
    <xf numFmtId="9" fontId="44" fillId="0" borderId="18" xfId="0" applyNumberFormat="1" applyFont="1" applyBorder="1" applyAlignment="1">
      <alignment horizontal="center" vertical="center"/>
    </xf>
    <xf numFmtId="0" fontId="79" fillId="0" borderId="2" xfId="0" applyFont="1" applyBorder="1" applyAlignment="1">
      <alignment wrapText="1"/>
    </xf>
    <xf numFmtId="0" fontId="80" fillId="0" borderId="0" xfId="0" applyFont="1" applyAlignment="1">
      <alignment vertical="center" wrapText="1"/>
    </xf>
    <xf numFmtId="0" fontId="79" fillId="0" borderId="0" xfId="0" applyFont="1" applyAlignment="1">
      <alignment vertical="center"/>
    </xf>
    <xf numFmtId="0" fontId="79" fillId="0" borderId="0" xfId="0" applyFont="1" applyAlignment="1">
      <alignment vertical="center" wrapText="1"/>
    </xf>
    <xf numFmtId="3" fontId="79" fillId="0" borderId="0" xfId="0" applyNumberFormat="1" applyFont="1" applyAlignment="1">
      <alignment horizontal="center" vertical="center"/>
    </xf>
    <xf numFmtId="0" fontId="81" fillId="0" borderId="0" xfId="0" applyFont="1" applyAlignment="1">
      <alignment vertical="center" wrapText="1"/>
    </xf>
    <xf numFmtId="3" fontId="81" fillId="0" borderId="0" xfId="0" applyNumberFormat="1" applyFont="1" applyAlignment="1">
      <alignment horizontal="center" vertical="center"/>
    </xf>
    <xf numFmtId="0" fontId="79" fillId="0" borderId="4" xfId="0" applyFont="1" applyBorder="1" applyAlignment="1">
      <alignment horizontal="center" vertical="center"/>
    </xf>
    <xf numFmtId="0" fontId="79" fillId="0" borderId="0" xfId="0" applyFont="1" applyAlignment="1">
      <alignment horizontal="center" vertical="center"/>
    </xf>
    <xf numFmtId="3" fontId="79" fillId="0" borderId="0" xfId="0" applyNumberFormat="1" applyFont="1" applyAlignment="1">
      <alignment horizontal="center" vertical="center" wrapText="1"/>
    </xf>
    <xf numFmtId="3" fontId="81" fillId="0" borderId="0" xfId="0" applyNumberFormat="1" applyFont="1" applyAlignment="1">
      <alignment horizontal="center" vertical="center" wrapText="1"/>
    </xf>
    <xf numFmtId="3" fontId="80" fillId="0" borderId="0" xfId="0" applyNumberFormat="1" applyFont="1" applyAlignment="1">
      <alignment horizontal="center" vertical="center"/>
    </xf>
    <xf numFmtId="9" fontId="80" fillId="0" borderId="0" xfId="0" applyNumberFormat="1" applyFont="1" applyAlignment="1">
      <alignment horizontal="center" vertical="center"/>
    </xf>
    <xf numFmtId="3" fontId="80" fillId="0" borderId="0" xfId="0" applyNumberFormat="1" applyFont="1" applyAlignment="1">
      <alignment horizontal="center" vertical="center" wrapText="1"/>
    </xf>
    <xf numFmtId="3" fontId="79" fillId="0" borderId="4" xfId="0" applyNumberFormat="1" applyFont="1" applyBorder="1" applyAlignment="1">
      <alignment horizontal="center" vertical="center"/>
    </xf>
    <xf numFmtId="9" fontId="79" fillId="0" borderId="0" xfId="0" applyNumberFormat="1" applyFont="1" applyAlignment="1">
      <alignment horizontal="center" vertical="center"/>
    </xf>
    <xf numFmtId="0" fontId="82" fillId="0" borderId="0" xfId="0" applyFont="1" applyAlignment="1">
      <alignment vertical="center" wrapText="1"/>
    </xf>
    <xf numFmtId="9" fontId="81" fillId="0" borderId="0" xfId="0" applyNumberFormat="1" applyFont="1" applyAlignment="1">
      <alignment horizontal="center" vertical="center"/>
    </xf>
    <xf numFmtId="0" fontId="81" fillId="0" borderId="0" xfId="0" applyFont="1" applyAlignment="1">
      <alignment vertical="center"/>
    </xf>
    <xf numFmtId="1" fontId="81" fillId="0" borderId="0" xfId="0" applyNumberFormat="1" applyFont="1" applyAlignment="1">
      <alignment horizontal="center" vertical="center"/>
    </xf>
    <xf numFmtId="9" fontId="81" fillId="0" borderId="0" xfId="9" applyFont="1" applyBorder="1" applyAlignment="1">
      <alignment horizontal="center" vertical="center"/>
    </xf>
    <xf numFmtId="0" fontId="81" fillId="0" borderId="18" xfId="0" applyFont="1" applyBorder="1" applyAlignment="1">
      <alignment vertical="center" wrapText="1"/>
    </xf>
    <xf numFmtId="9" fontId="81" fillId="0" borderId="18" xfId="0" applyNumberFormat="1" applyFont="1" applyBorder="1" applyAlignment="1">
      <alignment horizontal="center" vertical="center"/>
    </xf>
    <xf numFmtId="0" fontId="72" fillId="0" borderId="0" xfId="0" applyFont="1" applyAlignment="1">
      <alignment vertical="center" wrapText="1"/>
    </xf>
    <xf numFmtId="0" fontId="80" fillId="0" borderId="19" xfId="0" applyFont="1" applyBorder="1" applyAlignment="1">
      <alignment horizontal="center" vertical="center"/>
    </xf>
    <xf numFmtId="9" fontId="27" fillId="0" borderId="0" xfId="9" applyFont="1"/>
    <xf numFmtId="3" fontId="31" fillId="0" borderId="0" xfId="0" applyNumberFormat="1" applyFont="1"/>
    <xf numFmtId="0" fontId="31" fillId="0" borderId="9" xfId="0" applyFont="1" applyBorder="1" applyAlignment="1">
      <alignment wrapText="1"/>
    </xf>
    <xf numFmtId="3" fontId="31" fillId="0" borderId="18" xfId="0" applyNumberFormat="1" applyFont="1" applyBorder="1"/>
    <xf numFmtId="3" fontId="51" fillId="0" borderId="0" xfId="134" applyNumberFormat="1" applyFont="1"/>
    <xf numFmtId="0" fontId="51" fillId="0" borderId="0" xfId="134" applyFont="1"/>
    <xf numFmtId="9" fontId="84" fillId="0" borderId="0" xfId="135" applyFont="1" applyBorder="1" applyAlignment="1">
      <alignment horizontal="center" vertical="center"/>
    </xf>
    <xf numFmtId="9" fontId="78" fillId="0" borderId="0" xfId="135" applyFont="1" applyBorder="1" applyAlignment="1">
      <alignment horizontal="center" vertical="center"/>
    </xf>
    <xf numFmtId="0" fontId="69" fillId="0" borderId="0" xfId="134" applyFont="1" applyAlignment="1">
      <alignment horizontal="center" vertical="center" wrapText="1"/>
    </xf>
    <xf numFmtId="9" fontId="51" fillId="0" borderId="0" xfId="9" applyFont="1"/>
    <xf numFmtId="0" fontId="36" fillId="0" borderId="0" xfId="134" applyFont="1"/>
    <xf numFmtId="9" fontId="51" fillId="0" borderId="0" xfId="9" applyFont="1" applyBorder="1"/>
    <xf numFmtId="0" fontId="51" fillId="0" borderId="10" xfId="134" applyFont="1" applyBorder="1"/>
    <xf numFmtId="0" fontId="57" fillId="0" borderId="0" xfId="0" applyFont="1"/>
    <xf numFmtId="0" fontId="86" fillId="0" borderId="0" xfId="134" applyFont="1"/>
    <xf numFmtId="0" fontId="58" fillId="0" borderId="21" xfId="134" applyFont="1" applyBorder="1"/>
    <xf numFmtId="0" fontId="86" fillId="0" borderId="0" xfId="134" applyFont="1" applyAlignment="1">
      <alignment horizontal="center"/>
    </xf>
    <xf numFmtId="9" fontId="86" fillId="0" borderId="0" xfId="9" applyFont="1" applyAlignment="1">
      <alignment horizontal="center"/>
    </xf>
    <xf numFmtId="9" fontId="58" fillId="0" borderId="0" xfId="9" applyFont="1" applyAlignment="1">
      <alignment horizontal="center"/>
    </xf>
    <xf numFmtId="9" fontId="58" fillId="0" borderId="0" xfId="9" applyFont="1" applyBorder="1" applyAlignment="1">
      <alignment horizontal="center"/>
    </xf>
    <xf numFmtId="9" fontId="86" fillId="0" borderId="0" xfId="9" applyFont="1" applyBorder="1" applyAlignment="1">
      <alignment horizontal="center"/>
    </xf>
    <xf numFmtId="9" fontId="58" fillId="0" borderId="4" xfId="9" applyFont="1" applyBorder="1" applyAlignment="1">
      <alignment horizontal="center"/>
    </xf>
    <xf numFmtId="9" fontId="86" fillId="0" borderId="4" xfId="9" applyFont="1" applyBorder="1" applyAlignment="1">
      <alignment horizontal="center"/>
    </xf>
    <xf numFmtId="0" fontId="87" fillId="0" borderId="0" xfId="171" applyFont="1"/>
    <xf numFmtId="0" fontId="88" fillId="0" borderId="0" xfId="171" applyFont="1"/>
    <xf numFmtId="0" fontId="87" fillId="0" borderId="0" xfId="171" applyFont="1" applyAlignment="1">
      <alignment horizontal="center"/>
    </xf>
    <xf numFmtId="0" fontId="87" fillId="0" borderId="0" xfId="171" applyFont="1" applyAlignment="1">
      <alignment wrapText="1"/>
    </xf>
    <xf numFmtId="0" fontId="51" fillId="0" borderId="0" xfId="171" applyFont="1" applyAlignment="1">
      <alignment wrapText="1"/>
    </xf>
    <xf numFmtId="3" fontId="51" fillId="0" borderId="0" xfId="171" applyNumberFormat="1" applyFont="1" applyAlignment="1">
      <alignment wrapText="1"/>
    </xf>
    <xf numFmtId="9" fontId="87" fillId="0" borderId="0" xfId="173" applyFont="1" applyAlignment="1">
      <alignment wrapText="1"/>
    </xf>
    <xf numFmtId="3" fontId="51" fillId="0" borderId="0" xfId="171" applyNumberFormat="1" applyFont="1"/>
    <xf numFmtId="3" fontId="89" fillId="0" borderId="0" xfId="171" applyNumberFormat="1" applyFont="1"/>
    <xf numFmtId="0" fontId="51" fillId="0" borderId="0" xfId="171" applyFont="1"/>
    <xf numFmtId="9" fontId="87" fillId="0" borderId="0" xfId="173" applyFont="1"/>
    <xf numFmtId="0" fontId="36" fillId="0" borderId="18" xfId="172" applyFont="1" applyBorder="1" applyAlignment="1">
      <alignment horizontal="center" vertical="center"/>
    </xf>
    <xf numFmtId="0" fontId="87" fillId="0" borderId="2" xfId="171" applyFont="1" applyBorder="1" applyAlignment="1">
      <alignment horizontal="center"/>
    </xf>
    <xf numFmtId="9" fontId="69" fillId="0" borderId="0" xfId="0" applyNumberFormat="1" applyFont="1" applyAlignment="1">
      <alignment horizontal="center"/>
    </xf>
    <xf numFmtId="0" fontId="85" fillId="0" borderId="0" xfId="171" applyFont="1"/>
    <xf numFmtId="0" fontId="2" fillId="0" borderId="0" xfId="171"/>
    <xf numFmtId="0" fontId="2" fillId="0" borderId="10" xfId="171" applyBorder="1"/>
    <xf numFmtId="0" fontId="35" fillId="0" borderId="0" xfId="171" applyFont="1" applyAlignment="1">
      <alignment wrapText="1"/>
    </xf>
    <xf numFmtId="0" fontId="37" fillId="0" borderId="0" xfId="171" applyFont="1" applyAlignment="1">
      <alignment wrapText="1"/>
    </xf>
    <xf numFmtId="0" fontId="2" fillId="0" borderId="0" xfId="171" applyAlignment="1">
      <alignment wrapText="1"/>
    </xf>
    <xf numFmtId="0" fontId="90" fillId="0" borderId="0" xfId="171" applyFont="1"/>
    <xf numFmtId="0" fontId="85" fillId="0" borderId="10" xfId="171" applyFont="1" applyBorder="1"/>
    <xf numFmtId="9" fontId="2" fillId="0" borderId="0" xfId="171" applyNumberFormat="1"/>
    <xf numFmtId="0" fontId="35" fillId="0" borderId="0" xfId="171" applyFont="1"/>
    <xf numFmtId="0" fontId="35" fillId="0" borderId="0" xfId="171" applyFont="1" applyAlignment="1">
      <alignment horizontal="center" wrapText="1"/>
    </xf>
    <xf numFmtId="0" fontId="35" fillId="0" borderId="0" xfId="171" applyFont="1" applyAlignment="1">
      <alignment horizontal="center" vertical="center" wrapText="1"/>
    </xf>
    <xf numFmtId="0" fontId="37" fillId="0" borderId="0" xfId="171" applyFont="1" applyAlignment="1">
      <alignment horizontal="center" vertical="center" wrapText="1"/>
    </xf>
    <xf numFmtId="3" fontId="90" fillId="0" borderId="9" xfId="171" applyNumberFormat="1" applyFont="1" applyBorder="1" applyAlignment="1">
      <alignment horizontal="center"/>
    </xf>
    <xf numFmtId="9" fontId="90" fillId="0" borderId="9" xfId="171" applyNumberFormat="1" applyFont="1" applyBorder="1" applyAlignment="1">
      <alignment horizontal="center"/>
    </xf>
    <xf numFmtId="9" fontId="90" fillId="0" borderId="9" xfId="173" applyFont="1" applyBorder="1" applyAlignment="1">
      <alignment horizontal="center"/>
    </xf>
    <xf numFmtId="9" fontId="91" fillId="0" borderId="9" xfId="173" applyFont="1" applyBorder="1" applyAlignment="1">
      <alignment horizontal="center"/>
    </xf>
    <xf numFmtId="3" fontId="90" fillId="0" borderId="0" xfId="171" applyNumberFormat="1" applyFont="1" applyAlignment="1">
      <alignment horizontal="center"/>
    </xf>
    <xf numFmtId="9" fontId="90" fillId="0" borderId="0" xfId="171" applyNumberFormat="1" applyFont="1" applyAlignment="1">
      <alignment horizontal="center"/>
    </xf>
    <xf numFmtId="9" fontId="90" fillId="0" borderId="0" xfId="173" applyFont="1" applyAlignment="1">
      <alignment horizontal="center"/>
    </xf>
    <xf numFmtId="9" fontId="91" fillId="0" borderId="0" xfId="173" applyFont="1" applyAlignment="1">
      <alignment horizontal="center"/>
    </xf>
    <xf numFmtId="3" fontId="85" fillId="0" borderId="10" xfId="171" applyNumberFormat="1" applyFont="1" applyBorder="1" applyAlignment="1">
      <alignment horizontal="center"/>
    </xf>
    <xf numFmtId="9" fontId="85" fillId="0" borderId="10" xfId="171" applyNumberFormat="1" applyFont="1" applyBorder="1" applyAlignment="1">
      <alignment horizontal="center"/>
    </xf>
    <xf numFmtId="9" fontId="85" fillId="0" borderId="10" xfId="173" applyFont="1" applyBorder="1" applyAlignment="1">
      <alignment horizontal="center"/>
    </xf>
    <xf numFmtId="9" fontId="92" fillId="0" borderId="10" xfId="173" applyFont="1" applyBorder="1" applyAlignment="1">
      <alignment horizontal="center"/>
    </xf>
    <xf numFmtId="0" fontId="35" fillId="0" borderId="0" xfId="171" applyFont="1" applyAlignment="1">
      <alignment horizontal="center" vertical="center"/>
    </xf>
    <xf numFmtId="0" fontId="35" fillId="0" borderId="0" xfId="0" applyFont="1"/>
    <xf numFmtId="0" fontId="90" fillId="0" borderId="0" xfId="171" applyFont="1" applyAlignment="1">
      <alignment wrapText="1"/>
    </xf>
    <xf numFmtId="0" fontId="91" fillId="0" borderId="0" xfId="171" applyFont="1" applyAlignment="1">
      <alignment wrapText="1"/>
    </xf>
    <xf numFmtId="0" fontId="92" fillId="0" borderId="10" xfId="171" applyFont="1" applyBorder="1" applyAlignment="1">
      <alignment wrapText="1"/>
    </xf>
    <xf numFmtId="0" fontId="93" fillId="0" borderId="0" xfId="171" applyFont="1"/>
    <xf numFmtId="0" fontId="90" fillId="0" borderId="63" xfId="0" applyFont="1" applyBorder="1" applyAlignment="1">
      <alignment horizontal="center"/>
    </xf>
    <xf numFmtId="0" fontId="37" fillId="0" borderId="0" xfId="171" applyFont="1" applyAlignment="1">
      <alignment horizontal="left" wrapText="1"/>
    </xf>
    <xf numFmtId="0" fontId="90" fillId="0" borderId="0" xfId="171" applyFont="1" applyAlignment="1">
      <alignment horizontal="left"/>
    </xf>
    <xf numFmtId="0" fontId="85" fillId="0" borderId="10" xfId="171" applyFont="1" applyBorder="1" applyAlignment="1">
      <alignment horizontal="left"/>
    </xf>
    <xf numFmtId="0" fontId="87" fillId="0" borderId="18" xfId="171" applyFont="1" applyBorder="1"/>
    <xf numFmtId="0" fontId="35" fillId="0" borderId="0" xfId="171" applyFont="1" applyAlignment="1">
      <alignment horizontal="center"/>
    </xf>
    <xf numFmtId="0" fontId="35" fillId="0" borderId="32" xfId="171" applyFont="1" applyBorder="1" applyAlignment="1">
      <alignment horizontal="center"/>
    </xf>
    <xf numFmtId="0" fontId="35" fillId="0" borderId="0" xfId="171" applyFont="1" applyAlignment="1">
      <alignment horizontal="left" wrapText="1"/>
    </xf>
    <xf numFmtId="0" fontId="35" fillId="0" borderId="0" xfId="171" applyFont="1" applyAlignment="1">
      <alignment horizontal="left"/>
    </xf>
    <xf numFmtId="0" fontId="35" fillId="0" borderId="18" xfId="171" applyFont="1" applyBorder="1" applyAlignment="1">
      <alignment horizontal="left"/>
    </xf>
    <xf numFmtId="3" fontId="36" fillId="0" borderId="0" xfId="171" applyNumberFormat="1" applyFont="1" applyAlignment="1">
      <alignment horizontal="center" wrapText="1"/>
    </xf>
    <xf numFmtId="3" fontId="35" fillId="0" borderId="0" xfId="171" applyNumberFormat="1" applyFont="1" applyAlignment="1">
      <alignment horizontal="center" wrapText="1"/>
    </xf>
    <xf numFmtId="3" fontId="37" fillId="0" borderId="0" xfId="171" applyNumberFormat="1" applyFont="1" applyAlignment="1">
      <alignment horizontal="center" wrapText="1"/>
    </xf>
    <xf numFmtId="3" fontId="94" fillId="0" borderId="0" xfId="171" applyNumberFormat="1" applyFont="1" applyAlignment="1">
      <alignment horizontal="center" wrapText="1"/>
    </xf>
    <xf numFmtId="3" fontId="35" fillId="0" borderId="32" xfId="171" applyNumberFormat="1" applyFont="1" applyBorder="1" applyAlignment="1">
      <alignment horizontal="center" wrapText="1"/>
    </xf>
    <xf numFmtId="9" fontId="35" fillId="0" borderId="1" xfId="173" applyFont="1" applyBorder="1" applyAlignment="1">
      <alignment horizontal="center" wrapText="1"/>
    </xf>
    <xf numFmtId="9" fontId="37" fillId="0" borderId="0" xfId="173" applyFont="1" applyBorder="1" applyAlignment="1">
      <alignment horizontal="center" wrapText="1"/>
    </xf>
    <xf numFmtId="9" fontId="35" fillId="0" borderId="32" xfId="173" applyFont="1" applyBorder="1" applyAlignment="1">
      <alignment horizontal="center" wrapText="1"/>
    </xf>
    <xf numFmtId="9" fontId="35" fillId="0" borderId="0" xfId="173" applyFont="1" applyAlignment="1">
      <alignment horizontal="center" wrapText="1"/>
    </xf>
    <xf numFmtId="3" fontId="36" fillId="0" borderId="18" xfId="171" applyNumberFormat="1" applyFont="1" applyBorder="1" applyAlignment="1">
      <alignment horizontal="center" wrapText="1"/>
    </xf>
    <xf numFmtId="3" fontId="35" fillId="0" borderId="18" xfId="171" applyNumberFormat="1" applyFont="1" applyBorder="1" applyAlignment="1">
      <alignment horizontal="center" wrapText="1"/>
    </xf>
    <xf numFmtId="3" fontId="37" fillId="0" borderId="18" xfId="171" applyNumberFormat="1" applyFont="1" applyBorder="1" applyAlignment="1">
      <alignment horizontal="center" wrapText="1"/>
    </xf>
    <xf numFmtId="3" fontId="94" fillId="0" borderId="18" xfId="171" applyNumberFormat="1" applyFont="1" applyBorder="1" applyAlignment="1">
      <alignment horizontal="center" wrapText="1"/>
    </xf>
    <xf numFmtId="3" fontId="35" fillId="0" borderId="82" xfId="171" applyNumberFormat="1" applyFont="1" applyBorder="1" applyAlignment="1">
      <alignment horizontal="center" wrapText="1"/>
    </xf>
    <xf numFmtId="9" fontId="35" fillId="0" borderId="94" xfId="173" applyFont="1" applyBorder="1" applyAlignment="1">
      <alignment horizontal="center" wrapText="1"/>
    </xf>
    <xf numFmtId="9" fontId="37" fillId="0" borderId="18" xfId="173" applyFont="1" applyBorder="1" applyAlignment="1">
      <alignment horizontal="center" wrapText="1"/>
    </xf>
    <xf numFmtId="9" fontId="35" fillId="0" borderId="82" xfId="173" applyFont="1" applyBorder="1" applyAlignment="1">
      <alignment horizontal="center" wrapText="1"/>
    </xf>
    <xf numFmtId="9" fontId="35" fillId="0" borderId="18" xfId="173" applyFont="1" applyBorder="1" applyAlignment="1">
      <alignment horizontal="center" wrapText="1"/>
    </xf>
    <xf numFmtId="0" fontId="35" fillId="0" borderId="4" xfId="171" applyFont="1" applyBorder="1" applyAlignment="1">
      <alignment horizontal="center" wrapText="1"/>
    </xf>
    <xf numFmtId="0" fontId="37" fillId="0" borderId="4" xfId="171" applyFont="1" applyBorder="1" applyAlignment="1">
      <alignment horizontal="center" wrapText="1"/>
    </xf>
    <xf numFmtId="0" fontId="35" fillId="0" borderId="91" xfId="171" applyFont="1" applyBorder="1" applyAlignment="1">
      <alignment horizontal="center" wrapText="1"/>
    </xf>
    <xf numFmtId="0" fontId="35" fillId="0" borderId="93" xfId="171" applyFont="1" applyBorder="1" applyAlignment="1">
      <alignment horizontal="center" wrapText="1"/>
    </xf>
    <xf numFmtId="0" fontId="37" fillId="0" borderId="91" xfId="171" applyFont="1" applyBorder="1" applyAlignment="1">
      <alignment horizontal="center" wrapText="1"/>
    </xf>
    <xf numFmtId="0" fontId="54" fillId="0" borderId="2" xfId="32" applyFont="1" applyBorder="1" applyAlignment="1">
      <alignment horizontal="center"/>
    </xf>
    <xf numFmtId="172" fontId="51" fillId="0" borderId="0" xfId="32" applyNumberFormat="1" applyFont="1"/>
    <xf numFmtId="0" fontId="58" fillId="0" borderId="0" xfId="134" applyFont="1"/>
    <xf numFmtId="0" fontId="51" fillId="0" borderId="18" xfId="134" applyFont="1" applyBorder="1"/>
    <xf numFmtId="9" fontId="58" fillId="0" borderId="18" xfId="9" applyFont="1" applyBorder="1" applyAlignment="1">
      <alignment horizontal="center"/>
    </xf>
    <xf numFmtId="9" fontId="86" fillId="0" borderId="18" xfId="9" applyFont="1" applyBorder="1" applyAlignment="1">
      <alignment horizontal="center"/>
    </xf>
    <xf numFmtId="0" fontId="61" fillId="0" borderId="0" xfId="0" applyFont="1"/>
    <xf numFmtId="0" fontId="61" fillId="0" borderId="0" xfId="0" applyFont="1" applyAlignment="1">
      <alignment horizontal="center" vertical="center"/>
    </xf>
    <xf numFmtId="0" fontId="33" fillId="0" borderId="0" xfId="0" applyFont="1" applyAlignment="1">
      <alignment wrapText="1"/>
    </xf>
    <xf numFmtId="3" fontId="33" fillId="0" borderId="9" xfId="0" applyNumberFormat="1" applyFont="1" applyBorder="1" applyAlignment="1">
      <alignment horizontal="center"/>
    </xf>
    <xf numFmtId="0" fontId="68" fillId="0" borderId="0" xfId="0" applyFont="1" applyAlignment="1">
      <alignment wrapText="1"/>
    </xf>
    <xf numFmtId="3" fontId="68" fillId="0" borderId="0" xfId="0" applyNumberFormat="1" applyFont="1" applyAlignment="1">
      <alignment horizontal="center"/>
    </xf>
    <xf numFmtId="0" fontId="68" fillId="0" borderId="0" xfId="0" applyFont="1" applyAlignment="1">
      <alignment horizontal="left" wrapText="1"/>
    </xf>
    <xf numFmtId="3" fontId="33" fillId="0" borderId="0" xfId="0" applyNumberFormat="1" applyFont="1" applyAlignment="1">
      <alignment horizontal="center"/>
    </xf>
    <xf numFmtId="0" fontId="68" fillId="0" borderId="18" xfId="0" applyFont="1" applyBorder="1" applyAlignment="1">
      <alignment wrapText="1"/>
    </xf>
    <xf numFmtId="3" fontId="68" fillId="0" borderId="18" xfId="0" applyNumberFormat="1" applyFont="1" applyBorder="1" applyAlignment="1">
      <alignment horizontal="center"/>
    </xf>
    <xf numFmtId="0" fontId="33" fillId="0" borderId="0" xfId="0" applyFont="1" applyAlignment="1">
      <alignment horizontal="center" vertical="center"/>
    </xf>
    <xf numFmtId="3" fontId="24" fillId="0" borderId="95" xfId="8" applyNumberFormat="1" applyFont="1" applyBorder="1" applyAlignment="1">
      <alignment horizontal="center" vertical="center"/>
    </xf>
    <xf numFmtId="3" fontId="24" fillId="0" borderId="95" xfId="9" applyNumberFormat="1" applyFont="1" applyFill="1" applyBorder="1" applyAlignment="1">
      <alignment horizontal="center" vertical="center"/>
    </xf>
    <xf numFmtId="3" fontId="24" fillId="0" borderId="49" xfId="9" applyNumberFormat="1" applyFont="1" applyFill="1" applyBorder="1" applyAlignment="1">
      <alignment horizontal="center" vertical="center"/>
    </xf>
    <xf numFmtId="0" fontId="26" fillId="0" borderId="26" xfId="8" applyFont="1" applyBorder="1" applyAlignment="1">
      <alignment horizontal="center" vertical="center"/>
    </xf>
    <xf numFmtId="3" fontId="24" fillId="0" borderId="55" xfId="8" applyNumberFormat="1" applyFont="1" applyBorder="1" applyAlignment="1">
      <alignment horizontal="center" vertical="center"/>
    </xf>
    <xf numFmtId="3" fontId="25" fillId="0" borderId="96" xfId="8" applyNumberFormat="1" applyFont="1" applyBorder="1" applyAlignment="1">
      <alignment horizontal="center" vertical="center"/>
    </xf>
    <xf numFmtId="3" fontId="25" fillId="0" borderId="75" xfId="8" applyNumberFormat="1" applyFont="1" applyBorder="1" applyAlignment="1">
      <alignment horizontal="center" vertical="center"/>
    </xf>
    <xf numFmtId="3" fontId="25" fillId="0" borderId="97" xfId="8" applyNumberFormat="1" applyFont="1" applyBorder="1" applyAlignment="1">
      <alignment horizontal="center" vertical="center"/>
    </xf>
    <xf numFmtId="3" fontId="25" fillId="0" borderId="77" xfId="8" applyNumberFormat="1" applyFont="1" applyBorder="1" applyAlignment="1">
      <alignment horizontal="center" vertical="center"/>
    </xf>
    <xf numFmtId="0" fontId="38" fillId="0" borderId="0" xfId="0" applyFont="1"/>
    <xf numFmtId="0" fontId="40" fillId="0" borderId="18" xfId="5" applyFont="1" applyBorder="1" applyAlignment="1" applyProtection="1"/>
    <xf numFmtId="9" fontId="26" fillId="0" borderId="36" xfId="8" applyNumberFormat="1" applyFont="1" applyBorder="1" applyAlignment="1">
      <alignment horizontal="center"/>
    </xf>
    <xf numFmtId="9" fontId="26" fillId="0" borderId="31" xfId="8" applyNumberFormat="1" applyFont="1" applyBorder="1" applyAlignment="1">
      <alignment horizontal="center"/>
    </xf>
    <xf numFmtId="9" fontId="26" fillId="0" borderId="96" xfId="8" applyNumberFormat="1" applyFont="1" applyBorder="1" applyAlignment="1">
      <alignment horizontal="center"/>
    </xf>
    <xf numFmtId="9" fontId="26" fillId="0" borderId="50" xfId="8" applyNumberFormat="1" applyFont="1" applyBorder="1" applyAlignment="1">
      <alignment horizontal="center"/>
    </xf>
    <xf numFmtId="9" fontId="51" fillId="0" borderId="0" xfId="32" applyNumberFormat="1" applyFont="1"/>
    <xf numFmtId="0" fontId="35" fillId="0" borderId="0" xfId="198" applyFont="1"/>
    <xf numFmtId="0" fontId="35" fillId="0" borderId="18" xfId="198" applyFont="1" applyBorder="1" applyAlignment="1">
      <alignment horizontal="left"/>
    </xf>
    <xf numFmtId="0" fontId="35" fillId="0" borderId="18" xfId="198" applyFont="1" applyBorder="1"/>
    <xf numFmtId="3" fontId="35" fillId="0" borderId="0" xfId="198" applyNumberFormat="1" applyFont="1" applyAlignment="1">
      <alignment horizontal="left"/>
    </xf>
    <xf numFmtId="0" fontId="35" fillId="0" borderId="0" xfId="198" applyFont="1" applyAlignment="1">
      <alignment horizontal="left"/>
    </xf>
    <xf numFmtId="0" fontId="35" fillId="0" borderId="4" xfId="198" applyFont="1" applyBorder="1"/>
    <xf numFmtId="0" fontId="36" fillId="0" borderId="0" xfId="198" applyFont="1"/>
    <xf numFmtId="0" fontId="36" fillId="0" borderId="0" xfId="198" applyFont="1" applyAlignment="1">
      <alignment horizontal="center"/>
    </xf>
    <xf numFmtId="0" fontId="35" fillId="0" borderId="4" xfId="198" applyFont="1" applyBorder="1" applyAlignment="1">
      <alignment horizontal="center"/>
    </xf>
    <xf numFmtId="0" fontId="93" fillId="0" borderId="18" xfId="198" applyFont="1" applyBorder="1" applyAlignment="1">
      <alignment horizontal="left"/>
    </xf>
    <xf numFmtId="0" fontId="93" fillId="0" borderId="0" xfId="198" applyFont="1"/>
    <xf numFmtId="0" fontId="35" fillId="0" borderId="0" xfId="198" applyFont="1" applyAlignment="1">
      <alignment horizontal="center"/>
    </xf>
    <xf numFmtId="49" fontId="35" fillId="0" borderId="0" xfId="198" applyNumberFormat="1" applyFont="1" applyAlignment="1">
      <alignment horizontal="center"/>
    </xf>
    <xf numFmtId="3" fontId="35" fillId="0" borderId="0" xfId="198" applyNumberFormat="1" applyFont="1" applyAlignment="1">
      <alignment horizontal="center"/>
    </xf>
    <xf numFmtId="0" fontId="35" fillId="0" borderId="18" xfId="198" applyFont="1" applyBorder="1" applyAlignment="1">
      <alignment horizontal="center"/>
    </xf>
    <xf numFmtId="49" fontId="35" fillId="0" borderId="18" xfId="198" applyNumberFormat="1" applyFont="1" applyBorder="1" applyAlignment="1">
      <alignment horizontal="center"/>
    </xf>
    <xf numFmtId="9" fontId="16" fillId="0" borderId="0" xfId="9" applyFont="1"/>
    <xf numFmtId="0" fontId="33" fillId="0" borderId="2" xfId="0" applyFont="1" applyBorder="1" applyAlignment="1">
      <alignment horizontal="center" vertical="center"/>
    </xf>
    <xf numFmtId="0" fontId="33" fillId="0" borderId="0" xfId="0" applyFont="1" applyAlignment="1">
      <alignment horizontal="center" vertical="center"/>
    </xf>
    <xf numFmtId="0" fontId="57" fillId="0" borderId="30" xfId="0" applyFont="1" applyBorder="1" applyAlignment="1">
      <alignment horizontal="center" vertical="center"/>
    </xf>
    <xf numFmtId="0" fontId="57" fillId="0" borderId="15" xfId="0" applyFont="1" applyBorder="1" applyAlignment="1">
      <alignment horizontal="center" vertical="center"/>
    </xf>
    <xf numFmtId="0" fontId="57" fillId="0" borderId="40" xfId="0" applyFont="1" applyBorder="1" applyAlignment="1">
      <alignment horizontal="center" vertical="center"/>
    </xf>
    <xf numFmtId="0" fontId="57" fillId="0" borderId="6" xfId="0" applyFont="1" applyBorder="1" applyAlignment="1">
      <alignment horizontal="center" vertical="center"/>
    </xf>
    <xf numFmtId="0" fontId="57" fillId="0" borderId="0" xfId="0" applyFont="1" applyAlignment="1">
      <alignment horizontal="center" vertical="center"/>
    </xf>
    <xf numFmtId="0" fontId="57" fillId="0" borderId="3" xfId="0" applyFont="1" applyBorder="1" applyAlignment="1">
      <alignment horizontal="center" vertical="center"/>
    </xf>
    <xf numFmtId="0" fontId="48" fillId="0" borderId="0" xfId="8" applyFont="1" applyAlignment="1">
      <alignment horizontal="center" vertical="center" wrapText="1"/>
    </xf>
    <xf numFmtId="0" fontId="48" fillId="0" borderId="10" xfId="8" applyFont="1" applyBorder="1" applyAlignment="1">
      <alignment horizontal="center" vertical="center" wrapText="1"/>
    </xf>
    <xf numFmtId="3" fontId="46" fillId="0" borderId="33" xfId="8" applyNumberFormat="1" applyFont="1" applyBorder="1" applyAlignment="1">
      <alignment horizontal="center" vertical="center"/>
    </xf>
    <xf numFmtId="0" fontId="55" fillId="0" borderId="34" xfId="0" applyFont="1" applyBorder="1"/>
    <xf numFmtId="3" fontId="46" fillId="0" borderId="0" xfId="8" applyNumberFormat="1" applyFont="1" applyAlignment="1">
      <alignment horizontal="center" vertical="center"/>
    </xf>
    <xf numFmtId="0" fontId="55" fillId="0" borderId="3" xfId="0" applyFont="1" applyBorder="1"/>
    <xf numFmtId="3" fontId="46" fillId="0" borderId="21" xfId="8" applyNumberFormat="1" applyFont="1" applyBorder="1" applyAlignment="1">
      <alignment horizontal="center" vertical="center"/>
    </xf>
    <xf numFmtId="0" fontId="55" fillId="0" borderId="21" xfId="0" applyFont="1" applyBorder="1" applyAlignment="1">
      <alignment horizontal="center" vertical="center"/>
    </xf>
    <xf numFmtId="0" fontId="55" fillId="0" borderId="17" xfId="0" applyFont="1" applyBorder="1" applyAlignment="1">
      <alignment horizontal="center" vertical="center"/>
    </xf>
    <xf numFmtId="0" fontId="55" fillId="0" borderId="0" xfId="0" applyFont="1" applyAlignment="1">
      <alignment horizontal="center" vertical="center"/>
    </xf>
    <xf numFmtId="0" fontId="55" fillId="0" borderId="3" xfId="0" applyFont="1" applyBorder="1" applyAlignment="1">
      <alignment horizontal="center" vertical="center"/>
    </xf>
    <xf numFmtId="0" fontId="46" fillId="0" borderId="32" xfId="8" applyFont="1" applyBorder="1" applyAlignment="1">
      <alignment horizontal="center" vertical="center" wrapText="1"/>
    </xf>
    <xf numFmtId="0" fontId="46" fillId="0" borderId="35" xfId="8" applyFont="1" applyBorder="1" applyAlignment="1">
      <alignment horizontal="center" vertical="center" wrapText="1"/>
    </xf>
    <xf numFmtId="0" fontId="48" fillId="0" borderId="25" xfId="8" applyFont="1" applyBorder="1" applyAlignment="1">
      <alignment horizontal="center" vertical="center" wrapText="1"/>
    </xf>
    <xf numFmtId="0" fontId="48" fillId="0" borderId="11" xfId="8" applyFont="1" applyBorder="1" applyAlignment="1">
      <alignment horizontal="center" vertical="center" wrapText="1"/>
    </xf>
    <xf numFmtId="0" fontId="48" fillId="0" borderId="13" xfId="8" applyFont="1" applyBorder="1" applyAlignment="1">
      <alignment horizontal="center" vertical="center" wrapText="1"/>
    </xf>
    <xf numFmtId="0" fontId="46" fillId="0" borderId="0" xfId="8" applyFont="1" applyAlignment="1">
      <alignment horizontal="center" vertical="center" wrapText="1"/>
    </xf>
    <xf numFmtId="0" fontId="46" fillId="0" borderId="10" xfId="8" applyFont="1" applyBorder="1" applyAlignment="1">
      <alignment horizontal="center" vertical="center" wrapText="1"/>
    </xf>
    <xf numFmtId="0" fontId="47" fillId="0" borderId="0" xfId="8" applyFont="1" applyAlignment="1">
      <alignment horizontal="center" vertical="center" wrapText="1"/>
    </xf>
    <xf numFmtId="0" fontId="47" fillId="0" borderId="10" xfId="8" applyFont="1" applyBorder="1" applyAlignment="1">
      <alignment horizontal="center" vertical="center" wrapText="1"/>
    </xf>
    <xf numFmtId="3" fontId="16" fillId="0" borderId="29" xfId="8" applyNumberFormat="1" applyBorder="1" applyAlignment="1">
      <alignment horizontal="center"/>
    </xf>
    <xf numFmtId="0" fontId="0" fillId="0" borderId="29" xfId="0" applyBorder="1" applyAlignment="1">
      <alignment horizontal="center"/>
    </xf>
    <xf numFmtId="0" fontId="47" fillId="0" borderId="31" xfId="8" applyFont="1" applyBorder="1" applyAlignment="1">
      <alignment horizontal="center" vertical="center" wrapText="1"/>
    </xf>
    <xf numFmtId="0" fontId="47" fillId="0" borderId="31" xfId="0" applyFont="1" applyBorder="1" applyAlignment="1">
      <alignment horizontal="center" vertical="center" wrapText="1"/>
    </xf>
    <xf numFmtId="0" fontId="47" fillId="0" borderId="28" xfId="0" applyFont="1" applyBorder="1" applyAlignment="1">
      <alignment horizontal="center" vertical="center" wrapText="1"/>
    </xf>
    <xf numFmtId="0" fontId="47" fillId="0" borderId="36" xfId="8" applyFont="1" applyBorder="1" applyAlignment="1">
      <alignment horizontal="center" vertical="center" wrapText="1"/>
    </xf>
    <xf numFmtId="0" fontId="56" fillId="0" borderId="44" xfId="0" applyFont="1" applyBorder="1" applyAlignment="1">
      <alignment horizontal="center" vertical="center" wrapText="1"/>
    </xf>
    <xf numFmtId="0" fontId="47" fillId="0" borderId="1" xfId="8" applyFont="1" applyBorder="1" applyAlignment="1">
      <alignment horizontal="center" vertical="center" wrapText="1"/>
    </xf>
    <xf numFmtId="0" fontId="56" fillId="0" borderId="0" xfId="0" applyFont="1" applyAlignment="1">
      <alignment horizontal="center" vertical="center" wrapText="1"/>
    </xf>
    <xf numFmtId="0" fontId="56" fillId="0" borderId="11" xfId="0" applyFont="1" applyBorder="1" applyAlignment="1">
      <alignment horizontal="center" vertical="center" wrapText="1"/>
    </xf>
    <xf numFmtId="0" fontId="47" fillId="0" borderId="0" xfId="0" applyFont="1" applyAlignment="1">
      <alignment horizontal="center" vertical="center" wrapText="1"/>
    </xf>
    <xf numFmtId="0" fontId="47" fillId="0" borderId="10" xfId="0" applyFont="1" applyBorder="1" applyAlignment="1">
      <alignment horizontal="center" vertical="center" wrapText="1"/>
    </xf>
    <xf numFmtId="3" fontId="46" fillId="0" borderId="34" xfId="8" applyNumberFormat="1" applyFont="1" applyBorder="1" applyAlignment="1">
      <alignment horizontal="center" vertical="center"/>
    </xf>
    <xf numFmtId="3" fontId="46" fillId="0" borderId="3" xfId="8" applyNumberFormat="1" applyFont="1" applyBorder="1" applyAlignment="1">
      <alignment horizontal="center" vertical="center"/>
    </xf>
    <xf numFmtId="3" fontId="46" fillId="0" borderId="17" xfId="8" applyNumberFormat="1" applyFont="1" applyBorder="1" applyAlignment="1">
      <alignment horizontal="center" vertical="center"/>
    </xf>
    <xf numFmtId="0" fontId="47" fillId="0" borderId="28" xfId="8" applyFont="1" applyBorder="1" applyAlignment="1">
      <alignment horizontal="center" vertical="center" wrapText="1"/>
    </xf>
    <xf numFmtId="0" fontId="46" fillId="0" borderId="1" xfId="8" applyFont="1" applyBorder="1" applyAlignment="1">
      <alignment horizontal="center"/>
    </xf>
    <xf numFmtId="0" fontId="46" fillId="0" borderId="0" xfId="8" applyFont="1" applyAlignment="1">
      <alignment horizontal="center"/>
    </xf>
    <xf numFmtId="0" fontId="47" fillId="0" borderId="45" xfId="8" applyFont="1" applyBorder="1" applyAlignment="1">
      <alignment horizontal="center" vertical="center" wrapText="1"/>
    </xf>
    <xf numFmtId="0" fontId="47" fillId="0" borderId="21" xfId="8" applyFont="1" applyBorder="1" applyAlignment="1">
      <alignment horizontal="center" vertical="center" wrapText="1"/>
    </xf>
    <xf numFmtId="0" fontId="47" fillId="0" borderId="44" xfId="8" applyFont="1" applyBorder="1" applyAlignment="1">
      <alignment horizontal="center" vertical="center" wrapText="1"/>
    </xf>
    <xf numFmtId="0" fontId="46" fillId="0" borderId="37" xfId="8" applyFont="1" applyBorder="1" applyAlignment="1">
      <alignment horizontal="center" vertical="center" wrapText="1"/>
    </xf>
    <xf numFmtId="0" fontId="46" fillId="0" borderId="38" xfId="8" applyFont="1" applyBorder="1" applyAlignment="1">
      <alignment horizontal="center" vertical="center" wrapText="1"/>
    </xf>
    <xf numFmtId="0" fontId="46" fillId="0" borderId="39" xfId="8" applyFont="1" applyBorder="1" applyAlignment="1">
      <alignment horizontal="center" vertical="center" wrapText="1"/>
    </xf>
    <xf numFmtId="0" fontId="48" fillId="0" borderId="21" xfId="8" applyFont="1" applyBorder="1" applyAlignment="1">
      <alignment horizontal="center" vertical="center" wrapText="1"/>
    </xf>
    <xf numFmtId="0" fontId="46" fillId="0" borderId="31" xfId="8" applyFont="1" applyBorder="1" applyAlignment="1">
      <alignment horizontal="center" vertical="center" wrapText="1"/>
    </xf>
    <xf numFmtId="0" fontId="46" fillId="0" borderId="28" xfId="8" applyFont="1" applyBorder="1" applyAlignment="1">
      <alignment horizontal="center" vertical="center" wrapText="1"/>
    </xf>
    <xf numFmtId="0" fontId="16" fillId="0" borderId="41" xfId="8" applyBorder="1" applyAlignment="1">
      <alignment horizontal="center" vertical="center"/>
    </xf>
    <xf numFmtId="0" fontId="16" fillId="0" borderId="29" xfId="8" applyBorder="1" applyAlignment="1">
      <alignment horizontal="center" vertical="center"/>
    </xf>
    <xf numFmtId="0" fontId="47" fillId="0" borderId="25" xfId="8" applyFont="1" applyBorder="1" applyAlignment="1">
      <alignment horizontal="center" vertical="center"/>
    </xf>
    <xf numFmtId="0" fontId="47" fillId="0" borderId="11" xfId="8" applyFont="1" applyBorder="1" applyAlignment="1">
      <alignment horizontal="center" vertical="center"/>
    </xf>
    <xf numFmtId="0" fontId="48" fillId="0" borderId="3" xfId="8" applyFont="1" applyBorder="1" applyAlignment="1">
      <alignment horizontal="center" vertical="center" wrapText="1"/>
    </xf>
    <xf numFmtId="0" fontId="48" fillId="0" borderId="16" xfId="8" applyFont="1" applyBorder="1" applyAlignment="1">
      <alignment horizontal="center" vertical="center" wrapText="1"/>
    </xf>
    <xf numFmtId="0" fontId="46" fillId="0" borderId="36" xfId="8" applyFont="1" applyBorder="1" applyAlignment="1">
      <alignment horizontal="center" vertical="center" wrapText="1"/>
    </xf>
    <xf numFmtId="0" fontId="46" fillId="0" borderId="21" xfId="8" applyFont="1" applyBorder="1" applyAlignment="1">
      <alignment horizontal="center" vertical="center" wrapText="1"/>
    </xf>
    <xf numFmtId="0" fontId="16" fillId="0" borderId="14" xfId="8" applyBorder="1" applyAlignment="1">
      <alignment horizontal="center" vertical="center"/>
    </xf>
    <xf numFmtId="0" fontId="46" fillId="0" borderId="11" xfId="8" applyFont="1" applyBorder="1" applyAlignment="1">
      <alignment horizontal="center" vertical="center" wrapText="1"/>
    </xf>
    <xf numFmtId="0" fontId="46" fillId="0" borderId="13" xfId="8" applyFont="1" applyBorder="1" applyAlignment="1">
      <alignment horizontal="center" vertical="center" wrapText="1"/>
    </xf>
    <xf numFmtId="0" fontId="48" fillId="0" borderId="89" xfId="8" applyFont="1" applyBorder="1" applyAlignment="1">
      <alignment horizontal="center" vertical="center" wrapText="1"/>
    </xf>
    <xf numFmtId="0" fontId="48" fillId="0" borderId="90" xfId="8" applyFont="1" applyBorder="1" applyAlignment="1">
      <alignment horizontal="center" vertical="center" wrapText="1"/>
    </xf>
    <xf numFmtId="0" fontId="48" fillId="0" borderId="88" xfId="8" applyFont="1" applyBorder="1" applyAlignment="1">
      <alignment horizontal="center" vertical="center" wrapText="1"/>
    </xf>
    <xf numFmtId="0" fontId="46" fillId="0" borderId="9" xfId="8" applyFont="1" applyBorder="1" applyAlignment="1">
      <alignment horizontal="center" vertical="center" wrapText="1"/>
    </xf>
    <xf numFmtId="0" fontId="47" fillId="0" borderId="23" xfId="8" applyFont="1" applyBorder="1" applyAlignment="1">
      <alignment horizontal="center" vertical="center" wrapText="1"/>
    </xf>
    <xf numFmtId="0" fontId="47" fillId="0" borderId="16" xfId="8" applyFont="1" applyBorder="1" applyAlignment="1">
      <alignment horizontal="center" vertical="center" wrapText="1"/>
    </xf>
    <xf numFmtId="0" fontId="16" fillId="0" borderId="29" xfId="8" applyBorder="1" applyAlignment="1">
      <alignment horizontal="center"/>
    </xf>
    <xf numFmtId="0" fontId="16" fillId="0" borderId="14" xfId="8" applyBorder="1" applyAlignment="1">
      <alignment horizontal="center"/>
    </xf>
    <xf numFmtId="0" fontId="46" fillId="0" borderId="22" xfId="8" applyFont="1" applyBorder="1" applyAlignment="1">
      <alignment horizontal="center" vertical="center" wrapText="1"/>
    </xf>
    <xf numFmtId="0" fontId="46" fillId="0" borderId="42" xfId="8" applyFont="1" applyBorder="1" applyAlignment="1">
      <alignment horizontal="center" vertical="center" wrapText="1"/>
    </xf>
    <xf numFmtId="0" fontId="47" fillId="0" borderId="43" xfId="8" applyFont="1" applyBorder="1" applyAlignment="1">
      <alignment horizontal="center" vertical="center" wrapText="1"/>
    </xf>
    <xf numFmtId="0" fontId="47" fillId="0" borderId="35" xfId="8" applyFont="1" applyBorder="1" applyAlignment="1">
      <alignment horizontal="center" vertical="center" wrapText="1"/>
    </xf>
    <xf numFmtId="0" fontId="33" fillId="0" borderId="85" xfId="8" applyFont="1" applyBorder="1" applyAlignment="1">
      <alignment horizontal="center" vertical="center"/>
    </xf>
    <xf numFmtId="0" fontId="33" fillId="0" borderId="63" xfId="8" applyFont="1" applyBorder="1" applyAlignment="1">
      <alignment horizontal="center" vertical="center"/>
    </xf>
    <xf numFmtId="0" fontId="33" fillId="0" borderId="87" xfId="8" applyFont="1" applyBorder="1" applyAlignment="1">
      <alignment horizontal="center" vertical="center"/>
    </xf>
    <xf numFmtId="0" fontId="46" fillId="0" borderId="9" xfId="0" applyFont="1" applyBorder="1" applyAlignment="1">
      <alignment horizontal="center" vertical="center" wrapText="1"/>
    </xf>
    <xf numFmtId="0" fontId="46" fillId="0" borderId="10" xfId="0" applyFont="1" applyBorder="1" applyAlignment="1">
      <alignment horizontal="center" vertical="center" wrapText="1"/>
    </xf>
    <xf numFmtId="0" fontId="33" fillId="0" borderId="86" xfId="8" applyFont="1" applyBorder="1" applyAlignment="1">
      <alignment horizontal="center" vertical="center"/>
    </xf>
    <xf numFmtId="0" fontId="23" fillId="0" borderId="19" xfId="0" applyFont="1" applyBorder="1" applyAlignment="1">
      <alignment horizontal="center" vertical="center"/>
    </xf>
    <xf numFmtId="0" fontId="50" fillId="0" borderId="19" xfId="0" applyFont="1" applyBorder="1" applyAlignment="1">
      <alignment horizontal="center" vertical="center"/>
    </xf>
    <xf numFmtId="0" fontId="62" fillId="0" borderId="0" xfId="7" applyFont="1" applyAlignment="1">
      <alignment horizontal="center"/>
    </xf>
    <xf numFmtId="0" fontId="58" fillId="0" borderId="0" xfId="7" applyFont="1" applyAlignment="1">
      <alignment horizontal="center"/>
    </xf>
    <xf numFmtId="0" fontId="93" fillId="0" borderId="0" xfId="7" applyFont="1" applyAlignment="1">
      <alignment horizontal="center"/>
    </xf>
    <xf numFmtId="0" fontId="83" fillId="0" borderId="0" xfId="7" applyFont="1" applyAlignment="1">
      <alignment horizontal="center"/>
    </xf>
    <xf numFmtId="0" fontId="93" fillId="0" borderId="0" xfId="198" applyFont="1" applyAlignment="1">
      <alignment horizontal="center"/>
    </xf>
    <xf numFmtId="0" fontId="36" fillId="0" borderId="0" xfId="198" applyFont="1" applyAlignment="1">
      <alignment horizontal="center"/>
    </xf>
    <xf numFmtId="0" fontId="23" fillId="0" borderId="0" xfId="0" applyFont="1" applyAlignment="1">
      <alignment horizontal="center" vertical="center"/>
    </xf>
    <xf numFmtId="0" fontId="69" fillId="0" borderId="0" xfId="0" applyFont="1" applyAlignment="1">
      <alignment horizontal="center"/>
    </xf>
    <xf numFmtId="0" fontId="69" fillId="0" borderId="0" xfId="7" applyFont="1" applyAlignment="1">
      <alignment horizontal="center"/>
    </xf>
    <xf numFmtId="0" fontId="85" fillId="0" borderId="0" xfId="7" applyFont="1" applyAlignment="1">
      <alignment horizontal="center"/>
    </xf>
    <xf numFmtId="0" fontId="36" fillId="0" borderId="0" xfId="29" applyFont="1" applyAlignment="1">
      <alignment horizontal="center"/>
    </xf>
    <xf numFmtId="0" fontId="62" fillId="0" borderId="2" xfId="29" applyFont="1" applyBorder="1" applyAlignment="1">
      <alignment horizontal="center" vertical="center" wrapText="1"/>
    </xf>
    <xf numFmtId="0" fontId="39" fillId="0" borderId="0" xfId="0" applyFont="1" applyAlignment="1">
      <alignment horizontal="left"/>
    </xf>
    <xf numFmtId="0" fontId="93" fillId="0" borderId="0" xfId="171" applyFont="1" applyAlignment="1">
      <alignment horizontal="center"/>
    </xf>
    <xf numFmtId="0" fontId="22" fillId="0" borderId="84" xfId="8" applyFont="1" applyBorder="1" applyAlignment="1">
      <alignment horizontal="center" vertical="center" wrapText="1"/>
    </xf>
    <xf numFmtId="0" fontId="22" fillId="0" borderId="38" xfId="8" applyFont="1" applyBorder="1" applyAlignment="1">
      <alignment horizontal="center" vertical="center" wrapText="1"/>
    </xf>
    <xf numFmtId="0" fontId="22" fillId="0" borderId="39" xfId="8" applyFont="1" applyBorder="1" applyAlignment="1">
      <alignment horizontal="center" vertical="center" wrapText="1"/>
    </xf>
    <xf numFmtId="0" fontId="16" fillId="0" borderId="1" xfId="8" applyBorder="1" applyAlignment="1">
      <alignment horizontal="center" vertical="center" wrapText="1"/>
    </xf>
    <xf numFmtId="0" fontId="16" fillId="0" borderId="42" xfId="8" applyBorder="1" applyAlignment="1">
      <alignment horizontal="center" vertical="center" wrapText="1"/>
    </xf>
    <xf numFmtId="0" fontId="16" fillId="0" borderId="0" xfId="8" applyAlignment="1">
      <alignment horizontal="center" vertical="center" wrapText="1"/>
    </xf>
    <xf numFmtId="0" fontId="16" fillId="0" borderId="10" xfId="8" applyBorder="1" applyAlignment="1">
      <alignment horizontal="center" vertical="center" wrapText="1"/>
    </xf>
    <xf numFmtId="0" fontId="57" fillId="0" borderId="30" xfId="0" applyFont="1" applyBorder="1" applyAlignment="1">
      <alignment horizontal="center" vertical="center" wrapText="1"/>
    </xf>
    <xf numFmtId="0" fontId="57" fillId="0" borderId="15" xfId="0" applyFont="1" applyBorder="1" applyAlignment="1">
      <alignment horizontal="center" vertical="center" wrapText="1"/>
    </xf>
    <xf numFmtId="0" fontId="75" fillId="0" borderId="15" xfId="0" applyFont="1" applyBorder="1" applyAlignment="1">
      <alignment horizontal="center" vertical="center" wrapText="1"/>
    </xf>
    <xf numFmtId="0" fontId="75" fillId="0" borderId="40" xfId="0" applyFont="1" applyBorder="1" applyAlignment="1">
      <alignment horizontal="center"/>
    </xf>
    <xf numFmtId="0" fontId="16" fillId="0" borderId="9" xfId="8" applyBorder="1" applyAlignment="1">
      <alignment horizontal="center" vertical="center"/>
    </xf>
    <xf numFmtId="0" fontId="16" fillId="0" borderId="9" xfId="0" applyFont="1" applyBorder="1"/>
    <xf numFmtId="0" fontId="16" fillId="0" borderId="64" xfId="0" applyFont="1" applyBorder="1"/>
    <xf numFmtId="0" fontId="20" fillId="0" borderId="21" xfId="8" applyFont="1" applyBorder="1" applyAlignment="1">
      <alignment horizontal="center" vertical="center" wrapText="1"/>
    </xf>
    <xf numFmtId="0" fontId="20" fillId="0" borderId="0" xfId="0" applyFont="1" applyAlignment="1">
      <alignment horizontal="center" vertical="center" wrapText="1"/>
    </xf>
    <xf numFmtId="0" fontId="20" fillId="0" borderId="10" xfId="0" applyFont="1" applyBorder="1" applyAlignment="1">
      <alignment horizontal="center" vertical="center" wrapText="1"/>
    </xf>
    <xf numFmtId="0" fontId="29" fillId="0" borderId="21" xfId="8" applyFont="1" applyBorder="1" applyAlignment="1">
      <alignment horizontal="center" vertical="center" wrapText="1"/>
    </xf>
    <xf numFmtId="0" fontId="29" fillId="0" borderId="0" xfId="8" applyFont="1" applyAlignment="1">
      <alignment horizontal="center" vertical="center" wrapText="1"/>
    </xf>
    <xf numFmtId="0" fontId="29" fillId="0" borderId="10" xfId="8" applyFont="1" applyBorder="1" applyAlignment="1">
      <alignment horizontal="center" vertical="center" wrapText="1"/>
    </xf>
    <xf numFmtId="0" fontId="20" fillId="0" borderId="0" xfId="8" applyFont="1" applyAlignment="1">
      <alignment horizontal="center" vertical="center" wrapText="1"/>
    </xf>
    <xf numFmtId="0" fontId="20" fillId="0" borderId="10" xfId="8" applyFont="1" applyBorder="1" applyAlignment="1">
      <alignment horizontal="center" vertical="center" wrapText="1"/>
    </xf>
    <xf numFmtId="0" fontId="29" fillId="0" borderId="25" xfId="8" applyFont="1" applyBorder="1" applyAlignment="1">
      <alignment horizontal="center" vertical="center" wrapText="1"/>
    </xf>
    <xf numFmtId="0" fontId="29" fillId="0" borderId="11" xfId="8" applyFont="1" applyBorder="1" applyAlignment="1">
      <alignment horizontal="center" vertical="center" wrapText="1"/>
    </xf>
    <xf numFmtId="0" fontId="29" fillId="0" borderId="13" xfId="8" applyFont="1" applyBorder="1" applyAlignment="1">
      <alignment horizontal="center" vertical="center" wrapText="1"/>
    </xf>
    <xf numFmtId="0" fontId="20" fillId="0" borderId="9" xfId="8" applyFont="1" applyBorder="1" applyAlignment="1">
      <alignment horizontal="center" vertical="center" wrapText="1"/>
    </xf>
    <xf numFmtId="0" fontId="22" fillId="0" borderId="3" xfId="0" applyFont="1" applyBorder="1" applyAlignment="1">
      <alignment horizontal="center" vertical="center" wrapText="1"/>
    </xf>
    <xf numFmtId="0" fontId="22" fillId="0" borderId="16" xfId="0" applyFont="1" applyBorder="1" applyAlignment="1">
      <alignment horizontal="center" vertical="center" wrapText="1"/>
    </xf>
    <xf numFmtId="0" fontId="15" fillId="0" borderId="0" xfId="8" applyFont="1" applyAlignment="1">
      <alignment horizontal="center" vertical="center" wrapText="1"/>
    </xf>
    <xf numFmtId="0" fontId="15" fillId="0" borderId="10" xfId="8" applyFont="1" applyBorder="1" applyAlignment="1">
      <alignment horizontal="center" vertical="center" wrapText="1"/>
    </xf>
    <xf numFmtId="0" fontId="75" fillId="0" borderId="40" xfId="0" applyFont="1" applyBorder="1" applyAlignment="1">
      <alignment horizontal="center" vertical="center" wrapText="1"/>
    </xf>
    <xf numFmtId="0" fontId="16" fillId="0" borderId="23" xfId="0" applyFont="1" applyBorder="1"/>
    <xf numFmtId="0" fontId="29" fillId="0" borderId="17" xfId="8" applyFont="1" applyBorder="1" applyAlignment="1">
      <alignment horizontal="center" vertical="center" wrapText="1"/>
    </xf>
    <xf numFmtId="0" fontId="29" fillId="0" borderId="3" xfId="8" applyFont="1" applyBorder="1" applyAlignment="1">
      <alignment horizontal="center" vertical="center" wrapText="1"/>
    </xf>
    <xf numFmtId="0" fontId="29" fillId="0" borderId="16" xfId="8" applyFont="1" applyBorder="1" applyAlignment="1">
      <alignment horizontal="center" vertical="center" wrapText="1"/>
    </xf>
    <xf numFmtId="0" fontId="16" fillId="0" borderId="23" xfId="8" applyBorder="1" applyAlignment="1">
      <alignment horizontal="center" vertical="center" wrapText="1"/>
    </xf>
    <xf numFmtId="0" fontId="16" fillId="0" borderId="3" xfId="8" applyBorder="1" applyAlignment="1">
      <alignment horizontal="center" vertical="center" wrapText="1"/>
    </xf>
    <xf numFmtId="0" fontId="16" fillId="0" borderId="16" xfId="8" applyBorder="1" applyAlignment="1">
      <alignment horizontal="center" vertical="center" wrapText="1"/>
    </xf>
    <xf numFmtId="0" fontId="16" fillId="0" borderId="29" xfId="0" applyFont="1" applyBorder="1"/>
    <xf numFmtId="0" fontId="16" fillId="0" borderId="67" xfId="0" applyFont="1" applyBorder="1"/>
    <xf numFmtId="0" fontId="16" fillId="0" borderId="22" xfId="8" applyBorder="1" applyAlignment="1">
      <alignment horizontal="center" vertical="center" wrapText="1"/>
    </xf>
    <xf numFmtId="0" fontId="11" fillId="0" borderId="0" xfId="0" applyFont="1" applyAlignment="1">
      <alignment horizontal="center" vertical="center" wrapText="1"/>
    </xf>
    <xf numFmtId="0" fontId="20" fillId="0" borderId="36" xfId="8" applyFont="1" applyBorder="1" applyAlignment="1">
      <alignment horizontal="center" vertical="center" wrapText="1"/>
    </xf>
    <xf numFmtId="0" fontId="20" fillId="0" borderId="31" xfId="0" applyFont="1" applyBorder="1" applyAlignment="1">
      <alignment horizontal="center" vertical="center" wrapText="1"/>
    </xf>
    <xf numFmtId="0" fontId="20" fillId="0" borderId="28" xfId="0" applyFont="1" applyBorder="1" applyAlignment="1">
      <alignment horizontal="center" vertical="center" wrapText="1"/>
    </xf>
    <xf numFmtId="0" fontId="16" fillId="0" borderId="64" xfId="8" applyBorder="1" applyAlignment="1">
      <alignment horizontal="center"/>
    </xf>
    <xf numFmtId="0" fontId="29" fillId="0" borderId="9" xfId="8" applyFont="1" applyBorder="1" applyAlignment="1">
      <alignment horizontal="center" vertical="center" wrapText="1"/>
    </xf>
    <xf numFmtId="0" fontId="20" fillId="0" borderId="9" xfId="0" applyFont="1" applyBorder="1" applyAlignment="1">
      <alignment horizontal="center" vertical="center" wrapText="1"/>
    </xf>
    <xf numFmtId="0" fontId="29" fillId="0" borderId="43" xfId="0" applyFont="1" applyBorder="1" applyAlignment="1">
      <alignment horizontal="center" vertical="center" wrapText="1"/>
    </xf>
    <xf numFmtId="0" fontId="29" fillId="0" borderId="32" xfId="0" applyFont="1" applyBorder="1" applyAlignment="1">
      <alignment horizontal="center" vertical="center" wrapText="1"/>
    </xf>
    <xf numFmtId="0" fontId="29" fillId="0" borderId="35" xfId="0" applyFont="1" applyBorder="1" applyAlignment="1">
      <alignment horizontal="center" vertical="center" wrapText="1"/>
    </xf>
    <xf numFmtId="0" fontId="16" fillId="0" borderId="14" xfId="0" applyFont="1" applyBorder="1"/>
    <xf numFmtId="0" fontId="20" fillId="0" borderId="44" xfId="8" applyFont="1" applyBorder="1" applyAlignment="1">
      <alignment horizontal="center" vertical="center" wrapText="1"/>
    </xf>
    <xf numFmtId="0" fontId="20" fillId="0" borderId="35" xfId="8" applyFont="1" applyBorder="1" applyAlignment="1">
      <alignment horizontal="center" vertical="center" wrapText="1"/>
    </xf>
    <xf numFmtId="0" fontId="27" fillId="0" borderId="79" xfId="8" applyFont="1" applyBorder="1" applyAlignment="1">
      <alignment horizontal="center" vertical="center"/>
    </xf>
    <xf numFmtId="0" fontId="27" fillId="0" borderId="70" xfId="8" applyFont="1" applyBorder="1" applyAlignment="1">
      <alignment horizontal="center" vertical="center"/>
    </xf>
    <xf numFmtId="0" fontId="27" fillId="0" borderId="78" xfId="8" applyFont="1" applyBorder="1" applyAlignment="1">
      <alignment horizontal="center" vertical="center"/>
    </xf>
    <xf numFmtId="0" fontId="28" fillId="0" borderId="36" xfId="8" applyFont="1" applyBorder="1" applyAlignment="1">
      <alignment horizontal="center" vertical="center" wrapText="1"/>
    </xf>
    <xf numFmtId="0" fontId="28" fillId="0" borderId="28" xfId="8" applyFont="1" applyBorder="1" applyAlignment="1">
      <alignment horizontal="center" vertical="center" wrapText="1"/>
    </xf>
    <xf numFmtId="0" fontId="28" fillId="0" borderId="21" xfId="8" applyFont="1" applyBorder="1" applyAlignment="1">
      <alignment horizontal="center" vertical="center" wrapText="1"/>
    </xf>
    <xf numFmtId="0" fontId="28" fillId="0" borderId="10" xfId="8" applyFont="1" applyBorder="1" applyAlignment="1">
      <alignment horizontal="center" vertical="center" wrapText="1"/>
    </xf>
    <xf numFmtId="0" fontId="27" fillId="0" borderId="80" xfId="8" applyFont="1" applyBorder="1" applyAlignment="1">
      <alignment horizontal="center" vertical="center"/>
    </xf>
    <xf numFmtId="0" fontId="36" fillId="0" borderId="0" xfId="171" applyFont="1" applyAlignment="1">
      <alignment horizontal="center" vertical="center" wrapText="1"/>
    </xf>
    <xf numFmtId="0" fontId="36" fillId="0" borderId="4" xfId="171" applyFont="1" applyBorder="1" applyAlignment="1">
      <alignment horizontal="center" vertical="center" wrapText="1"/>
    </xf>
    <xf numFmtId="0" fontId="58" fillId="0" borderId="0" xfId="172" applyFont="1" applyAlignment="1">
      <alignment horizontal="center" vertical="center"/>
    </xf>
    <xf numFmtId="0" fontId="35" fillId="0" borderId="0" xfId="171" applyFont="1" applyAlignment="1">
      <alignment horizontal="center" vertical="center" wrapText="1"/>
    </xf>
    <xf numFmtId="0" fontId="35" fillId="0" borderId="4" xfId="171" applyFont="1" applyBorder="1" applyAlignment="1">
      <alignment horizontal="center" vertical="center" wrapText="1"/>
    </xf>
    <xf numFmtId="0" fontId="37" fillId="0" borderId="0" xfId="171" applyFont="1" applyAlignment="1">
      <alignment horizontal="center" vertical="center" wrapText="1"/>
    </xf>
    <xf numFmtId="0" fontId="37" fillId="0" borderId="4" xfId="171" applyFont="1" applyBorder="1" applyAlignment="1">
      <alignment horizontal="center" vertical="center" wrapText="1"/>
    </xf>
    <xf numFmtId="0" fontId="94" fillId="0" borderId="0" xfId="171" applyFont="1" applyAlignment="1">
      <alignment horizontal="center" vertical="center" wrapText="1"/>
    </xf>
    <xf numFmtId="0" fontId="94" fillId="0" borderId="4" xfId="171" applyFont="1" applyBorder="1" applyAlignment="1">
      <alignment horizontal="center" vertical="center" wrapText="1"/>
    </xf>
    <xf numFmtId="0" fontId="35" fillId="0" borderId="0" xfId="171" applyFont="1" applyAlignment="1">
      <alignment horizontal="center"/>
    </xf>
    <xf numFmtId="0" fontId="35" fillId="0" borderId="32" xfId="171" applyFont="1" applyBorder="1" applyAlignment="1">
      <alignment horizontal="center"/>
    </xf>
    <xf numFmtId="0" fontId="35" fillId="0" borderId="1" xfId="171" applyFont="1" applyBorder="1" applyAlignment="1">
      <alignment horizontal="center" vertical="center"/>
    </xf>
    <xf numFmtId="0" fontId="35" fillId="0" borderId="0" xfId="171" applyFont="1" applyAlignment="1">
      <alignment horizontal="center" vertical="center"/>
    </xf>
    <xf numFmtId="0" fontId="35" fillId="0" borderId="32" xfId="171" applyFont="1" applyBorder="1" applyAlignment="1">
      <alignment horizontal="center" vertical="center"/>
    </xf>
    <xf numFmtId="0" fontId="70" fillId="0" borderId="0" xfId="0" applyFont="1" applyAlignment="1">
      <alignment horizontal="center"/>
    </xf>
    <xf numFmtId="0" fontId="76" fillId="0" borderId="0" xfId="0" applyFont="1" applyAlignment="1">
      <alignment horizontal="center"/>
    </xf>
    <xf numFmtId="0" fontId="47" fillId="0" borderId="0" xfId="0" applyFont="1" applyAlignment="1">
      <alignment horizontal="center" vertical="center"/>
    </xf>
    <xf numFmtId="0" fontId="47" fillId="0" borderId="32" xfId="0" applyFont="1" applyBorder="1" applyAlignment="1">
      <alignment horizontal="center" vertical="center"/>
    </xf>
    <xf numFmtId="0" fontId="57" fillId="0" borderId="0" xfId="0" applyFont="1" applyAlignment="1">
      <alignment horizontal="center"/>
    </xf>
    <xf numFmtId="0" fontId="47" fillId="0" borderId="92" xfId="0" applyFont="1" applyBorder="1" applyAlignment="1">
      <alignment horizontal="center" vertical="center"/>
    </xf>
    <xf numFmtId="0" fontId="47" fillId="0" borderId="2" xfId="0" applyFont="1" applyBorder="1" applyAlignment="1">
      <alignment horizontal="center" vertical="center"/>
    </xf>
    <xf numFmtId="0" fontId="16" fillId="0" borderId="0" xfId="0" applyFont="1" applyAlignment="1">
      <alignment horizontal="center" vertical="center" wrapText="1"/>
    </xf>
    <xf numFmtId="0" fontId="58" fillId="0" borderId="9" xfId="134" applyFont="1" applyBorder="1" applyAlignment="1">
      <alignment horizontal="center" vertical="center"/>
    </xf>
    <xf numFmtId="0" fontId="95" fillId="0" borderId="0" xfId="0" applyFont="1" applyAlignment="1">
      <alignment horizontal="center" vertical="center"/>
    </xf>
    <xf numFmtId="0" fontId="69" fillId="0" borderId="0" xfId="134" applyFont="1" applyAlignment="1">
      <alignment horizontal="center" vertical="center" wrapText="1"/>
    </xf>
    <xf numFmtId="0" fontId="69" fillId="0" borderId="4" xfId="134" applyFont="1" applyBorder="1" applyAlignment="1">
      <alignment horizontal="center" vertical="center" wrapText="1"/>
    </xf>
    <xf numFmtId="0" fontId="58" fillId="0" borderId="0" xfId="134" applyFont="1" applyAlignment="1">
      <alignment horizontal="center" vertical="center" wrapText="1"/>
    </xf>
    <xf numFmtId="0" fontId="69" fillId="0" borderId="18" xfId="134" applyFont="1" applyBorder="1" applyAlignment="1">
      <alignment horizontal="center" vertical="center" wrapText="1"/>
    </xf>
    <xf numFmtId="0" fontId="58" fillId="0" borderId="4" xfId="134" applyFont="1" applyBorder="1" applyAlignment="1">
      <alignment horizontal="center" vertical="center" wrapText="1"/>
    </xf>
    <xf numFmtId="0" fontId="58" fillId="0" borderId="63" xfId="134" applyFont="1" applyBorder="1" applyAlignment="1">
      <alignment horizontal="center" vertical="center" wrapText="1"/>
    </xf>
    <xf numFmtId="0" fontId="96" fillId="0" borderId="0" xfId="0" applyFont="1" applyAlignment="1">
      <alignment horizontal="center" vertical="center"/>
    </xf>
  </cellXfs>
  <cellStyles count="202">
    <cellStyle name="Besuchter Hyperlink" xfId="12" builtinId="9" hidden="1"/>
    <cellStyle name="Besuchter Hyperlink" xfId="13" builtinId="9" hidden="1"/>
    <cellStyle name="Besuchter Hyperlink" xfId="14" builtinId="9" hidden="1"/>
    <cellStyle name="Besuchter Hyperlink" xfId="15" builtinId="9" hidden="1"/>
    <cellStyle name="Besuchter Hyperlink" xfId="16" builtinId="9" hidden="1"/>
    <cellStyle name="Besuchter Hyperlink" xfId="17" builtinId="9" hidden="1"/>
    <cellStyle name="Besuchter Hyperlink" xfId="18" builtinId="9" hidden="1"/>
    <cellStyle name="Besuchter Hyperlink" xfId="19" builtinId="9" hidden="1"/>
    <cellStyle name="Besuchter Hyperlink" xfId="20" builtinId="9" hidden="1"/>
    <cellStyle name="Besuchter Hyperlink" xfId="21" builtinId="9" hidden="1"/>
    <cellStyle name="Besuchter Hyperlink" xfId="22" builtinId="9" hidden="1"/>
    <cellStyle name="Besuchter Hyperlink" xfId="23" builtinId="9" hidden="1"/>
    <cellStyle name="Besuchter Hyperlink" xfId="24" builtinId="9" hidden="1"/>
    <cellStyle name="Besuchter Hyperlink" xfId="25" builtinId="9" hidden="1"/>
    <cellStyle name="Besuchter Hyperlink" xfId="26" builtinId="9" hidden="1"/>
    <cellStyle name="Besuchter Hyperlink" xfId="27" builtinId="9" hidden="1"/>
    <cellStyle name="Besuchter Hyperlink" xfId="28" builtinId="9" hidden="1"/>
    <cellStyle name="Besuchter Hyperlink" xfId="31" builtinId="9" hidden="1"/>
    <cellStyle name="Besuchter Hyperlink" xfId="34" builtinId="9" hidden="1"/>
    <cellStyle name="Besuchter Hyperlink" xfId="35" builtinId="9" hidden="1"/>
    <cellStyle name="Besuchter Hyperlink" xfId="36" builtinId="9" hidden="1"/>
    <cellStyle name="Besuchter Hyperlink" xfId="37" builtinId="9" hidden="1"/>
    <cellStyle name="Besuchter Hyperlink" xfId="38" builtinId="9" hidden="1"/>
    <cellStyle name="Besuchter Hyperlink" xfId="39" builtinId="9" hidden="1"/>
    <cellStyle name="Besuchter Hyperlink" xfId="40" builtinId="9" hidden="1"/>
    <cellStyle name="Besuchter Hyperlink" xfId="41" builtinId="9" hidden="1"/>
    <cellStyle name="Besuchter Hyperlink" xfId="42" builtinId="9" hidden="1"/>
    <cellStyle name="Besuchter Hyperlink" xfId="43" builtinId="9" hidden="1"/>
    <cellStyle name="Besuchter Hyperlink" xfId="44" builtinId="9" hidden="1"/>
    <cellStyle name="Besuchter Hyperlink" xfId="45" builtinId="9" hidden="1"/>
    <cellStyle name="Besuchter Hyperlink" xfId="46" builtinId="9" hidden="1"/>
    <cellStyle name="Besuchter Hyperlink" xfId="47" builtinId="9" hidden="1"/>
    <cellStyle name="Besuchter Hyperlink" xfId="48" builtinId="9" hidden="1"/>
    <cellStyle name="Besuchter Hyperlink" xfId="49" builtinId="9" hidden="1"/>
    <cellStyle name="Besuchter Hyperlink" xfId="50" builtinId="9" hidden="1"/>
    <cellStyle name="Besuchter Hyperlink" xfId="51" builtinId="9" hidden="1"/>
    <cellStyle name="Besuchter Hyperlink" xfId="52" builtinId="9" hidden="1"/>
    <cellStyle name="Besuchter Hyperlink" xfId="53" builtinId="9" hidden="1"/>
    <cellStyle name="Besuchter Hyperlink" xfId="55" builtinId="9" hidden="1"/>
    <cellStyle name="Besuchter Hyperlink" xfId="56" builtinId="9" hidden="1"/>
    <cellStyle name="Besuchter Hyperlink" xfId="57" builtinId="9" hidden="1"/>
    <cellStyle name="Besuchter Hyperlink" xfId="58" builtinId="9" hidden="1"/>
    <cellStyle name="Besuchter Hyperlink" xfId="59" builtinId="9" hidden="1"/>
    <cellStyle name="Besuchter Hyperlink" xfId="60" builtinId="9" hidden="1"/>
    <cellStyle name="Besuchter Hyperlink" xfId="61" builtinId="9" hidden="1"/>
    <cellStyle name="Besuchter Hyperlink" xfId="62" builtinId="9" hidden="1"/>
    <cellStyle name="Besuchter Hyperlink" xfId="63" builtinId="9" hidden="1"/>
    <cellStyle name="Besuchter Hyperlink" xfId="64" builtinId="9" hidden="1"/>
    <cellStyle name="Besuchter Hyperlink" xfId="65" builtinId="9" hidden="1"/>
    <cellStyle name="Besuchter Hyperlink" xfId="66" builtinId="9" hidden="1"/>
    <cellStyle name="Besuchter Hyperlink" xfId="67" builtinId="9" hidden="1"/>
    <cellStyle name="Besuchter Hyperlink" xfId="68" builtinId="9" hidden="1"/>
    <cellStyle name="Besuchter Hyperlink" xfId="69" builtinId="9" hidden="1"/>
    <cellStyle name="Besuchter Hyperlink" xfId="70" builtinId="9" hidden="1"/>
    <cellStyle name="Besuchter Hyperlink" xfId="71" builtinId="9" hidden="1"/>
    <cellStyle name="Besuchter Hyperlink" xfId="72" builtinId="9" hidden="1"/>
    <cellStyle name="Besuchter Hyperlink" xfId="73" builtinId="9" hidden="1"/>
    <cellStyle name="Besuchter Hyperlink" xfId="74" builtinId="9" hidden="1"/>
    <cellStyle name="Besuchter Hyperlink" xfId="75" builtinId="9" hidden="1"/>
    <cellStyle name="Besuchter Hyperlink" xfId="76" builtinId="9" hidden="1"/>
    <cellStyle name="Besuchter Hyperlink" xfId="77" builtinId="9" hidden="1"/>
    <cellStyle name="Besuchter Hyperlink" xfId="78" builtinId="9" hidden="1"/>
    <cellStyle name="Besuchter Hyperlink" xfId="79" builtinId="9" hidden="1"/>
    <cellStyle name="Besuchter Hyperlink" xfId="80" builtinId="9" hidden="1"/>
    <cellStyle name="Besuchter Hyperlink" xfId="81" builtinId="9" hidden="1"/>
    <cellStyle name="Besuchter Hyperlink" xfId="82" builtinId="9" hidden="1"/>
    <cellStyle name="Besuchter Hyperlink" xfId="83" builtinId="9" hidden="1"/>
    <cellStyle name="Besuchter Hyperlink" xfId="84" builtinId="9" hidden="1"/>
    <cellStyle name="Besuchter Hyperlink" xfId="85" builtinId="9" hidden="1"/>
    <cellStyle name="Besuchter Hyperlink" xfId="86" builtinId="9" hidden="1"/>
    <cellStyle name="Besuchter Hyperlink" xfId="87" builtinId="9" hidden="1"/>
    <cellStyle name="Besuchter Hyperlink" xfId="88" builtinId="9" hidden="1"/>
    <cellStyle name="Besuchter Hyperlink" xfId="89" builtinId="9" hidden="1"/>
    <cellStyle name="Besuchter Hyperlink" xfId="90" builtinId="9" hidden="1"/>
    <cellStyle name="Besuchter Hyperlink" xfId="91" builtinId="9" hidden="1"/>
    <cellStyle name="Besuchter Hyperlink" xfId="92" builtinId="9" hidden="1"/>
    <cellStyle name="Besuchter Hyperlink" xfId="93" builtinId="9" hidden="1"/>
    <cellStyle name="Besuchter Hyperlink" xfId="94" builtinId="9" hidden="1"/>
    <cellStyle name="Besuchter Hyperlink" xfId="95" builtinId="9" hidden="1"/>
    <cellStyle name="Besuchter Hyperlink" xfId="96" builtinId="9" hidden="1"/>
    <cellStyle name="Besuchter Hyperlink" xfId="97" builtinId="9" hidden="1"/>
    <cellStyle name="Besuchter Hyperlink" xfId="98" builtinId="9" hidden="1"/>
    <cellStyle name="Besuchter Hyperlink" xfId="99" builtinId="9" hidden="1"/>
    <cellStyle name="Besuchter Hyperlink" xfId="100" builtinId="9" hidden="1"/>
    <cellStyle name="Besuchter Hyperlink" xfId="101" builtinId="9" hidden="1"/>
    <cellStyle name="Besuchter Hyperlink" xfId="102" builtinId="9" hidden="1"/>
    <cellStyle name="Besuchter Hyperlink" xfId="103" builtinId="9" hidden="1"/>
    <cellStyle name="Besuchter Hyperlink" xfId="104" builtinId="9" hidden="1"/>
    <cellStyle name="Besuchter Hyperlink" xfId="105" builtinId="9" hidden="1"/>
    <cellStyle name="Besuchter Hyperlink" xfId="106" builtinId="9" hidden="1"/>
    <cellStyle name="Besuchter Hyperlink" xfId="107" builtinId="9" hidden="1"/>
    <cellStyle name="Besuchter Hyperlink" xfId="108" builtinId="9" hidden="1"/>
    <cellStyle name="Besuchter Hyperlink" xfId="109" builtinId="9" hidden="1"/>
    <cellStyle name="Besuchter Hyperlink" xfId="110" builtinId="9" hidden="1"/>
    <cellStyle name="Besuchter Hyperlink" xfId="111" builtinId="9" hidden="1"/>
    <cellStyle name="Besuchter Hyperlink" xfId="112" builtinId="9" hidden="1"/>
    <cellStyle name="Besuchter Hyperlink" xfId="113" builtinId="9" hidden="1"/>
    <cellStyle name="Besuchter Hyperlink" xfId="114" builtinId="9" hidden="1"/>
    <cellStyle name="Besuchter Hyperlink" xfId="115" builtinId="9" hidden="1"/>
    <cellStyle name="Besuchter Hyperlink" xfId="116" builtinId="9" hidden="1"/>
    <cellStyle name="Besuchter Hyperlink" xfId="117" builtinId="9" hidden="1"/>
    <cellStyle name="Besuchter Hyperlink" xfId="118" builtinId="9" hidden="1"/>
    <cellStyle name="Besuchter Hyperlink" xfId="119" builtinId="9" hidden="1"/>
    <cellStyle name="Besuchter Hyperlink" xfId="120" builtinId="9" hidden="1"/>
    <cellStyle name="Besuchter Hyperlink" xfId="121" builtinId="9" hidden="1"/>
    <cellStyle name="Besuchter Hyperlink" xfId="122" builtinId="9" hidden="1"/>
    <cellStyle name="Besuchter Hyperlink" xfId="123" builtinId="9" hidden="1"/>
    <cellStyle name="Besuchter Hyperlink" xfId="124" builtinId="9" hidden="1"/>
    <cellStyle name="Besuchter Hyperlink" xfId="125" builtinId="9" hidden="1"/>
    <cellStyle name="Besuchter Hyperlink" xfId="126" builtinId="9" hidden="1"/>
    <cellStyle name="Besuchter Hyperlink" xfId="127" builtinId="9" hidden="1"/>
    <cellStyle name="Besuchter Hyperlink" xfId="128" builtinId="9" hidden="1"/>
    <cellStyle name="Besuchter Hyperlink" xfId="129" builtinId="9" hidden="1"/>
    <cellStyle name="Besuchter Hyperlink" xfId="130" builtinId="9" hidden="1"/>
    <cellStyle name="Besuchter Hyperlink" xfId="131" builtinId="9" hidden="1"/>
    <cellStyle name="Besuchter Hyperlink" xfId="132" builtinId="9" hidden="1"/>
    <cellStyle name="Besuchter Hyperlink" xfId="133" builtinId="9" hidden="1"/>
    <cellStyle name="Besuchter Hyperlink" xfId="137" builtinId="9" hidden="1"/>
    <cellStyle name="Besuchter Hyperlink" xfId="138" builtinId="9" hidden="1"/>
    <cellStyle name="Besuchter Hyperlink" xfId="139" builtinId="9" hidden="1"/>
    <cellStyle name="Besuchter Hyperlink" xfId="140" builtinId="9" hidden="1"/>
    <cellStyle name="Besuchter Hyperlink" xfId="141" builtinId="9" hidden="1"/>
    <cellStyle name="Besuchter Hyperlink" xfId="142" builtinId="9" hidden="1"/>
    <cellStyle name="Besuchter Hyperlink" xfId="143" builtinId="9" hidden="1"/>
    <cellStyle name="Besuchter Hyperlink" xfId="144" builtinId="9" hidden="1"/>
    <cellStyle name="Besuchter Hyperlink" xfId="145" builtinId="9" hidden="1"/>
    <cellStyle name="Besuchter Hyperlink" xfId="146" builtinId="9" hidden="1"/>
    <cellStyle name="Besuchter Hyperlink" xfId="147" builtinId="9" hidden="1"/>
    <cellStyle name="Besuchter Hyperlink" xfId="148" builtinId="9" hidden="1"/>
    <cellStyle name="Besuchter Hyperlink" xfId="149" builtinId="9" hidden="1"/>
    <cellStyle name="Besuchter Hyperlink" xfId="150" builtinId="9" hidden="1"/>
    <cellStyle name="Besuchter Hyperlink" xfId="151" builtinId="9" hidden="1"/>
    <cellStyle name="Besuchter Hyperlink" xfId="152" builtinId="9" hidden="1"/>
    <cellStyle name="Besuchter Hyperlink" xfId="153" builtinId="9" hidden="1"/>
    <cellStyle name="Besuchter Hyperlink" xfId="154" builtinId="9" hidden="1"/>
    <cellStyle name="Besuchter Hyperlink" xfId="155" builtinId="9" hidden="1"/>
    <cellStyle name="Besuchter Hyperlink" xfId="156" builtinId="9" hidden="1"/>
    <cellStyle name="Besuchter Hyperlink" xfId="157" builtinId="9" hidden="1"/>
    <cellStyle name="Besuchter Hyperlink" xfId="158" builtinId="9" hidden="1"/>
    <cellStyle name="Besuchter Hyperlink" xfId="159" builtinId="9" hidden="1"/>
    <cellStyle name="Besuchter Hyperlink" xfId="160" builtinId="9" hidden="1"/>
    <cellStyle name="Besuchter Hyperlink" xfId="161" builtinId="9" hidden="1"/>
    <cellStyle name="Besuchter Hyperlink" xfId="162" builtinId="9" hidden="1"/>
    <cellStyle name="Besuchter Hyperlink" xfId="163" builtinId="9" hidden="1"/>
    <cellStyle name="Besuchter Hyperlink" xfId="164" builtinId="9" hidden="1"/>
    <cellStyle name="Besuchter Hyperlink" xfId="165" builtinId="9" hidden="1"/>
    <cellStyle name="Besuchter Hyperlink" xfId="166" builtinId="9" hidden="1"/>
    <cellStyle name="Besuchter Hyperlink" xfId="167" builtinId="9" hidden="1"/>
    <cellStyle name="Besuchter Hyperlink" xfId="168" builtinId="9" hidden="1"/>
    <cellStyle name="Besuchter Hyperlink" xfId="169" builtinId="9" hidden="1"/>
    <cellStyle name="Besuchter Hyperlink" xfId="170" builtinId="9" hidden="1"/>
    <cellStyle name="Besuchter Hyperlink" xfId="174" builtinId="9" hidden="1"/>
    <cellStyle name="Besuchter Hyperlink" xfId="175" builtinId="9" hidden="1"/>
    <cellStyle name="Besuchter Hyperlink" xfId="176" builtinId="9" hidden="1"/>
    <cellStyle name="Besuchter Hyperlink" xfId="177" builtinId="9" hidden="1"/>
    <cellStyle name="Besuchter Hyperlink" xfId="178" builtinId="9" hidden="1"/>
    <cellStyle name="Besuchter Hyperlink" xfId="179" builtinId="9" hidden="1"/>
    <cellStyle name="Besuchter Hyperlink" xfId="180" builtinId="9" hidden="1"/>
    <cellStyle name="Besuchter Hyperlink" xfId="181" builtinId="9" hidden="1"/>
    <cellStyle name="Besuchter Hyperlink" xfId="182" builtinId="9" hidden="1"/>
    <cellStyle name="Besuchter Hyperlink" xfId="183" builtinId="9" hidden="1"/>
    <cellStyle name="Besuchter Hyperlink" xfId="184" builtinId="9" hidden="1"/>
    <cellStyle name="Besuchter Hyperlink" xfId="185" builtinId="9" hidden="1"/>
    <cellStyle name="Besuchter Hyperlink" xfId="186" builtinId="9" hidden="1"/>
    <cellStyle name="Besuchter Hyperlink" xfId="187" builtinId="9" hidden="1"/>
    <cellStyle name="Besuchter Hyperlink" xfId="188" builtinId="9" hidden="1"/>
    <cellStyle name="Besuchter Hyperlink" xfId="189" builtinId="9" hidden="1"/>
    <cellStyle name="Besuchter Hyperlink" xfId="190" builtinId="9" hidden="1"/>
    <cellStyle name="Besuchter Hyperlink" xfId="191" builtinId="9" hidden="1"/>
    <cellStyle name="Besuchter Hyperlink" xfId="192" builtinId="9" hidden="1"/>
    <cellStyle name="Besuchter Hyperlink" xfId="193" builtinId="9" hidden="1"/>
    <cellStyle name="Besuchter Hyperlink" xfId="194" builtinId="9" hidden="1"/>
    <cellStyle name="Besuchter Hyperlink" xfId="195" builtinId="9" hidden="1"/>
    <cellStyle name="Besuchter Hyperlink" xfId="196" builtinId="9" hidden="1"/>
    <cellStyle name="Besuchter Hyperlink" xfId="197" builtinId="9" hidden="1"/>
    <cellStyle name="Besuchter Hyperlink" xfId="199" builtinId="9" hidden="1"/>
    <cellStyle name="Besuchter Hyperlink" xfId="200" builtinId="9" hidden="1"/>
    <cellStyle name="Besuchter Hyperlink" xfId="201" builtinId="9" hidden="1"/>
    <cellStyle name="Date" xfId="1" xr:uid="{00000000-0005-0000-0000-000000000000}"/>
    <cellStyle name="En-tête 1" xfId="2" xr:uid="{00000000-0005-0000-0000-000001000000}"/>
    <cellStyle name="En-tête 2" xfId="3" xr:uid="{00000000-0005-0000-0000-000002000000}"/>
    <cellStyle name="Financier0" xfId="4" xr:uid="{00000000-0005-0000-0000-000003000000}"/>
    <cellStyle name="Link" xfId="5" builtinId="8"/>
    <cellStyle name="Monétaire0" xfId="6" xr:uid="{00000000-0005-0000-0000-0000B7000000}"/>
    <cellStyle name="Normal 2" xfId="7" xr:uid="{00000000-0005-0000-0000-0000B9000000}"/>
    <cellStyle name="Normal 2 2" xfId="172" xr:uid="{00000000-0005-0000-0000-0000BA000000}"/>
    <cellStyle name="Normal 3" xfId="29" xr:uid="{00000000-0005-0000-0000-0000BB000000}"/>
    <cellStyle name="Normal 4" xfId="32" xr:uid="{00000000-0005-0000-0000-0000BC000000}"/>
    <cellStyle name="Normal 5" xfId="54" xr:uid="{00000000-0005-0000-0000-0000BD000000}"/>
    <cellStyle name="Normal 6" xfId="134" xr:uid="{00000000-0005-0000-0000-0000BE000000}"/>
    <cellStyle name="Normal 7" xfId="171" xr:uid="{00000000-0005-0000-0000-0000BF000000}"/>
    <cellStyle name="Normal 8" xfId="198" xr:uid="{00000000-0005-0000-0000-0000C0000000}"/>
    <cellStyle name="Normal_AppendixTables(NationalAccountsData).xls" xfId="8" xr:uid="{00000000-0005-0000-0000-0000C1000000}"/>
    <cellStyle name="Pourcentage 2" xfId="30" xr:uid="{00000000-0005-0000-0000-0000C3000000}"/>
    <cellStyle name="Pourcentage 3" xfId="33" xr:uid="{00000000-0005-0000-0000-0000C4000000}"/>
    <cellStyle name="Pourcentage 3 2" xfId="135" xr:uid="{00000000-0005-0000-0000-0000C5000000}"/>
    <cellStyle name="Pourcentage 4" xfId="173" xr:uid="{00000000-0005-0000-0000-0000C6000000}"/>
    <cellStyle name="Prozent" xfId="9" builtinId="5"/>
    <cellStyle name="Standard" xfId="0" builtinId="0"/>
    <cellStyle name="Standard 11" xfId="136" xr:uid="{00000000-0005-0000-0000-0000C7000000}"/>
    <cellStyle name="style_col_headings" xfId="10" xr:uid="{00000000-0005-0000-0000-0000C8000000}"/>
    <cellStyle name="Virgule fixe" xfId="11" xr:uid="{00000000-0005-0000-0000-0000C900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5" Type="http://schemas.openxmlformats.org/officeDocument/2006/relationships/image" Target="../media/image5.emf"/><Relationship Id="rId4"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3</xdr:col>
      <xdr:colOff>478972</xdr:colOff>
      <xdr:row>5</xdr:row>
      <xdr:rowOff>243114</xdr:rowOff>
    </xdr:from>
    <xdr:to>
      <xdr:col>3</xdr:col>
      <xdr:colOff>1050472</xdr:colOff>
      <xdr:row>5</xdr:row>
      <xdr:rowOff>667657</xdr:rowOff>
    </xdr:to>
    <xdr:pic>
      <xdr:nvPicPr>
        <xdr:cNvPr id="2" name="Image 1">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1"/>
        <a:stretch>
          <a:fillRect/>
        </a:stretch>
      </xdr:blipFill>
      <xdr:spPr>
        <a:xfrm>
          <a:off x="3926115" y="2275114"/>
          <a:ext cx="571500" cy="424543"/>
        </a:xfrm>
        <a:prstGeom prst="rect">
          <a:avLst/>
        </a:prstGeom>
      </xdr:spPr>
    </xdr:pic>
    <xdr:clientData/>
  </xdr:twoCellAnchor>
  <xdr:twoCellAnchor editAs="oneCell">
    <xdr:from>
      <xdr:col>4</xdr:col>
      <xdr:colOff>572658</xdr:colOff>
      <xdr:row>5</xdr:row>
      <xdr:rowOff>283028</xdr:rowOff>
    </xdr:from>
    <xdr:to>
      <xdr:col>4</xdr:col>
      <xdr:colOff>879221</xdr:colOff>
      <xdr:row>5</xdr:row>
      <xdr:rowOff>598350</xdr:rowOff>
    </xdr:to>
    <xdr:pic>
      <xdr:nvPicPr>
        <xdr:cNvPr id="3" name="Image 2">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2"/>
        <a:stretch>
          <a:fillRect/>
        </a:stretch>
      </xdr:blipFill>
      <xdr:spPr>
        <a:xfrm>
          <a:off x="5616372" y="2315028"/>
          <a:ext cx="306563" cy="315322"/>
        </a:xfrm>
        <a:prstGeom prst="rect">
          <a:avLst/>
        </a:prstGeom>
      </xdr:spPr>
    </xdr:pic>
    <xdr:clientData/>
  </xdr:twoCellAnchor>
  <xdr:twoCellAnchor editAs="oneCell">
    <xdr:from>
      <xdr:col>7</xdr:col>
      <xdr:colOff>613229</xdr:colOff>
      <xdr:row>5</xdr:row>
      <xdr:rowOff>175847</xdr:rowOff>
    </xdr:from>
    <xdr:to>
      <xdr:col>7</xdr:col>
      <xdr:colOff>1133929</xdr:colOff>
      <xdr:row>5</xdr:row>
      <xdr:rowOff>662215</xdr:rowOff>
    </xdr:to>
    <xdr:pic>
      <xdr:nvPicPr>
        <xdr:cNvPr id="4" name="Image 3">
          <a:extLst>
            <a:ext uri="{FF2B5EF4-FFF2-40B4-BE49-F238E27FC236}">
              <a16:creationId xmlns:a16="http://schemas.microsoft.com/office/drawing/2014/main" id="{00000000-0008-0000-1400-000004000000}"/>
            </a:ext>
          </a:extLst>
        </xdr:cNvPr>
        <xdr:cNvPicPr>
          <a:picLocks noChangeAspect="1"/>
        </xdr:cNvPicPr>
      </xdr:nvPicPr>
      <xdr:blipFill>
        <a:blip xmlns:r="http://schemas.openxmlformats.org/officeDocument/2006/relationships" r:embed="rId3"/>
        <a:stretch>
          <a:fillRect/>
        </a:stretch>
      </xdr:blipFill>
      <xdr:spPr>
        <a:xfrm>
          <a:off x="10446658" y="2207847"/>
          <a:ext cx="520700" cy="486368"/>
        </a:xfrm>
        <a:prstGeom prst="rect">
          <a:avLst/>
        </a:prstGeom>
      </xdr:spPr>
    </xdr:pic>
    <xdr:clientData/>
  </xdr:twoCellAnchor>
  <xdr:twoCellAnchor editAs="oneCell">
    <xdr:from>
      <xdr:col>9</xdr:col>
      <xdr:colOff>566056</xdr:colOff>
      <xdr:row>5</xdr:row>
      <xdr:rowOff>150533</xdr:rowOff>
    </xdr:from>
    <xdr:to>
      <xdr:col>9</xdr:col>
      <xdr:colOff>959756</xdr:colOff>
      <xdr:row>5</xdr:row>
      <xdr:rowOff>624115</xdr:rowOff>
    </xdr:to>
    <xdr:pic>
      <xdr:nvPicPr>
        <xdr:cNvPr id="5" name="Image 4">
          <a:extLst>
            <a:ext uri="{FF2B5EF4-FFF2-40B4-BE49-F238E27FC236}">
              <a16:creationId xmlns:a16="http://schemas.microsoft.com/office/drawing/2014/main" id="{00000000-0008-0000-1400-000005000000}"/>
            </a:ext>
          </a:extLst>
        </xdr:cNvPr>
        <xdr:cNvPicPr>
          <a:picLocks noChangeAspect="1"/>
        </xdr:cNvPicPr>
      </xdr:nvPicPr>
      <xdr:blipFill>
        <a:blip xmlns:r="http://schemas.openxmlformats.org/officeDocument/2006/relationships" r:embed="rId4"/>
        <a:stretch>
          <a:fillRect/>
        </a:stretch>
      </xdr:blipFill>
      <xdr:spPr>
        <a:xfrm>
          <a:off x="13592627" y="2182533"/>
          <a:ext cx="393700" cy="473582"/>
        </a:xfrm>
        <a:prstGeom prst="rect">
          <a:avLst/>
        </a:prstGeom>
      </xdr:spPr>
    </xdr:pic>
    <xdr:clientData/>
  </xdr:twoCellAnchor>
  <xdr:twoCellAnchor editAs="oneCell">
    <xdr:from>
      <xdr:col>1</xdr:col>
      <xdr:colOff>112484</xdr:colOff>
      <xdr:row>5</xdr:row>
      <xdr:rowOff>322943</xdr:rowOff>
    </xdr:from>
    <xdr:to>
      <xdr:col>1</xdr:col>
      <xdr:colOff>264884</xdr:colOff>
      <xdr:row>5</xdr:row>
      <xdr:rowOff>627743</xdr:rowOff>
    </xdr:to>
    <xdr:pic>
      <xdr:nvPicPr>
        <xdr:cNvPr id="6" name="Image 5">
          <a:extLst>
            <a:ext uri="{FF2B5EF4-FFF2-40B4-BE49-F238E27FC236}">
              <a16:creationId xmlns:a16="http://schemas.microsoft.com/office/drawing/2014/main" id="{00000000-0008-0000-1400-000006000000}"/>
            </a:ext>
          </a:extLst>
        </xdr:cNvPr>
        <xdr:cNvPicPr>
          <a:picLocks noChangeAspect="1"/>
        </xdr:cNvPicPr>
      </xdr:nvPicPr>
      <xdr:blipFill>
        <a:blip xmlns:r="http://schemas.openxmlformats.org/officeDocument/2006/relationships" r:embed="rId5"/>
        <a:stretch>
          <a:fillRect/>
        </a:stretch>
      </xdr:blipFill>
      <xdr:spPr>
        <a:xfrm>
          <a:off x="1074055" y="2373086"/>
          <a:ext cx="152400" cy="304800"/>
        </a:xfrm>
        <a:prstGeom prst="rect">
          <a:avLst/>
        </a:prstGeom>
      </xdr:spPr>
    </xdr:pic>
    <xdr:clientData/>
  </xdr:twoCellAnchor>
</xdr:wsDr>
</file>

<file path=xl/theme/theme1.xml><?xml version="1.0" encoding="utf-8"?>
<a:theme xmlns:a="http://schemas.openxmlformats.org/drawingml/2006/main" name="Thème Office">
  <a:themeElements>
    <a:clrScheme name="Bureau">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Bureau">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ureau">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M44"/>
  <sheetViews>
    <sheetView zoomScale="70" zoomScaleNormal="70" zoomScalePageLayoutView="70" workbookViewId="0">
      <selection activeCell="D31" sqref="D31"/>
    </sheetView>
  </sheetViews>
  <sheetFormatPr baseColWidth="10" defaultRowHeight="12.6" x14ac:dyDescent="0.2"/>
  <cols>
    <col min="1" max="1" width="2.7265625" customWidth="1"/>
    <col min="2" max="2" width="7.453125" customWidth="1"/>
    <col min="3" max="3" width="5.7265625" customWidth="1"/>
    <col min="4" max="4" width="107.81640625" customWidth="1"/>
    <col min="5" max="5" width="47.54296875" customWidth="1"/>
  </cols>
  <sheetData>
    <row r="2" spans="2:13" ht="25.95" customHeight="1" thickBot="1" x14ac:dyDescent="0.35">
      <c r="C2" s="128"/>
      <c r="D2" s="128"/>
      <c r="E2" s="59"/>
    </row>
    <row r="3" spans="2:13" ht="40.950000000000003" customHeight="1" thickTop="1" x14ac:dyDescent="0.3">
      <c r="B3" s="635" t="s">
        <v>571</v>
      </c>
      <c r="C3" s="635"/>
      <c r="D3" s="635"/>
      <c r="E3" s="96"/>
    </row>
    <row r="4" spans="2:13" ht="17.399999999999999" x14ac:dyDescent="0.3">
      <c r="B4" s="59" t="s">
        <v>645</v>
      </c>
      <c r="C4" s="59" t="s">
        <v>234</v>
      </c>
      <c r="D4" s="129" t="s">
        <v>635</v>
      </c>
      <c r="E4" s="59"/>
    </row>
    <row r="5" spans="2:13" ht="17.399999999999999" x14ac:dyDescent="0.3">
      <c r="B5" s="59" t="s">
        <v>645</v>
      </c>
      <c r="C5" s="59" t="s">
        <v>235</v>
      </c>
      <c r="D5" s="129" t="s">
        <v>636</v>
      </c>
      <c r="E5" s="59"/>
    </row>
    <row r="6" spans="2:13" ht="17.399999999999999" x14ac:dyDescent="0.3">
      <c r="B6" s="59" t="s">
        <v>645</v>
      </c>
      <c r="C6" s="59" t="s">
        <v>236</v>
      </c>
      <c r="D6" s="129" t="s">
        <v>637</v>
      </c>
      <c r="E6" s="59"/>
    </row>
    <row r="7" spans="2:13" ht="40.950000000000003" customHeight="1" x14ac:dyDescent="0.3">
      <c r="B7" s="59"/>
      <c r="C7" s="636" t="s">
        <v>879</v>
      </c>
      <c r="D7" s="636"/>
      <c r="E7" s="96"/>
    </row>
    <row r="8" spans="2:13" ht="17.399999999999999" x14ac:dyDescent="0.3">
      <c r="B8" s="59" t="s">
        <v>645</v>
      </c>
      <c r="C8" s="59" t="s">
        <v>237</v>
      </c>
      <c r="D8" s="129" t="s">
        <v>630</v>
      </c>
      <c r="E8" s="96"/>
    </row>
    <row r="9" spans="2:13" ht="17.399999999999999" x14ac:dyDescent="0.3">
      <c r="B9" s="59" t="s">
        <v>645</v>
      </c>
      <c r="C9" s="59" t="s">
        <v>238</v>
      </c>
      <c r="D9" s="129" t="s">
        <v>638</v>
      </c>
      <c r="E9" s="129"/>
      <c r="F9" s="129"/>
      <c r="G9" s="129"/>
      <c r="H9" s="129"/>
      <c r="I9" s="129"/>
      <c r="J9" s="129"/>
      <c r="K9" s="129"/>
      <c r="L9" s="129"/>
      <c r="M9" s="129"/>
    </row>
    <row r="10" spans="2:13" ht="17.399999999999999" x14ac:dyDescent="0.3">
      <c r="B10" s="59" t="s">
        <v>645</v>
      </c>
      <c r="C10" s="59" t="s">
        <v>239</v>
      </c>
      <c r="D10" s="129" t="s">
        <v>639</v>
      </c>
      <c r="E10" s="59"/>
    </row>
    <row r="11" spans="2:13" ht="17.399999999999999" x14ac:dyDescent="0.3">
      <c r="B11" s="59" t="s">
        <v>645</v>
      </c>
      <c r="C11" s="59" t="s">
        <v>240</v>
      </c>
      <c r="D11" s="129" t="s">
        <v>907</v>
      </c>
      <c r="E11" s="59"/>
    </row>
    <row r="12" spans="2:13" ht="17.399999999999999" x14ac:dyDescent="0.3">
      <c r="B12" s="59" t="s">
        <v>645</v>
      </c>
      <c r="C12" s="59" t="s">
        <v>241</v>
      </c>
      <c r="D12" s="129" t="s">
        <v>640</v>
      </c>
      <c r="E12" s="59"/>
    </row>
    <row r="13" spans="2:13" ht="17.399999999999999" x14ac:dyDescent="0.3">
      <c r="B13" s="59" t="s">
        <v>645</v>
      </c>
      <c r="C13" s="59" t="s">
        <v>242</v>
      </c>
      <c r="D13" s="129" t="s">
        <v>641</v>
      </c>
      <c r="E13" s="59"/>
    </row>
    <row r="14" spans="2:13" ht="17.399999999999999" x14ac:dyDescent="0.3">
      <c r="B14" s="59" t="s">
        <v>645</v>
      </c>
      <c r="C14" s="59" t="s">
        <v>923</v>
      </c>
      <c r="D14" s="129" t="s">
        <v>925</v>
      </c>
      <c r="E14" s="59"/>
    </row>
    <row r="15" spans="2:13" ht="17.399999999999999" x14ac:dyDescent="0.3">
      <c r="B15" s="59" t="s">
        <v>645</v>
      </c>
      <c r="C15" s="59" t="s">
        <v>924</v>
      </c>
      <c r="D15" s="129" t="s">
        <v>926</v>
      </c>
      <c r="E15" s="59"/>
    </row>
    <row r="16" spans="2:13" ht="40.950000000000003" customHeight="1" x14ac:dyDescent="0.3">
      <c r="B16" s="59"/>
      <c r="C16" s="636" t="s">
        <v>880</v>
      </c>
      <c r="D16" s="636"/>
      <c r="E16" s="96"/>
    </row>
    <row r="17" spans="2:5" ht="17.399999999999999" x14ac:dyDescent="0.3">
      <c r="B17" s="59" t="s">
        <v>645</v>
      </c>
      <c r="C17" s="59" t="s">
        <v>243</v>
      </c>
      <c r="D17" s="129" t="s">
        <v>567</v>
      </c>
      <c r="E17" s="59"/>
    </row>
    <row r="18" spans="2:5" ht="17.399999999999999" x14ac:dyDescent="0.3">
      <c r="B18" s="59" t="s">
        <v>645</v>
      </c>
      <c r="C18" s="59" t="s">
        <v>244</v>
      </c>
      <c r="D18" s="129" t="s">
        <v>568</v>
      </c>
      <c r="E18" s="59"/>
    </row>
    <row r="19" spans="2:5" ht="17.399999999999999" x14ac:dyDescent="0.3">
      <c r="B19" s="59" t="s">
        <v>645</v>
      </c>
      <c r="C19" s="59" t="s">
        <v>312</v>
      </c>
      <c r="D19" s="243" t="s">
        <v>908</v>
      </c>
      <c r="E19" s="96"/>
    </row>
    <row r="20" spans="2:5" ht="40.950000000000003" customHeight="1" x14ac:dyDescent="0.3">
      <c r="B20" s="59"/>
      <c r="C20" s="59"/>
      <c r="D20" s="601" t="s">
        <v>882</v>
      </c>
      <c r="E20" s="65"/>
    </row>
    <row r="21" spans="2:5" ht="17.399999999999999" x14ac:dyDescent="0.3">
      <c r="B21" s="59" t="s">
        <v>645</v>
      </c>
      <c r="C21" s="59" t="s">
        <v>313</v>
      </c>
      <c r="D21" s="129" t="s">
        <v>569</v>
      </c>
      <c r="E21" s="59"/>
    </row>
    <row r="22" spans="2:5" ht="17.399999999999999" x14ac:dyDescent="0.3">
      <c r="B22" s="59" t="s">
        <v>645</v>
      </c>
      <c r="C22" s="59" t="s">
        <v>591</v>
      </c>
      <c r="D22" s="129" t="s">
        <v>570</v>
      </c>
      <c r="E22" s="59"/>
    </row>
    <row r="23" spans="2:5" ht="17.399999999999999" x14ac:dyDescent="0.3">
      <c r="B23" s="59" t="s">
        <v>645</v>
      </c>
      <c r="C23" s="59" t="s">
        <v>594</v>
      </c>
      <c r="D23" s="243" t="s">
        <v>634</v>
      </c>
      <c r="E23" s="59"/>
    </row>
    <row r="24" spans="2:5" ht="17.399999999999999" x14ac:dyDescent="0.3">
      <c r="B24" s="59" t="s">
        <v>645</v>
      </c>
      <c r="C24" s="59" t="s">
        <v>595</v>
      </c>
      <c r="D24" s="243" t="s">
        <v>662</v>
      </c>
      <c r="E24" s="59"/>
    </row>
    <row r="25" spans="2:5" ht="17.399999999999999" x14ac:dyDescent="0.3">
      <c r="B25" s="59" t="s">
        <v>645</v>
      </c>
      <c r="C25" s="59" t="s">
        <v>596</v>
      </c>
      <c r="D25" s="243" t="s">
        <v>878</v>
      </c>
      <c r="E25" s="59"/>
    </row>
    <row r="26" spans="2:5" ht="17.399999999999999" x14ac:dyDescent="0.3">
      <c r="B26" s="59" t="s">
        <v>645</v>
      </c>
      <c r="C26" s="59" t="s">
        <v>644</v>
      </c>
      <c r="D26" s="243" t="s">
        <v>887</v>
      </c>
      <c r="E26" s="59"/>
    </row>
    <row r="27" spans="2:5" ht="40.950000000000003" customHeight="1" x14ac:dyDescent="0.3">
      <c r="B27" s="59"/>
      <c r="C27" s="636" t="s">
        <v>881</v>
      </c>
      <c r="D27" s="636"/>
      <c r="E27" s="96"/>
    </row>
    <row r="28" spans="2:5" ht="17.399999999999999" x14ac:dyDescent="0.3">
      <c r="B28" s="59" t="s">
        <v>645</v>
      </c>
      <c r="C28" s="59" t="s">
        <v>656</v>
      </c>
      <c r="D28" s="243" t="s">
        <v>592</v>
      </c>
      <c r="E28" s="59"/>
    </row>
    <row r="29" spans="2:5" ht="17.399999999999999" x14ac:dyDescent="0.3">
      <c r="B29" s="59" t="s">
        <v>645</v>
      </c>
      <c r="C29" s="59" t="s">
        <v>663</v>
      </c>
      <c r="D29" s="243" t="s">
        <v>593</v>
      </c>
      <c r="E29" s="59"/>
    </row>
    <row r="30" spans="2:5" ht="17.399999999999999" x14ac:dyDescent="0.3">
      <c r="B30" s="59" t="s">
        <v>645</v>
      </c>
      <c r="C30" s="59" t="s">
        <v>664</v>
      </c>
      <c r="D30" s="243" t="s">
        <v>915</v>
      </c>
      <c r="E30" s="59"/>
    </row>
    <row r="31" spans="2:5" ht="17.399999999999999" x14ac:dyDescent="0.3">
      <c r="B31" s="59" t="s">
        <v>645</v>
      </c>
      <c r="C31" s="59" t="s">
        <v>884</v>
      </c>
      <c r="D31" s="243" t="s">
        <v>646</v>
      </c>
      <c r="E31" s="59"/>
    </row>
    <row r="32" spans="2:5" ht="40.950000000000003" customHeight="1" x14ac:dyDescent="0.3">
      <c r="B32" s="59"/>
      <c r="C32" s="636" t="s">
        <v>883</v>
      </c>
      <c r="D32" s="636"/>
      <c r="E32" s="96"/>
    </row>
    <row r="33" spans="2:5" ht="17.399999999999999" x14ac:dyDescent="0.3">
      <c r="B33" s="59" t="s">
        <v>645</v>
      </c>
      <c r="C33" s="59" t="s">
        <v>885</v>
      </c>
      <c r="D33" s="129" t="s">
        <v>890</v>
      </c>
      <c r="E33" s="59"/>
    </row>
    <row r="34" spans="2:5" ht="17.399999999999999" x14ac:dyDescent="0.3">
      <c r="B34" s="59" t="s">
        <v>645</v>
      </c>
      <c r="C34" s="59" t="s">
        <v>886</v>
      </c>
      <c r="D34" s="129" t="s">
        <v>891</v>
      </c>
      <c r="E34" s="59"/>
    </row>
    <row r="35" spans="2:5" ht="17.399999999999999" x14ac:dyDescent="0.3">
      <c r="B35" s="59" t="s">
        <v>645</v>
      </c>
      <c r="C35" s="59" t="s">
        <v>888</v>
      </c>
      <c r="D35" s="129" t="s">
        <v>892</v>
      </c>
      <c r="E35" s="59"/>
    </row>
    <row r="36" spans="2:5" ht="17.399999999999999" x14ac:dyDescent="0.3">
      <c r="B36" s="59" t="s">
        <v>645</v>
      </c>
      <c r="C36" s="59" t="s">
        <v>889</v>
      </c>
      <c r="D36" s="129" t="s">
        <v>893</v>
      </c>
      <c r="E36" s="59"/>
    </row>
    <row r="37" spans="2:5" ht="40.950000000000003" customHeight="1" x14ac:dyDescent="0.3">
      <c r="B37" s="59"/>
      <c r="C37" s="59"/>
      <c r="D37" s="601" t="s">
        <v>894</v>
      </c>
      <c r="E37" s="65"/>
    </row>
    <row r="38" spans="2:5" ht="17.399999999999999" x14ac:dyDescent="0.3">
      <c r="B38" s="59" t="s">
        <v>645</v>
      </c>
      <c r="C38" s="59" t="s">
        <v>895</v>
      </c>
      <c r="D38" s="129" t="s">
        <v>900</v>
      </c>
      <c r="E38" s="59"/>
    </row>
    <row r="39" spans="2:5" ht="17.399999999999999" x14ac:dyDescent="0.3">
      <c r="B39" s="59" t="s">
        <v>645</v>
      </c>
      <c r="C39" s="59" t="s">
        <v>896</v>
      </c>
      <c r="D39" s="129" t="s">
        <v>901</v>
      </c>
      <c r="E39" s="59"/>
    </row>
    <row r="40" spans="2:5" ht="17.399999999999999" x14ac:dyDescent="0.3">
      <c r="B40" s="59" t="s">
        <v>645</v>
      </c>
      <c r="C40" s="59" t="s">
        <v>897</v>
      </c>
      <c r="D40" s="129" t="s">
        <v>902</v>
      </c>
      <c r="E40" s="59"/>
    </row>
    <row r="41" spans="2:5" ht="17.399999999999999" x14ac:dyDescent="0.3">
      <c r="B41" s="59" t="s">
        <v>645</v>
      </c>
      <c r="C41" s="59" t="s">
        <v>899</v>
      </c>
      <c r="D41" s="129" t="s">
        <v>903</v>
      </c>
      <c r="E41" s="59"/>
    </row>
    <row r="42" spans="2:5" ht="17.399999999999999" x14ac:dyDescent="0.3">
      <c r="B42" s="59" t="s">
        <v>645</v>
      </c>
      <c r="C42" s="59" t="s">
        <v>898</v>
      </c>
      <c r="D42" s="129" t="s">
        <v>904</v>
      </c>
      <c r="E42" s="59"/>
    </row>
    <row r="43" spans="2:5" ht="18" thickBot="1" x14ac:dyDescent="0.35">
      <c r="B43" s="59" t="s">
        <v>645</v>
      </c>
      <c r="C43" s="59" t="s">
        <v>905</v>
      </c>
      <c r="D43" s="612" t="s">
        <v>906</v>
      </c>
      <c r="E43" s="59"/>
    </row>
    <row r="44" spans="2:5" ht="13.2" thickTop="1" x14ac:dyDescent="0.2"/>
  </sheetData>
  <mergeCells count="5">
    <mergeCell ref="B3:D3"/>
    <mergeCell ref="C32:D32"/>
    <mergeCell ref="C7:D7"/>
    <mergeCell ref="C16:D16"/>
    <mergeCell ref="C27:D27"/>
  </mergeCells>
  <phoneticPr fontId="13" type="noConversion"/>
  <hyperlinks>
    <hyperlink ref="D4" location="'Table A1'!A1" display="Global Cross-border Portfolio Assets" xr:uid="{00000000-0004-0000-0000-000000000000}"/>
    <hyperlink ref="D5" location="'Table A2'!A1" display="Global Cross-border Portfolio Liabilities" xr:uid="{00000000-0004-0000-0000-000001000000}"/>
    <hyperlink ref="D6" location="'Table A3'!A1" display="Global Discrepancy Between Cross-Border Portfolio Assets and Liabilities" xr:uid="{00000000-0004-0000-0000-000002000000}"/>
    <hyperlink ref="D8" location="'Table A4'!A1" display="Main Holders of Cross-Border Portfolio Assets" xr:uid="{00000000-0004-0000-0000-000003000000}"/>
    <hyperlink ref="D10" location="'Table A6'!A1" display="Cayman Islands' Cross-Border Portfolio Assets and Liabilities" xr:uid="{00000000-0004-0000-0000-000004000000}"/>
    <hyperlink ref="D11" location="'Table A7'!A1" display="China's Cross-Border Portfolio Assets and Liabilities" xr:uid="{00000000-0004-0000-0000-000005000000}"/>
    <hyperlink ref="D12" location="'Table A8'!A1" display="Middle-East Oil Exporting Countries' Cross-Border Portfolio Assets" xr:uid="{00000000-0004-0000-0000-000006000000}"/>
    <hyperlink ref="D13" location="'Table A9'!A1" display="Other non-CPIS Countries Cross-Border Portfolio Assets" xr:uid="{00000000-0004-0000-0000-000007000000}"/>
    <hyperlink ref="D17" location="'Table A10'!A1" display="Cross-Border Equity Liabilities of Small Offshore Financial Centers" xr:uid="{00000000-0004-0000-0000-000008000000}"/>
    <hyperlink ref="D18" location="'Table A11'!A1" display="Cross-Border Debt Liabilities of Small Offshore Financial Centers" xr:uid="{00000000-0004-0000-0000-000009000000}"/>
    <hyperlink ref="D21" location="'Table A14'!A1" display="Reported Equity Liabilities Minus Creditor-Derived Liabilities" xr:uid="{00000000-0004-0000-0000-00000A000000}"/>
    <hyperlink ref="D22" location="'Table A14'!A1" display="Reported Debt Liabilities Minus Creditor-Derived Liabilities" xr:uid="{00000000-0004-0000-0000-00000B000000}"/>
    <hyperlink ref="D28" location="'Table A19'!A1" display="The World Current Account: Credits" xr:uid="{00000000-0004-0000-0000-00000C000000}"/>
    <hyperlink ref="D29" location="'Table A20'!A1" display="The World Current Acount: Debits" xr:uid="{00000000-0004-0000-0000-00000D000000}"/>
    <hyperlink ref="D30" location="'Table A21'!A1" display="The World Current Account: Discrepancies" xr:uid="{00000000-0004-0000-0000-00000E000000}"/>
    <hyperlink ref="D9" location="'Table A5'!A1" display="Sectoral Breakdown of Portfolio Claims Reported in the CPIS, year-end 2008" xr:uid="{00000000-0004-0000-0000-00000F000000}"/>
    <hyperlink ref="D19" location="'Table A12'!A1" display="Creditor-derived liabilities &gt; reported liabilities (bn of USD)" xr:uid="{00000000-0004-0000-0000-000010000000}"/>
    <hyperlink ref="D31" location="'Table A22'!A1" display="Yield on Global Cross-Border Bank Deposits and Portfolio Claims" xr:uid="{00000000-0004-0000-0000-000011000000}"/>
    <hyperlink ref="D23" location="'Table A15'!A1" display="Investment Patterns of Reserve Managers and International Organizations (SEFER-SSIO)" xr:uid="{00000000-0004-0000-0000-000012000000}"/>
    <hyperlink ref="D24" location="'Table A16'!A1" display="Recorded vs. Predicted Shares of Each Developed Country in the Global Portfolio of CPIS-Participating Countries" xr:uid="{00000000-0004-0000-0000-000013000000}"/>
    <hyperlink ref="D25" location="'Table A17'!A1" display="Recorded vs. predicted shares of each country in the U.S., Japanese, and French portfolios" xr:uid="{00000000-0004-0000-0000-000014000000}"/>
    <hyperlink ref="D26" location="'Table A18'!A1" display="Unindentified Investments in U.S. Equities" xr:uid="{00000000-0004-0000-0000-000015000000}"/>
    <hyperlink ref="D33" location="'Table A23'!A1" display="Securities in Custody in Swiss Banks" xr:uid="{00000000-0004-0000-0000-000016000000}"/>
    <hyperlink ref="D34" location="'Table A24'!A1" display="Fiduciary Deposits in Swiss Banks, 1976-2008" xr:uid="{00000000-0004-0000-0000-000017000000}"/>
    <hyperlink ref="D35" location="'Table A25'!A1" display="Distribution of Fiduciary Deposits in Swiss Banks by Country of Owner, Uncorrected Shares" xr:uid="{00000000-0004-0000-0000-000018000000}"/>
    <hyperlink ref="D36" location="'Table A26'!A1" display="Distribution of Fiduciary Deposits in Swiss Banks by Country of Owner, Corrected Shares" xr:uid="{00000000-0004-0000-0000-000019000000}"/>
    <hyperlink ref="D38" location="'Table A27'!A1" display="Net Foreign Asset Positions of Rich Countries, As Officially Reported" xr:uid="{00000000-0004-0000-0000-00001A000000}"/>
    <hyperlink ref="D39" location="'Table A28'!A1" display="Euro-Area Net Foreign Asset Position/Euro-Area GDP" xr:uid="{00000000-0004-0000-0000-00001B000000}"/>
    <hyperlink ref="D40" location="'Table A29'!A1" display="U.S. Net Foreign Asset Position/U.S. GDP" xr:uid="{00000000-0004-0000-0000-00001C000000}"/>
    <hyperlink ref="D41" location="'Table A30'!A1" display="Households' Unrecorded Offshore Assets vs. Net Debt of the World" xr:uid="{00000000-0004-0000-0000-00001D000000}"/>
    <hyperlink ref="D42" location="'Table A31'!A1" display="Euro-Area Net Foreign Asset Position/Euro-Area GDP, World IIP balanced" xr:uid="{00000000-0004-0000-0000-00001E000000}"/>
    <hyperlink ref="D43" location="'Table A32'!A1" display="Rich World Net Foreign Asset Position/Rich World GDP, World IIP balanced" xr:uid="{00000000-0004-0000-0000-00001F000000}"/>
    <hyperlink ref="D14" location="'Table A9B'!A1" display="Bilateral Portfoio Holdings, Panel Regressions" xr:uid="{00000000-0004-0000-0000-000020000000}"/>
    <hyperlink ref="D15" location="'Table A9C'!A1" display="Bilateral Portfoio Holdings in and of Offshore Financial Centers, Panel Regressions" xr:uid="{00000000-0004-0000-0000-000021000000}"/>
  </hyperlinks>
  <pageMargins left="0.75" right="0.75" top="1" bottom="1" header="0.5" footer="0.5"/>
  <pageSetup paperSize="9" scale="52" orientation="portrait" horizontalDpi="4294967292" verticalDpi="4294967292"/>
  <extLst>
    <ext xmlns:mx="http://schemas.microsoft.com/office/mac/excel/2008/main" uri="{64002731-A6B0-56B0-2670-7721B7C09600}">
      <mx:PLV Mode="0" OnePage="0" WScale="10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G64"/>
  <sheetViews>
    <sheetView zoomScale="70" zoomScaleNormal="70" zoomScalePageLayoutView="70" workbookViewId="0">
      <pane xSplit="1" ySplit="8" topLeftCell="B9" activePane="bottomRight" state="frozen"/>
      <selection pane="topRight" activeCell="B1" sqref="B1"/>
      <selection pane="bottomLeft" activeCell="A9" sqref="A9"/>
      <selection pane="bottomRight" activeCell="B2" sqref="B2:R3"/>
    </sheetView>
  </sheetViews>
  <sheetFormatPr baseColWidth="10" defaultColWidth="9.26953125" defaultRowHeight="13.2" x14ac:dyDescent="0.25"/>
  <cols>
    <col min="1" max="1" width="2.54296875" style="9" customWidth="1"/>
    <col min="2" max="2" width="11.1796875" style="9" customWidth="1"/>
    <col min="3" max="10" width="11.26953125" style="9" customWidth="1"/>
    <col min="11" max="11" width="11.26953125" style="22" customWidth="1"/>
    <col min="12" max="18" width="11.26953125" style="9" customWidth="1"/>
    <col min="19" max="19" width="3.1796875" style="9" customWidth="1"/>
    <col min="20" max="20" width="10.26953125" style="9" bestFit="1" customWidth="1"/>
    <col min="21" max="25" width="9.26953125" style="9"/>
    <col min="28" max="16384" width="9.26953125" style="9"/>
  </cols>
  <sheetData>
    <row r="1" spans="1:24" ht="13.8" thickBot="1" x14ac:dyDescent="0.3">
      <c r="B1" s="15"/>
      <c r="C1" s="15"/>
      <c r="D1" s="15"/>
      <c r="E1" s="15"/>
      <c r="F1" s="15"/>
      <c r="G1" s="15"/>
      <c r="H1" s="15"/>
      <c r="I1" s="15"/>
      <c r="J1" s="15"/>
      <c r="K1" s="107"/>
      <c r="L1" s="15"/>
      <c r="M1" s="15"/>
      <c r="N1" s="15"/>
      <c r="O1" s="15"/>
      <c r="P1" s="15"/>
      <c r="Q1" s="15"/>
      <c r="R1" s="15"/>
    </row>
    <row r="2" spans="1:24" customFormat="1" ht="19.95" customHeight="1" thickTop="1" x14ac:dyDescent="0.2">
      <c r="A2" s="13"/>
      <c r="B2" s="637" t="s">
        <v>626</v>
      </c>
      <c r="C2" s="638"/>
      <c r="D2" s="638"/>
      <c r="E2" s="638"/>
      <c r="F2" s="638"/>
      <c r="G2" s="638"/>
      <c r="H2" s="638"/>
      <c r="I2" s="638"/>
      <c r="J2" s="638"/>
      <c r="K2" s="638"/>
      <c r="L2" s="638"/>
      <c r="M2" s="638"/>
      <c r="N2" s="638"/>
      <c r="O2" s="638"/>
      <c r="P2" s="638"/>
      <c r="Q2" s="638"/>
      <c r="R2" s="639"/>
    </row>
    <row r="3" spans="1:24" ht="30" customHeight="1" x14ac:dyDescent="0.25">
      <c r="A3" s="10"/>
      <c r="B3" s="640"/>
      <c r="C3" s="641"/>
      <c r="D3" s="641"/>
      <c r="E3" s="641"/>
      <c r="F3" s="641"/>
      <c r="G3" s="641"/>
      <c r="H3" s="641"/>
      <c r="I3" s="641"/>
      <c r="J3" s="641"/>
      <c r="K3" s="641"/>
      <c r="L3" s="641"/>
      <c r="M3" s="641"/>
      <c r="N3" s="641"/>
      <c r="O3" s="641"/>
      <c r="P3" s="641"/>
      <c r="Q3" s="641"/>
      <c r="R3" s="642"/>
    </row>
    <row r="4" spans="1:24" x14ac:dyDescent="0.25">
      <c r="A4" s="10"/>
      <c r="B4" s="18"/>
      <c r="C4" s="36" t="s">
        <v>85</v>
      </c>
      <c r="D4" s="36" t="s">
        <v>86</v>
      </c>
      <c r="E4" s="36" t="s">
        <v>87</v>
      </c>
      <c r="F4" s="36" t="s">
        <v>88</v>
      </c>
      <c r="G4" s="36" t="s">
        <v>89</v>
      </c>
      <c r="H4" s="36" t="s">
        <v>90</v>
      </c>
      <c r="I4" s="36" t="s">
        <v>91</v>
      </c>
      <c r="J4" s="36" t="s">
        <v>92</v>
      </c>
      <c r="K4" s="36" t="s">
        <v>93</v>
      </c>
      <c r="L4" s="36" t="s">
        <v>94</v>
      </c>
      <c r="M4" s="36" t="s">
        <v>95</v>
      </c>
      <c r="N4" s="36" t="s">
        <v>96</v>
      </c>
      <c r="O4" s="36" t="s">
        <v>97</v>
      </c>
      <c r="P4" s="36" t="s">
        <v>104</v>
      </c>
      <c r="Q4" s="36" t="s">
        <v>134</v>
      </c>
      <c r="R4" s="37" t="s">
        <v>196</v>
      </c>
      <c r="S4" s="113"/>
      <c r="T4" s="36"/>
      <c r="U4" s="36"/>
      <c r="V4" s="36"/>
      <c r="W4" s="36"/>
      <c r="X4" s="36"/>
    </row>
    <row r="5" spans="1:24" ht="16.05" customHeight="1" thickBot="1" x14ac:dyDescent="0.3">
      <c r="A5" s="14"/>
      <c r="B5" s="18"/>
      <c r="C5" s="663" t="s">
        <v>140</v>
      </c>
      <c r="D5" s="663"/>
      <c r="E5" s="663"/>
      <c r="F5" s="663"/>
      <c r="G5" s="663"/>
      <c r="H5" s="663"/>
      <c r="I5" s="664"/>
      <c r="J5" s="664"/>
      <c r="K5" s="664"/>
      <c r="L5" s="664"/>
      <c r="M5" s="664"/>
      <c r="N5" s="664"/>
      <c r="O5" s="664"/>
      <c r="P5" s="664"/>
      <c r="Q5" s="664"/>
      <c r="R5" s="40"/>
      <c r="S5" s="43"/>
      <c r="T5" s="43"/>
      <c r="U5" s="43"/>
      <c r="V5" s="43"/>
      <c r="W5" s="43"/>
      <c r="X5" s="43"/>
    </row>
    <row r="6" spans="1:24" ht="48" customHeight="1" x14ac:dyDescent="0.25">
      <c r="A6" s="10"/>
      <c r="B6" s="18"/>
      <c r="C6" s="665" t="s">
        <v>98</v>
      </c>
      <c r="D6" s="656" t="s">
        <v>50</v>
      </c>
      <c r="E6" s="668" t="s">
        <v>112</v>
      </c>
      <c r="F6" s="669"/>
      <c r="G6" s="670" t="s">
        <v>161</v>
      </c>
      <c r="H6" s="671"/>
      <c r="I6" s="671"/>
      <c r="J6" s="671"/>
      <c r="K6" s="671"/>
      <c r="L6" s="671"/>
      <c r="M6" s="671"/>
      <c r="N6" s="672"/>
      <c r="O6" s="665" t="s">
        <v>685</v>
      </c>
      <c r="P6" s="643" t="s">
        <v>687</v>
      </c>
      <c r="Q6" s="314"/>
      <c r="R6" s="47"/>
      <c r="X6" s="35"/>
    </row>
    <row r="7" spans="1:24" ht="7.05" customHeight="1" x14ac:dyDescent="0.35">
      <c r="A7" s="10"/>
      <c r="B7" s="18"/>
      <c r="C7" s="666"/>
      <c r="D7" s="657"/>
      <c r="E7" s="659" t="s">
        <v>175</v>
      </c>
      <c r="F7" s="654" t="s">
        <v>81</v>
      </c>
      <c r="G7" s="661" t="s">
        <v>2</v>
      </c>
      <c r="H7" s="321"/>
      <c r="I7" s="661" t="s">
        <v>3</v>
      </c>
      <c r="J7" s="321"/>
      <c r="K7" s="322"/>
      <c r="L7" s="661" t="s">
        <v>81</v>
      </c>
      <c r="M7" s="321"/>
      <c r="N7" s="323"/>
      <c r="O7" s="673"/>
      <c r="P7" s="643"/>
      <c r="Q7" s="315"/>
      <c r="R7" s="319"/>
      <c r="X7" s="35"/>
    </row>
    <row r="8" spans="1:24" ht="115.05" customHeight="1" thickBot="1" x14ac:dyDescent="0.4">
      <c r="A8" s="10"/>
      <c r="B8" s="19"/>
      <c r="C8" s="667"/>
      <c r="D8" s="658"/>
      <c r="E8" s="660"/>
      <c r="F8" s="655"/>
      <c r="G8" s="662"/>
      <c r="H8" s="316" t="s">
        <v>689</v>
      </c>
      <c r="I8" s="662"/>
      <c r="J8" s="316" t="s">
        <v>689</v>
      </c>
      <c r="K8" s="316" t="s">
        <v>690</v>
      </c>
      <c r="L8" s="662" t="s">
        <v>160</v>
      </c>
      <c r="M8" s="316" t="s">
        <v>1</v>
      </c>
      <c r="N8" s="317" t="s">
        <v>665</v>
      </c>
      <c r="O8" s="674"/>
      <c r="P8" s="644"/>
      <c r="Q8" s="316" t="s">
        <v>686</v>
      </c>
      <c r="R8" s="320" t="s">
        <v>688</v>
      </c>
      <c r="S8" s="46"/>
      <c r="T8" s="46"/>
      <c r="U8" s="46"/>
      <c r="V8" s="46"/>
      <c r="W8" s="46"/>
      <c r="X8" s="46"/>
    </row>
    <row r="9" spans="1:24" ht="18" customHeight="1" x14ac:dyDescent="0.25">
      <c r="A9" s="10"/>
      <c r="B9" s="38"/>
      <c r="C9" s="649" t="s">
        <v>156</v>
      </c>
      <c r="D9" s="650"/>
      <c r="E9" s="650"/>
      <c r="F9" s="650"/>
      <c r="G9" s="650"/>
      <c r="H9" s="650"/>
      <c r="I9" s="650"/>
      <c r="J9" s="650"/>
      <c r="K9" s="650"/>
      <c r="L9" s="650"/>
      <c r="M9" s="650"/>
      <c r="N9" s="650"/>
      <c r="O9" s="650"/>
      <c r="P9" s="650"/>
      <c r="Q9" s="650"/>
      <c r="R9" s="651"/>
      <c r="S9" s="48"/>
      <c r="T9" s="48"/>
      <c r="U9" s="48"/>
      <c r="V9" s="48"/>
      <c r="W9" s="48"/>
      <c r="X9" s="39"/>
    </row>
    <row r="10" spans="1:24" ht="18" customHeight="1" x14ac:dyDescent="0.25">
      <c r="A10" s="10"/>
      <c r="B10" s="16"/>
      <c r="C10" s="652"/>
      <c r="D10" s="652"/>
      <c r="E10" s="652"/>
      <c r="F10" s="652"/>
      <c r="G10" s="652"/>
      <c r="H10" s="652"/>
      <c r="I10" s="652"/>
      <c r="J10" s="652"/>
      <c r="K10" s="652"/>
      <c r="L10" s="652"/>
      <c r="M10" s="652"/>
      <c r="N10" s="652"/>
      <c r="O10" s="652"/>
      <c r="P10" s="652"/>
      <c r="Q10" s="652"/>
      <c r="R10" s="653"/>
      <c r="S10" s="48"/>
      <c r="T10" s="48"/>
      <c r="U10" s="48"/>
      <c r="V10" s="48"/>
      <c r="W10" s="48"/>
      <c r="X10" s="39"/>
    </row>
    <row r="11" spans="1:24" ht="18" customHeight="1" x14ac:dyDescent="0.35">
      <c r="A11" s="54"/>
      <c r="B11" s="305">
        <v>2001</v>
      </c>
      <c r="C11" s="306">
        <f t="shared" ref="C11:D17" si="0">C21+C31</f>
        <v>12710.853347</v>
      </c>
      <c r="D11" s="307">
        <f>D21+D31</f>
        <v>1281.8057899999999</v>
      </c>
      <c r="E11" s="308">
        <f>E21+E31</f>
        <v>291.65508951726167</v>
      </c>
      <c r="F11" s="308">
        <f>F21+F31</f>
        <v>36.468622743882889</v>
      </c>
      <c r="G11" s="306">
        <f t="shared" ref="E11:H18" si="1">G21+G31</f>
        <v>213.77759977292405</v>
      </c>
      <c r="H11" s="307">
        <f>H21+H31</f>
        <v>180.34025</v>
      </c>
      <c r="I11" s="306">
        <f>I21+I31</f>
        <v>146.45720307404662</v>
      </c>
      <c r="J11" s="307">
        <f t="array" ref="J11:J18">0.75*TRANSPOSE('Table A8'!D24:K24)</f>
        <v>49.197752564999995</v>
      </c>
      <c r="K11" s="307">
        <f t="shared" ref="K11:L18" si="2">K21+K31</f>
        <v>21.680932763710882</v>
      </c>
      <c r="L11" s="224">
        <f>L21+L31</f>
        <v>363.03951775799999</v>
      </c>
      <c r="M11" s="307">
        <f t="shared" ref="M11:N18" si="3">M21+M31</f>
        <v>174.010747689</v>
      </c>
      <c r="N11" s="307">
        <f>N21+N31</f>
        <v>189.02877006899999</v>
      </c>
      <c r="O11" s="306">
        <f>C11+E11+F11+G11+I11-K11+L11</f>
        <v>13740.570447102406</v>
      </c>
      <c r="P11" s="307">
        <f t="shared" ref="P11:P18" si="4">P21+P31</f>
        <v>1700.3725626340001</v>
      </c>
      <c r="Q11" s="325">
        <f>C11/O11</f>
        <v>0.92506009091350705</v>
      </c>
      <c r="R11" s="309">
        <f>(RawDataSources!AI41-RawDataSources!AM41)/1000</f>
        <v>1657.2470000000001</v>
      </c>
      <c r="S11" s="44"/>
      <c r="T11" s="44"/>
      <c r="U11" s="44"/>
      <c r="V11" s="17"/>
      <c r="W11" s="17"/>
      <c r="X11" s="44"/>
    </row>
    <row r="12" spans="1:24" ht="18" customHeight="1" x14ac:dyDescent="0.35">
      <c r="A12" s="10"/>
      <c r="B12" s="305">
        <f t="shared" ref="B12:B38" si="5">B11+1</f>
        <v>2002</v>
      </c>
      <c r="C12" s="306">
        <f t="shared" si="0"/>
        <v>14115.851781999998</v>
      </c>
      <c r="D12" s="307">
        <f t="shared" si="0"/>
        <v>1429.1011167199999</v>
      </c>
      <c r="E12" s="308">
        <f t="shared" si="1"/>
        <v>371.16791291779464</v>
      </c>
      <c r="F12" s="308">
        <f t="shared" si="1"/>
        <v>46.760597100122638</v>
      </c>
      <c r="G12" s="306">
        <f t="shared" si="1"/>
        <v>290.22394810222534</v>
      </c>
      <c r="H12" s="307">
        <f>H22+H32</f>
        <v>243.44594999999998</v>
      </c>
      <c r="I12" s="306">
        <f t="shared" ref="I12:I18" si="6">I22+I32</f>
        <v>136.91837444396168</v>
      </c>
      <c r="J12" s="307">
        <v>55.144694369999996</v>
      </c>
      <c r="K12" s="307">
        <f t="shared" si="2"/>
        <v>21.372505653975125</v>
      </c>
      <c r="L12" s="224">
        <f t="shared" si="2"/>
        <v>422.43992909700006</v>
      </c>
      <c r="M12" s="307">
        <f t="shared" si="3"/>
        <v>192.03899968000002</v>
      </c>
      <c r="N12" s="307">
        <f t="shared" si="3"/>
        <v>230.40092941700001</v>
      </c>
      <c r="O12" s="306">
        <f t="shared" ref="O12:O18" si="7">C12+E12+F12+G12+I12-K12+L12</f>
        <v>15361.990038007127</v>
      </c>
      <c r="P12" s="307">
        <f t="shared" si="4"/>
        <v>1958.092690507</v>
      </c>
      <c r="Q12" s="325">
        <f t="shared" ref="Q12:Q18" si="8">C12/O12</f>
        <v>0.91888171695697918</v>
      </c>
      <c r="R12" s="309">
        <f>(RawDataSources!AI42-RawDataSources!AM42)/1000</f>
        <v>1986.048</v>
      </c>
      <c r="S12" s="44"/>
      <c r="T12" s="44"/>
      <c r="U12" s="44"/>
      <c r="V12" s="17"/>
      <c r="W12" s="17"/>
      <c r="X12" s="44"/>
    </row>
    <row r="13" spans="1:24" ht="18" customHeight="1" x14ac:dyDescent="0.35">
      <c r="A13" s="10"/>
      <c r="B13" s="305">
        <f t="shared" si="5"/>
        <v>2003</v>
      </c>
      <c r="C13" s="306">
        <f t="shared" si="0"/>
        <v>19046.515953000002</v>
      </c>
      <c r="D13" s="307">
        <f t="shared" si="0"/>
        <v>1849.7832731400001</v>
      </c>
      <c r="E13" s="308">
        <f t="shared" si="1"/>
        <v>555.82490421920056</v>
      </c>
      <c r="F13" s="308">
        <f t="shared" si="1"/>
        <v>59.053495889057452</v>
      </c>
      <c r="G13" s="306">
        <f t="shared" si="1"/>
        <v>407.24591694715662</v>
      </c>
      <c r="H13" s="307">
        <f t="shared" si="1"/>
        <v>342.76335</v>
      </c>
      <c r="I13" s="306">
        <f t="shared" si="6"/>
        <v>166.65120851911593</v>
      </c>
      <c r="J13" s="307">
        <v>58.258315980000006</v>
      </c>
      <c r="K13" s="307">
        <f t="shared" si="2"/>
        <v>28.836573156030688</v>
      </c>
      <c r="L13" s="224">
        <f t="shared" si="2"/>
        <v>573.39656705599998</v>
      </c>
      <c r="M13" s="307">
        <f t="shared" si="3"/>
        <v>281.51793485000002</v>
      </c>
      <c r="N13" s="307">
        <f t="shared" si="3"/>
        <v>291.87863220600002</v>
      </c>
      <c r="O13" s="306">
        <f t="shared" si="7"/>
        <v>20779.8514724745</v>
      </c>
      <c r="P13" s="307">
        <f t="shared" si="4"/>
        <v>2542.6835713260002</v>
      </c>
      <c r="Q13" s="325">
        <f t="shared" si="8"/>
        <v>0.9165857599237166</v>
      </c>
      <c r="R13" s="309">
        <f>(RawDataSources!AI43-RawDataSources!AM43)/1000</f>
        <v>2442.239</v>
      </c>
      <c r="S13" s="44"/>
      <c r="T13" s="44"/>
      <c r="U13" s="44"/>
      <c r="V13" s="17"/>
      <c r="W13" s="17"/>
      <c r="X13" s="44"/>
    </row>
    <row r="14" spans="1:24" ht="18" customHeight="1" x14ac:dyDescent="0.35">
      <c r="A14" s="10"/>
      <c r="B14" s="305">
        <f t="shared" si="5"/>
        <v>2004</v>
      </c>
      <c r="C14" s="306">
        <f t="shared" si="0"/>
        <v>23268.837026999998</v>
      </c>
      <c r="D14" s="307">
        <f t="shared" si="0"/>
        <v>2145.01298081</v>
      </c>
      <c r="E14" s="308">
        <f t="shared" si="1"/>
        <v>799.76575683668329</v>
      </c>
      <c r="F14" s="308">
        <f t="shared" si="1"/>
        <v>46.932238749957769</v>
      </c>
      <c r="G14" s="306">
        <f t="shared" si="1"/>
        <v>611.26998294199666</v>
      </c>
      <c r="H14" s="307">
        <f t="shared" si="1"/>
        <v>518.44219999999996</v>
      </c>
      <c r="I14" s="306">
        <f t="shared" si="6"/>
        <v>247.71803495095574</v>
      </c>
      <c r="J14" s="307">
        <v>77.820740174999997</v>
      </c>
      <c r="K14" s="307">
        <f t="shared" si="2"/>
        <v>35.311255774999999</v>
      </c>
      <c r="L14" s="224">
        <f t="shared" si="2"/>
        <v>694.88536513099996</v>
      </c>
      <c r="M14" s="307">
        <f t="shared" si="3"/>
        <v>340.07843545999998</v>
      </c>
      <c r="N14" s="307">
        <f t="shared" si="3"/>
        <v>354.80692967099998</v>
      </c>
      <c r="O14" s="306">
        <f t="shared" si="7"/>
        <v>25634.09714983559</v>
      </c>
      <c r="P14" s="307">
        <f t="shared" si="4"/>
        <v>3096.0828506560001</v>
      </c>
      <c r="Q14" s="325">
        <f t="shared" si="8"/>
        <v>0.90772992280515086</v>
      </c>
      <c r="R14" s="309">
        <f>(RawDataSources!AI44-RawDataSources!AM44)/1000</f>
        <v>2985.902</v>
      </c>
      <c r="S14" s="44"/>
      <c r="T14" s="44"/>
      <c r="U14" s="44"/>
      <c r="V14" s="17"/>
      <c r="W14" s="17"/>
      <c r="X14" s="44"/>
    </row>
    <row r="15" spans="1:24" ht="18" customHeight="1" x14ac:dyDescent="0.35">
      <c r="A15" s="10"/>
      <c r="B15" s="305">
        <f t="shared" si="5"/>
        <v>2005</v>
      </c>
      <c r="C15" s="306">
        <f t="shared" si="0"/>
        <v>25892.14819</v>
      </c>
      <c r="D15" s="307">
        <f t="shared" si="0"/>
        <v>2221.1362920500001</v>
      </c>
      <c r="E15" s="308">
        <f t="shared" si="1"/>
        <v>839.10843057837792</v>
      </c>
      <c r="F15" s="308">
        <f t="shared" si="1"/>
        <v>64.922443198138524</v>
      </c>
      <c r="G15" s="306">
        <f t="shared" si="1"/>
        <v>813.7261611489123</v>
      </c>
      <c r="H15" s="307">
        <f t="shared" si="1"/>
        <v>696.04119999999989</v>
      </c>
      <c r="I15" s="306">
        <f t="shared" si="6"/>
        <v>309.96828802450381</v>
      </c>
      <c r="J15" s="307">
        <v>96.484876650000018</v>
      </c>
      <c r="K15" s="307">
        <f t="shared" si="2"/>
        <v>45.8206931884</v>
      </c>
      <c r="L15" s="224">
        <f t="shared" si="2"/>
        <v>848.94141071700005</v>
      </c>
      <c r="M15" s="307">
        <f t="shared" si="3"/>
        <v>444.21980810000002</v>
      </c>
      <c r="N15" s="307">
        <f t="shared" si="3"/>
        <v>404.72160261700003</v>
      </c>
      <c r="O15" s="306">
        <f t="shared" si="7"/>
        <v>28722.994230478533</v>
      </c>
      <c r="P15" s="307">
        <f t="shared" si="4"/>
        <v>3418.383971317</v>
      </c>
      <c r="Q15" s="325">
        <f t="shared" si="8"/>
        <v>0.90144321243936798</v>
      </c>
      <c r="R15" s="309">
        <f>(RawDataSources!AI45-RawDataSources!AM45)/1000</f>
        <v>3371.1469999999999</v>
      </c>
      <c r="S15" s="44"/>
      <c r="T15" s="44"/>
      <c r="U15" s="44"/>
      <c r="V15" s="17"/>
      <c r="W15" s="17"/>
      <c r="X15" s="44"/>
    </row>
    <row r="16" spans="1:24" ht="18" customHeight="1" x14ac:dyDescent="0.35">
      <c r="A16" s="10"/>
      <c r="B16" s="305">
        <f t="shared" si="5"/>
        <v>2006</v>
      </c>
      <c r="C16" s="306">
        <f t="shared" si="0"/>
        <v>32964.246449999999</v>
      </c>
      <c r="D16" s="307">
        <f t="shared" si="0"/>
        <v>2558.3583729500001</v>
      </c>
      <c r="E16" s="308">
        <f t="shared" si="1"/>
        <v>1252.2929718738837</v>
      </c>
      <c r="F16" s="308">
        <f t="shared" si="1"/>
        <v>57.73072865701478</v>
      </c>
      <c r="G16" s="306">
        <f t="shared" si="1"/>
        <v>1174.2003321723369</v>
      </c>
      <c r="H16" s="307">
        <f t="shared" si="1"/>
        <v>906.38900000000012</v>
      </c>
      <c r="I16" s="306">
        <f t="shared" si="6"/>
        <v>431.42602164336921</v>
      </c>
      <c r="J16" s="307">
        <v>123.54326182499999</v>
      </c>
      <c r="K16" s="307">
        <f t="shared" si="2"/>
        <v>62.728797965650003</v>
      </c>
      <c r="L16" s="224">
        <f t="shared" si="2"/>
        <v>1154.4215607619999</v>
      </c>
      <c r="M16" s="307">
        <f t="shared" si="3"/>
        <v>659.75461083999994</v>
      </c>
      <c r="N16" s="307">
        <f t="shared" si="3"/>
        <v>494.66694992199996</v>
      </c>
      <c r="O16" s="306">
        <f t="shared" si="7"/>
        <v>36971.589267142954</v>
      </c>
      <c r="P16" s="307">
        <f t="shared" si="4"/>
        <v>4082.9575846970001</v>
      </c>
      <c r="Q16" s="325">
        <f t="shared" si="8"/>
        <v>0.89161020944522063</v>
      </c>
      <c r="R16" s="309">
        <f>(RawDataSources!AI46-RawDataSources!AM46)/1000</f>
        <v>4068.2890000000002</v>
      </c>
      <c r="S16" s="44"/>
      <c r="T16" s="44"/>
      <c r="U16" s="44"/>
      <c r="V16" s="17"/>
      <c r="W16" s="17"/>
      <c r="X16" s="44"/>
    </row>
    <row r="17" spans="1:33" ht="18" customHeight="1" x14ac:dyDescent="0.35">
      <c r="A17" s="10"/>
      <c r="B17" s="305">
        <f t="shared" si="5"/>
        <v>2007</v>
      </c>
      <c r="C17" s="306">
        <f t="shared" si="0"/>
        <v>39064.506729999994</v>
      </c>
      <c r="D17" s="307">
        <f t="shared" si="0"/>
        <v>3109.3694193299998</v>
      </c>
      <c r="E17" s="308">
        <f t="shared" si="1"/>
        <v>1543.7508562888775</v>
      </c>
      <c r="F17" s="308">
        <f t="shared" si="1"/>
        <v>91.012539341853937</v>
      </c>
      <c r="G17" s="306">
        <f t="shared" si="1"/>
        <v>1584.8534589375347</v>
      </c>
      <c r="H17" s="307">
        <f t="shared" si="1"/>
        <v>1299.0125</v>
      </c>
      <c r="I17" s="306">
        <f t="shared" si="6"/>
        <v>590.46530249920909</v>
      </c>
      <c r="J17" s="307">
        <v>201.45623804999997</v>
      </c>
      <c r="K17" s="307">
        <f t="shared" si="2"/>
        <v>79.214443917143001</v>
      </c>
      <c r="L17" s="224">
        <f t="shared" si="2"/>
        <v>1374.7418911550001</v>
      </c>
      <c r="M17" s="307">
        <f t="shared" si="3"/>
        <v>789.83750055000007</v>
      </c>
      <c r="N17" s="307">
        <f t="shared" si="3"/>
        <v>584.904390605</v>
      </c>
      <c r="O17" s="306">
        <f t="shared" si="7"/>
        <v>44170.116334305319</v>
      </c>
      <c r="P17" s="307">
        <f t="shared" si="4"/>
        <v>5194.7425479849999</v>
      </c>
      <c r="Q17" s="325">
        <f t="shared" si="8"/>
        <v>0.88441032018881094</v>
      </c>
      <c r="R17" s="309">
        <f>(RawDataSources!AI47-RawDataSources!AM47)/1000</f>
        <v>5257.2309999999998</v>
      </c>
      <c r="S17" s="44"/>
      <c r="T17" s="44"/>
      <c r="U17" s="44"/>
      <c r="V17" s="17"/>
      <c r="W17" s="17"/>
      <c r="X17" s="44"/>
    </row>
    <row r="18" spans="1:33" ht="18" customHeight="1" x14ac:dyDescent="0.35">
      <c r="A18" s="10"/>
      <c r="B18" s="305">
        <f t="shared" si="5"/>
        <v>2008</v>
      </c>
      <c r="C18" s="306">
        <f>C28+C38</f>
        <v>30717.960615000004</v>
      </c>
      <c r="D18" s="307">
        <f>D28+D38</f>
        <v>3643.0773278900001</v>
      </c>
      <c r="E18" s="308">
        <f t="shared" si="1"/>
        <v>1202.6509943781316</v>
      </c>
      <c r="F18" s="308">
        <f t="shared" si="1"/>
        <v>84.203377375978675</v>
      </c>
      <c r="G18" s="306">
        <f>G28+G38</f>
        <v>1906.0056999999999</v>
      </c>
      <c r="H18" s="307">
        <f>H28+H38</f>
        <v>1654.1255000000001</v>
      </c>
      <c r="I18" s="306">
        <f t="shared" si="6"/>
        <v>587.02788531001966</v>
      </c>
      <c r="J18" s="307">
        <v>180.19177440000001</v>
      </c>
      <c r="K18" s="307">
        <f t="shared" si="2"/>
        <v>73.597697437818098</v>
      </c>
      <c r="L18" s="224">
        <f t="shared" si="2"/>
        <v>1183.0503737170002</v>
      </c>
      <c r="M18" s="307">
        <f t="shared" si="3"/>
        <v>536.04779501000007</v>
      </c>
      <c r="N18" s="307">
        <f t="shared" si="3"/>
        <v>647.002578707</v>
      </c>
      <c r="O18" s="306">
        <f t="shared" si="7"/>
        <v>35607.301248343312</v>
      </c>
      <c r="P18" s="307">
        <f t="shared" si="4"/>
        <v>6124.3971809969999</v>
      </c>
      <c r="Q18" s="325">
        <f t="shared" si="8"/>
        <v>0.862687132640506</v>
      </c>
      <c r="R18" s="309">
        <f>(RawDataSources!AI48-RawDataSources!AM48)/1000</f>
        <v>6196.8059999999996</v>
      </c>
      <c r="S18" s="44"/>
      <c r="T18" s="44"/>
      <c r="U18" s="44"/>
      <c r="V18" s="17"/>
      <c r="W18" s="17"/>
      <c r="X18" s="44"/>
    </row>
    <row r="19" spans="1:33" ht="18" customHeight="1" x14ac:dyDescent="0.3">
      <c r="A19" s="10"/>
      <c r="B19" s="16"/>
      <c r="C19" s="645" t="s">
        <v>278</v>
      </c>
      <c r="D19" s="645"/>
      <c r="E19" s="645"/>
      <c r="F19" s="645"/>
      <c r="G19" s="645"/>
      <c r="H19" s="645"/>
      <c r="I19" s="645"/>
      <c r="J19" s="645"/>
      <c r="K19" s="645"/>
      <c r="L19" s="645"/>
      <c r="M19" s="645"/>
      <c r="N19" s="645"/>
      <c r="O19" s="645"/>
      <c r="P19" s="645"/>
      <c r="Q19" s="645"/>
      <c r="R19" s="646"/>
      <c r="S19" s="49"/>
      <c r="T19" s="49"/>
      <c r="U19" s="49"/>
      <c r="V19" s="49"/>
      <c r="W19" s="49"/>
      <c r="X19" s="34"/>
    </row>
    <row r="20" spans="1:33" ht="18" customHeight="1" x14ac:dyDescent="0.3">
      <c r="A20" s="10"/>
      <c r="B20" s="16"/>
      <c r="C20" s="647"/>
      <c r="D20" s="647"/>
      <c r="E20" s="647"/>
      <c r="F20" s="647"/>
      <c r="G20" s="647"/>
      <c r="H20" s="647"/>
      <c r="I20" s="647"/>
      <c r="J20" s="647"/>
      <c r="K20" s="647"/>
      <c r="L20" s="647"/>
      <c r="M20" s="647"/>
      <c r="N20" s="647"/>
      <c r="O20" s="647"/>
      <c r="P20" s="647"/>
      <c r="Q20" s="647"/>
      <c r="R20" s="648"/>
      <c r="S20" s="49"/>
      <c r="T20" s="49"/>
      <c r="U20" s="49"/>
      <c r="V20" s="49"/>
      <c r="W20" s="49"/>
      <c r="X20" s="34"/>
    </row>
    <row r="21" spans="1:33" ht="18" customHeight="1" x14ac:dyDescent="0.3">
      <c r="A21" s="54"/>
      <c r="B21" s="305">
        <v>2001</v>
      </c>
      <c r="C21" s="306">
        <f>RawDataSources!B41/1000</f>
        <v>5200.145066</v>
      </c>
      <c r="D21" s="307">
        <f>RawDataSources!C41/1000</f>
        <v>17.159837</v>
      </c>
      <c r="E21" s="308">
        <f t="array" ref="E21:E28">TRANSPOSE('Table A6'!D15:K15)-TRANSPOSE('Table A6'!D20:K20)</f>
        <v>163.95460998932663</v>
      </c>
      <c r="F21" s="308">
        <f>(RawDataSources!M41+RawDataSources!O41)/1000</f>
        <v>7.3843887903876695</v>
      </c>
      <c r="G21" s="306">
        <f t="array" ref="G21:G28">TRANSPOSE('Table A7'!D25:K25)</f>
        <v>5.4734656148652299</v>
      </c>
      <c r="H21" s="307">
        <f t="array" ref="H21:H28">TRANSPOSE('Table A7'!D9:K9)</f>
        <v>4.3428278401859215</v>
      </c>
      <c r="I21" s="306">
        <f t="array" ref="I21:I28">TRANSPOSE('Table A8'!D23:K23)</f>
        <v>64.550000000000011</v>
      </c>
      <c r="J21" s="308">
        <f t="shared" ref="J21:J28" si="9">J11*I21/I11</f>
        <v>21.683569407406718</v>
      </c>
      <c r="K21" s="307">
        <f t="array" ref="K21:K28">TRANSPOSE('Table A8'!$D$11:$K$11)</f>
        <v>6.3482285837782477</v>
      </c>
      <c r="L21" s="224">
        <f>M21+N21</f>
        <v>118.51719735899999</v>
      </c>
      <c r="M21" s="307">
        <f t="array" ref="M21:M28">TRANSPOSE('Table A9'!D12:K12)</f>
        <v>115.99681389</v>
      </c>
      <c r="N21" s="307">
        <f t="array" ref="N21:N28">TRANSPOSE('Table A9'!D8:K8)</f>
        <v>2.520383469</v>
      </c>
      <c r="O21" s="306">
        <f>C21+E21+F21+G21+I21-K21+L21</f>
        <v>5553.6764991698019</v>
      </c>
      <c r="P21" s="307">
        <f>D21+J21+H21+N21</f>
        <v>45.706617716592639</v>
      </c>
      <c r="Q21" s="325">
        <f>C21/O21</f>
        <v>0.93634281124897178</v>
      </c>
      <c r="R21" s="313"/>
      <c r="S21" s="17"/>
      <c r="T21" s="112"/>
      <c r="U21" s="17"/>
      <c r="V21" s="44"/>
      <c r="W21" s="44"/>
      <c r="X21" s="44"/>
      <c r="Y21" s="12"/>
    </row>
    <row r="22" spans="1:33" ht="18" customHeight="1" x14ac:dyDescent="0.3">
      <c r="A22" s="54"/>
      <c r="B22" s="305">
        <f t="shared" si="5"/>
        <v>2002</v>
      </c>
      <c r="C22" s="306">
        <f>RawDataSources!B42/1000</f>
        <v>4796.3674579999997</v>
      </c>
      <c r="D22" s="307">
        <f>RawDataSources!C42/1000</f>
        <v>14.37287772</v>
      </c>
      <c r="E22" s="308">
        <v>197.16352055506033</v>
      </c>
      <c r="F22" s="308">
        <f>(RawDataSources!M42+RawDataSources!O42)/1000</f>
        <v>8.8240880619042521</v>
      </c>
      <c r="G22" s="306">
        <v>3.6354878285113457</v>
      </c>
      <c r="H22" s="307">
        <v>2.8582829065927733</v>
      </c>
      <c r="I22" s="306">
        <v>55.686764705882354</v>
      </c>
      <c r="J22" s="308">
        <f t="shared" si="9"/>
        <v>22.428177610426001</v>
      </c>
      <c r="K22" s="307">
        <v>5.3800367014800958</v>
      </c>
      <c r="L22" s="224">
        <f t="shared" ref="L22:L28" si="10">M22+N22</f>
        <v>117.548399387</v>
      </c>
      <c r="M22" s="307">
        <v>114.47638687</v>
      </c>
      <c r="N22" s="307">
        <v>3.0720125170000001</v>
      </c>
      <c r="O22" s="306">
        <f t="shared" ref="O22:O28" si="11">C22+E22+F22+G22+I22-K22+L22</f>
        <v>5173.8456818368777</v>
      </c>
      <c r="P22" s="307">
        <f t="shared" ref="P22:P28" si="12">D22+J22+H22+N22</f>
        <v>42.73135075401877</v>
      </c>
      <c r="Q22" s="325">
        <f t="shared" ref="Q22:Q28" si="13">C22/O22</f>
        <v>0.92704107407724978</v>
      </c>
      <c r="R22" s="313"/>
      <c r="S22" s="17"/>
      <c r="T22" s="17"/>
      <c r="U22" s="17"/>
      <c r="V22" s="44"/>
      <c r="W22" s="44"/>
      <c r="X22" s="44"/>
      <c r="Y22" s="12"/>
    </row>
    <row r="23" spans="1:33" ht="18" customHeight="1" x14ac:dyDescent="0.3">
      <c r="A23" s="54"/>
      <c r="B23" s="305">
        <f t="shared" si="5"/>
        <v>2003</v>
      </c>
      <c r="C23" s="306">
        <f>RawDataSources!B43/1000</f>
        <v>6949.9985630000001</v>
      </c>
      <c r="D23" s="307">
        <f>RawDataSources!C43/1000</f>
        <v>26.814457139999998</v>
      </c>
      <c r="E23" s="308">
        <v>334.21691337611543</v>
      </c>
      <c r="F23" s="308">
        <f>(RawDataSources!M43+RawDataSources!O43)/1000</f>
        <v>8.8998677658231937</v>
      </c>
      <c r="G23" s="306">
        <v>3.3292932104589492</v>
      </c>
      <c r="H23" s="307">
        <v>2.6290851262425523</v>
      </c>
      <c r="I23" s="306">
        <v>87.266666666666666</v>
      </c>
      <c r="J23" s="308">
        <f t="shared" si="9"/>
        <v>30.506883726587755</v>
      </c>
      <c r="K23" s="307">
        <v>7.7957428560550657</v>
      </c>
      <c r="L23" s="224">
        <f t="shared" si="10"/>
        <v>170.17950018600001</v>
      </c>
      <c r="M23" s="307">
        <v>166.28778548000003</v>
      </c>
      <c r="N23" s="307">
        <v>3.8917147060000001</v>
      </c>
      <c r="O23" s="306">
        <f t="shared" si="11"/>
        <v>7546.0950613490086</v>
      </c>
      <c r="P23" s="307">
        <f t="shared" si="12"/>
        <v>63.842140698830306</v>
      </c>
      <c r="Q23" s="325">
        <f t="shared" si="13"/>
        <v>0.92100596487285114</v>
      </c>
      <c r="R23" s="313"/>
      <c r="S23" s="17"/>
      <c r="T23" s="17"/>
      <c r="U23" s="17"/>
      <c r="V23" s="44"/>
      <c r="W23" s="44"/>
      <c r="X23" s="44"/>
      <c r="Y23" s="12"/>
    </row>
    <row r="24" spans="1:33" ht="18" customHeight="1" x14ac:dyDescent="0.3">
      <c r="A24" s="54"/>
      <c r="B24" s="305">
        <f t="shared" si="5"/>
        <v>2004</v>
      </c>
      <c r="C24" s="306">
        <f>RawDataSources!B44/1000</f>
        <v>8705.2589069999995</v>
      </c>
      <c r="D24" s="307">
        <f>RawDataSources!C44/1000</f>
        <v>35.07845081</v>
      </c>
      <c r="E24" s="308">
        <v>401.83489137739372</v>
      </c>
      <c r="F24" s="308">
        <f>(RawDataSources!M44+RawDataSources!O44)/1000</f>
        <v>3.8484327386689139</v>
      </c>
      <c r="G24" s="306">
        <v>3.9627292034104085</v>
      </c>
      <c r="H24" s="307">
        <v>3.1629462614137549</v>
      </c>
      <c r="I24" s="306">
        <v>123.13593750000003</v>
      </c>
      <c r="J24" s="308">
        <f t="shared" si="9"/>
        <v>38.683214164401598</v>
      </c>
      <c r="K24" s="307">
        <v>10.738219266</v>
      </c>
      <c r="L24" s="224">
        <f t="shared" si="10"/>
        <v>198.25690835099999</v>
      </c>
      <c r="M24" s="307">
        <v>193.52614918</v>
      </c>
      <c r="N24" s="307">
        <v>4.7307591709999999</v>
      </c>
      <c r="O24" s="306">
        <f t="shared" si="11"/>
        <v>9425.5595869044719</v>
      </c>
      <c r="P24" s="307">
        <f t="shared" si="12"/>
        <v>81.655370406815351</v>
      </c>
      <c r="Q24" s="325">
        <f t="shared" si="13"/>
        <v>0.92358006193019759</v>
      </c>
      <c r="R24" s="313"/>
      <c r="S24" s="17"/>
      <c r="T24" s="17"/>
      <c r="U24" s="17"/>
      <c r="V24" s="44"/>
      <c r="W24" s="44"/>
      <c r="X24" s="44"/>
      <c r="Y24" s="12"/>
    </row>
    <row r="25" spans="1:33" ht="18" customHeight="1" x14ac:dyDescent="0.3">
      <c r="A25" s="55"/>
      <c r="B25" s="305">
        <f t="shared" si="5"/>
        <v>2005</v>
      </c>
      <c r="C25" s="306">
        <f>RawDataSources!B45/1000</f>
        <v>10586.278880000002</v>
      </c>
      <c r="D25" s="307">
        <f>RawDataSources!C45/1000</f>
        <v>35.49452205</v>
      </c>
      <c r="E25" s="308">
        <v>430.09093674668793</v>
      </c>
      <c r="F25" s="308">
        <f>(RawDataSources!M45+RawDataSources!O45)/1000</f>
        <v>4.9295694965007781</v>
      </c>
      <c r="G25" s="306">
        <v>4.3742457575804083</v>
      </c>
      <c r="H25" s="307">
        <v>3.4282846086679721</v>
      </c>
      <c r="I25" s="306">
        <v>153.0225806451613</v>
      </c>
      <c r="J25" s="308">
        <f t="shared" si="9"/>
        <v>47.631855865997188</v>
      </c>
      <c r="K25" s="307">
        <v>15.751526982599998</v>
      </c>
      <c r="L25" s="224">
        <f t="shared" si="10"/>
        <v>258.10073751699997</v>
      </c>
      <c r="M25" s="307">
        <v>252.70444899999998</v>
      </c>
      <c r="N25" s="307">
        <v>5.3962885170000003</v>
      </c>
      <c r="O25" s="306">
        <f t="shared" si="11"/>
        <v>11421.045423180332</v>
      </c>
      <c r="P25" s="307">
        <f t="shared" si="12"/>
        <v>91.950951041665149</v>
      </c>
      <c r="Q25" s="325">
        <f t="shared" si="13"/>
        <v>0.92690979571046317</v>
      </c>
      <c r="R25" s="313"/>
      <c r="S25" s="17"/>
      <c r="T25" s="17"/>
      <c r="U25" s="17"/>
      <c r="V25" s="44"/>
      <c r="W25" s="44"/>
      <c r="X25" s="44"/>
      <c r="Y25" s="12"/>
    </row>
    <row r="26" spans="1:33" ht="18" customHeight="1" x14ac:dyDescent="0.3">
      <c r="A26" s="57"/>
      <c r="B26" s="305">
        <f t="shared" si="5"/>
        <v>2006</v>
      </c>
      <c r="C26" s="306">
        <f>RawDataSources!B46/1000</f>
        <v>14248.96387</v>
      </c>
      <c r="D26" s="307">
        <f>RawDataSources!C46/1000</f>
        <v>43.167667950000002</v>
      </c>
      <c r="E26" s="308">
        <v>616.03300291961898</v>
      </c>
      <c r="F26" s="308">
        <f>(RawDataSources!M46+RawDataSources!O46)/1000</f>
        <v>9.5943505935063591</v>
      </c>
      <c r="G26" s="306">
        <v>20.392324041016554</v>
      </c>
      <c r="H26" s="307">
        <v>16.305991868679691</v>
      </c>
      <c r="I26" s="306">
        <v>213.16500000000005</v>
      </c>
      <c r="J26" s="308">
        <f t="shared" si="9"/>
        <v>61.041981905986141</v>
      </c>
      <c r="K26" s="307">
        <v>24.550533550499999</v>
      </c>
      <c r="L26" s="224">
        <f t="shared" si="10"/>
        <v>427.50216122199998</v>
      </c>
      <c r="M26" s="307">
        <v>420.90660220000001</v>
      </c>
      <c r="N26" s="307">
        <v>6.5955590220000007</v>
      </c>
      <c r="O26" s="306">
        <f t="shared" si="11"/>
        <v>15511.100175225643</v>
      </c>
      <c r="P26" s="307">
        <f t="shared" si="12"/>
        <v>127.11120074666584</v>
      </c>
      <c r="Q26" s="325">
        <f t="shared" si="13"/>
        <v>0.9186301235265355</v>
      </c>
      <c r="R26" s="313"/>
      <c r="S26" s="17"/>
      <c r="T26" s="17"/>
      <c r="U26" s="17"/>
      <c r="V26" s="44"/>
      <c r="W26" s="44"/>
      <c r="X26" s="44"/>
      <c r="Y26" s="12"/>
      <c r="AB26" s="12"/>
      <c r="AC26" s="12"/>
      <c r="AF26" s="12"/>
      <c r="AG26" s="12"/>
    </row>
    <row r="27" spans="1:33" ht="18" customHeight="1" x14ac:dyDescent="0.3">
      <c r="A27" s="57"/>
      <c r="B27" s="305">
        <f t="shared" si="5"/>
        <v>2007</v>
      </c>
      <c r="C27" s="306">
        <f>RawDataSources!B47/1000</f>
        <v>17094.1584</v>
      </c>
      <c r="D27" s="307">
        <f>RawDataSources!C47/1000</f>
        <v>54.44297633</v>
      </c>
      <c r="E27" s="308">
        <v>773.38608039671965</v>
      </c>
      <c r="F27" s="308">
        <f>(RawDataSources!M47+RawDataSources!O47)/1000</f>
        <v>24.28080588604184</v>
      </c>
      <c r="G27" s="306">
        <v>104.23622821612508</v>
      </c>
      <c r="H27" s="307">
        <v>83.373269278590215</v>
      </c>
      <c r="I27" s="306">
        <v>258.72931034482764</v>
      </c>
      <c r="J27" s="308">
        <f t="shared" si="9"/>
        <v>88.273829664038104</v>
      </c>
      <c r="K27" s="307">
        <v>33.396630550905996</v>
      </c>
      <c r="L27" s="224">
        <f t="shared" si="10"/>
        <v>516.96148620500003</v>
      </c>
      <c r="M27" s="307">
        <v>509.16276070000004</v>
      </c>
      <c r="N27" s="307">
        <v>7.7987255050000002</v>
      </c>
      <c r="O27" s="306">
        <f t="shared" si="11"/>
        <v>18738.355680497811</v>
      </c>
      <c r="P27" s="307">
        <f t="shared" si="12"/>
        <v>233.88880077762832</v>
      </c>
      <c r="Q27" s="325">
        <f t="shared" si="13"/>
        <v>0.91225498605467126</v>
      </c>
      <c r="R27" s="313"/>
      <c r="S27" s="17"/>
      <c r="T27" s="17"/>
      <c r="U27" s="17"/>
      <c r="V27" s="44"/>
      <c r="W27" s="44"/>
      <c r="X27" s="44"/>
      <c r="Y27" s="12"/>
      <c r="AB27" s="12"/>
      <c r="AC27" s="12"/>
      <c r="AF27" s="12"/>
      <c r="AG27" s="12"/>
    </row>
    <row r="28" spans="1:33" ht="18" customHeight="1" x14ac:dyDescent="0.3">
      <c r="A28" s="57"/>
      <c r="B28" s="305">
        <f t="shared" si="5"/>
        <v>2008</v>
      </c>
      <c r="C28" s="306">
        <f>RawDataSources!B48/1000</f>
        <v>9836.277105000001</v>
      </c>
      <c r="D28" s="307">
        <f>RawDataSources!C48/1000</f>
        <v>39.445315889999996</v>
      </c>
      <c r="E28" s="308">
        <v>458.23028629601316</v>
      </c>
      <c r="F28" s="308">
        <f>(RawDataSources!M48+RawDataSources!O48)/1000</f>
        <v>21.70633473709406</v>
      </c>
      <c r="G28" s="306">
        <v>94.675626516070764</v>
      </c>
      <c r="H28" s="307">
        <v>73.915426516070767</v>
      </c>
      <c r="I28" s="306">
        <v>182.5910714285715</v>
      </c>
      <c r="J28" s="308">
        <f t="shared" si="9"/>
        <v>56.047438245519871</v>
      </c>
      <c r="K28" s="307">
        <v>39.106083729218099</v>
      </c>
      <c r="L28" s="224">
        <f t="shared" si="10"/>
        <v>291.82284580700002</v>
      </c>
      <c r="M28" s="307">
        <v>283.19614490000004</v>
      </c>
      <c r="N28" s="307">
        <v>8.626700907</v>
      </c>
      <c r="O28" s="306">
        <f t="shared" si="11"/>
        <v>10846.197186055533</v>
      </c>
      <c r="P28" s="307">
        <f t="shared" si="12"/>
        <v>178.03488155859066</v>
      </c>
      <c r="Q28" s="325">
        <f t="shared" si="13"/>
        <v>0.90688717310487943</v>
      </c>
      <c r="R28" s="313"/>
      <c r="S28" s="17"/>
      <c r="T28" s="17"/>
      <c r="U28" s="17"/>
      <c r="V28" s="44"/>
      <c r="W28" s="44"/>
      <c r="X28" s="44"/>
      <c r="Y28" s="12"/>
      <c r="AB28" s="12"/>
      <c r="AC28" s="12"/>
      <c r="AF28" s="12"/>
      <c r="AG28" s="12"/>
    </row>
    <row r="29" spans="1:33" ht="18" customHeight="1" x14ac:dyDescent="0.3">
      <c r="A29" s="57"/>
      <c r="B29" s="305"/>
      <c r="C29" s="645" t="s">
        <v>279</v>
      </c>
      <c r="D29" s="645"/>
      <c r="E29" s="645"/>
      <c r="F29" s="645"/>
      <c r="G29" s="645"/>
      <c r="H29" s="645"/>
      <c r="I29" s="645"/>
      <c r="J29" s="645"/>
      <c r="K29" s="645"/>
      <c r="L29" s="645"/>
      <c r="M29" s="645"/>
      <c r="N29" s="645"/>
      <c r="O29" s="645"/>
      <c r="P29" s="645"/>
      <c r="Q29" s="645"/>
      <c r="R29" s="646"/>
      <c r="S29" s="50"/>
      <c r="T29" s="50"/>
      <c r="U29" s="50"/>
      <c r="V29" s="49"/>
      <c r="W29" s="49"/>
      <c r="X29" s="34"/>
      <c r="Y29" s="12"/>
      <c r="AB29" s="12"/>
      <c r="AC29" s="12"/>
      <c r="AF29" s="12"/>
      <c r="AG29" s="12"/>
    </row>
    <row r="30" spans="1:33" ht="18" customHeight="1" x14ac:dyDescent="0.3">
      <c r="A30" s="57"/>
      <c r="B30" s="305"/>
      <c r="C30" s="647"/>
      <c r="D30" s="647"/>
      <c r="E30" s="647"/>
      <c r="F30" s="647"/>
      <c r="G30" s="647"/>
      <c r="H30" s="647"/>
      <c r="I30" s="647"/>
      <c r="J30" s="647"/>
      <c r="K30" s="647"/>
      <c r="L30" s="647"/>
      <c r="M30" s="647"/>
      <c r="N30" s="647"/>
      <c r="O30" s="647"/>
      <c r="P30" s="647"/>
      <c r="Q30" s="647"/>
      <c r="R30" s="648"/>
      <c r="S30" s="50"/>
      <c r="T30" s="50"/>
      <c r="U30" s="50"/>
      <c r="V30" s="49"/>
      <c r="W30" s="49"/>
      <c r="X30" s="34"/>
      <c r="Y30" s="12"/>
      <c r="AB30" s="12"/>
      <c r="AC30" s="12"/>
      <c r="AF30" s="12"/>
      <c r="AG30" s="12"/>
    </row>
    <row r="31" spans="1:33" ht="18" customHeight="1" x14ac:dyDescent="0.35">
      <c r="A31" s="57"/>
      <c r="B31" s="305">
        <v>2001</v>
      </c>
      <c r="C31" s="306">
        <f>RawDataSources!D41/1000</f>
        <v>7510.7082810000002</v>
      </c>
      <c r="D31" s="307">
        <f>RawDataSources!E41/1000</f>
        <v>1264.645953</v>
      </c>
      <c r="E31" s="308">
        <f t="array" ref="E31:E38">TRANSPOSE('Table A6'!D16:K16)-TRANSPOSE('Table A6'!D21:K21)</f>
        <v>127.70047952793504</v>
      </c>
      <c r="F31" s="308">
        <f>(RawDataSources!N41+RawDataSources!P41)/1000</f>
        <v>29.084233953495218</v>
      </c>
      <c r="G31" s="306">
        <f t="array" ref="G31:G38">TRANSPOSE('Table A7'!D26:K26)</f>
        <v>208.30413415805882</v>
      </c>
      <c r="H31" s="307">
        <f t="array" ref="H31:H38">TRANSPOSE('Table A7'!D10:K10)</f>
        <v>175.99742215981408</v>
      </c>
      <c r="I31" s="306">
        <f t="array" ref="I31:I38">TRANSPOSE('Table A8'!D22:K22)-TRANSPOSE('Table A8'!D23:K23)</f>
        <v>81.907203074046606</v>
      </c>
      <c r="J31" s="308">
        <f t="shared" ref="J31:J38" si="14">J11*I31/I11</f>
        <v>27.514183157593276</v>
      </c>
      <c r="K31" s="226">
        <f t="array" ref="K31:K38">TRANSPOSE('Table A8'!$D$10:$K$10)-TRANSPOSE('Table A8'!$D$11:$K$11)</f>
        <v>15.332704179932634</v>
      </c>
      <c r="L31" s="224">
        <f>M31+N31</f>
        <v>244.52232039899999</v>
      </c>
      <c r="M31" s="307">
        <f t="array" ref="M31:M38">TRANSPOSE('Table A9'!D13:K13)</f>
        <v>58.013933799</v>
      </c>
      <c r="N31" s="307">
        <f t="array" ref="N31:N38">TRANSPOSE('Table A9'!D9:K9)</f>
        <v>186.50838659999999</v>
      </c>
      <c r="O31" s="306">
        <f>C31+E31+F31+G31+I31-K31+L31</f>
        <v>8186.8939479326036</v>
      </c>
      <c r="P31" s="307">
        <f>D31+J31+H31+N31</f>
        <v>1654.6659449174074</v>
      </c>
      <c r="Q31" s="325">
        <f>C31/O31</f>
        <v>0.91740632390830501</v>
      </c>
      <c r="R31" s="119"/>
      <c r="S31" s="34"/>
      <c r="T31" s="34"/>
      <c r="U31" s="34"/>
      <c r="V31" s="44"/>
      <c r="W31" s="44"/>
      <c r="X31" s="44"/>
      <c r="Y31" s="12"/>
      <c r="AB31" s="12"/>
      <c r="AC31" s="12"/>
      <c r="AF31" s="12"/>
      <c r="AG31" s="12"/>
    </row>
    <row r="32" spans="1:33" ht="18" customHeight="1" x14ac:dyDescent="0.35">
      <c r="A32" s="57"/>
      <c r="B32" s="305">
        <f t="shared" si="5"/>
        <v>2002</v>
      </c>
      <c r="C32" s="306">
        <f>RawDataSources!D42/1000</f>
        <v>9319.4843239999991</v>
      </c>
      <c r="D32" s="307">
        <f>RawDataSources!E42/1000</f>
        <v>1414.728239</v>
      </c>
      <c r="E32" s="308">
        <v>174.00439236273434</v>
      </c>
      <c r="F32" s="308">
        <f>(RawDataSources!N42+RawDataSources!P42)/1000</f>
        <v>37.936509038218389</v>
      </c>
      <c r="G32" s="306">
        <v>286.58846027371396</v>
      </c>
      <c r="H32" s="307">
        <v>240.58766709340722</v>
      </c>
      <c r="I32" s="306">
        <v>81.231609738079328</v>
      </c>
      <c r="J32" s="308">
        <f t="shared" si="14"/>
        <v>32.716516759573999</v>
      </c>
      <c r="K32" s="226">
        <v>15.992468952495029</v>
      </c>
      <c r="L32" s="224">
        <f t="shared" ref="L32:L38" si="15">M32+N32</f>
        <v>304.89152971000004</v>
      </c>
      <c r="M32" s="307">
        <v>77.562612810000005</v>
      </c>
      <c r="N32" s="307">
        <v>227.32891690000002</v>
      </c>
      <c r="O32" s="306">
        <f t="shared" ref="O32:O38" si="16">C32+E32+F32+G32+I32-K32+L32</f>
        <v>10188.144356170249</v>
      </c>
      <c r="P32" s="307">
        <f t="shared" ref="P32:P38" si="17">D32+J32+H32+N32</f>
        <v>1915.3613397529812</v>
      </c>
      <c r="Q32" s="325">
        <f t="shared" ref="Q32:Q38" si="18">C32/O32</f>
        <v>0.91473815036354844</v>
      </c>
      <c r="R32" s="119"/>
      <c r="S32" s="34"/>
      <c r="T32" s="34"/>
      <c r="U32" s="34"/>
      <c r="V32" s="44"/>
      <c r="W32" s="44"/>
      <c r="X32" s="44"/>
      <c r="Y32" s="12"/>
      <c r="AB32" s="12"/>
      <c r="AC32" s="12"/>
      <c r="AF32" s="12"/>
      <c r="AG32" s="12"/>
    </row>
    <row r="33" spans="1:33" ht="18" customHeight="1" x14ac:dyDescent="0.35">
      <c r="A33" s="57"/>
      <c r="B33" s="305">
        <f t="shared" si="5"/>
        <v>2003</v>
      </c>
      <c r="C33" s="306">
        <f>RawDataSources!D43/1000</f>
        <v>12096.517390000001</v>
      </c>
      <c r="D33" s="307">
        <f>RawDataSources!E43/1000</f>
        <v>1822.9688160000001</v>
      </c>
      <c r="E33" s="308">
        <v>221.60799084308508</v>
      </c>
      <c r="F33" s="308">
        <f>(RawDataSources!N43+RawDataSources!P43)/1000</f>
        <v>50.153628123234256</v>
      </c>
      <c r="G33" s="306">
        <v>403.91662373669766</v>
      </c>
      <c r="H33" s="307">
        <v>340.13426487375745</v>
      </c>
      <c r="I33" s="306">
        <v>79.38454185244926</v>
      </c>
      <c r="J33" s="308">
        <f t="shared" si="14"/>
        <v>27.751432253412247</v>
      </c>
      <c r="K33" s="226">
        <v>21.040830299975624</v>
      </c>
      <c r="L33" s="224">
        <f t="shared" si="15"/>
        <v>403.21706687</v>
      </c>
      <c r="M33" s="307">
        <v>115.23014937000001</v>
      </c>
      <c r="N33" s="307">
        <v>287.9869175</v>
      </c>
      <c r="O33" s="306">
        <f t="shared" si="16"/>
        <v>13233.756411125492</v>
      </c>
      <c r="P33" s="307">
        <f t="shared" si="17"/>
        <v>2478.8414306271698</v>
      </c>
      <c r="Q33" s="325">
        <f t="shared" si="18"/>
        <v>0.91406528986966806</v>
      </c>
      <c r="R33" s="119"/>
      <c r="S33" s="34"/>
      <c r="T33" s="34"/>
      <c r="U33" s="34"/>
      <c r="V33" s="44"/>
      <c r="W33" s="44"/>
      <c r="X33" s="44"/>
      <c r="Y33" s="12"/>
      <c r="AB33" s="12"/>
      <c r="AC33" s="12"/>
      <c r="AF33" s="12"/>
      <c r="AG33" s="12"/>
    </row>
    <row r="34" spans="1:33" ht="18" customHeight="1" x14ac:dyDescent="0.35">
      <c r="A34" s="57"/>
      <c r="B34" s="305">
        <f t="shared" si="5"/>
        <v>2004</v>
      </c>
      <c r="C34" s="306">
        <f>RawDataSources!D44/1000</f>
        <v>14563.578119999998</v>
      </c>
      <c r="D34" s="307">
        <f>RawDataSources!E44/1000</f>
        <v>2109.93453</v>
      </c>
      <c r="E34" s="308">
        <v>397.93086545928963</v>
      </c>
      <c r="F34" s="308">
        <f>(RawDataSources!N44+RawDataSources!P44)/1000</f>
        <v>43.083806011288857</v>
      </c>
      <c r="G34" s="306">
        <v>607.30725373858627</v>
      </c>
      <c r="H34" s="307">
        <v>515.27925373858625</v>
      </c>
      <c r="I34" s="306">
        <v>124.58209745095571</v>
      </c>
      <c r="J34" s="308">
        <f t="shared" si="14"/>
        <v>39.1375260105984</v>
      </c>
      <c r="K34" s="226">
        <v>24.573036508999998</v>
      </c>
      <c r="L34" s="224">
        <f t="shared" si="15"/>
        <v>496.62845677999996</v>
      </c>
      <c r="M34" s="307">
        <v>146.55228627999998</v>
      </c>
      <c r="N34" s="307">
        <v>350.07617049999999</v>
      </c>
      <c r="O34" s="306">
        <f t="shared" si="16"/>
        <v>16208.537562931118</v>
      </c>
      <c r="P34" s="307">
        <f t="shared" si="17"/>
        <v>3014.4274802491846</v>
      </c>
      <c r="Q34" s="325">
        <f t="shared" si="18"/>
        <v>0.8985127784326985</v>
      </c>
      <c r="R34" s="119"/>
      <c r="S34" s="34"/>
      <c r="T34" s="34"/>
      <c r="U34" s="34"/>
      <c r="V34" s="44"/>
      <c r="W34" s="44"/>
      <c r="X34" s="44"/>
      <c r="Y34" s="12"/>
    </row>
    <row r="35" spans="1:33" ht="18" customHeight="1" x14ac:dyDescent="0.35">
      <c r="A35" s="57"/>
      <c r="B35" s="305">
        <f t="shared" si="5"/>
        <v>2005</v>
      </c>
      <c r="C35" s="306">
        <f>RawDataSources!D45/1000</f>
        <v>15305.86931</v>
      </c>
      <c r="D35" s="307">
        <f>RawDataSources!E45/1000</f>
        <v>2185.6417700000002</v>
      </c>
      <c r="E35" s="308">
        <v>409.01749383168999</v>
      </c>
      <c r="F35" s="308">
        <f>(RawDataSources!N45+RawDataSources!P45)/1000</f>
        <v>59.992873701637748</v>
      </c>
      <c r="G35" s="306">
        <v>809.35191539133189</v>
      </c>
      <c r="H35" s="307">
        <v>692.61291539133197</v>
      </c>
      <c r="I35" s="306">
        <v>156.94570737934251</v>
      </c>
      <c r="J35" s="308">
        <f t="shared" si="14"/>
        <v>48.85302078400283</v>
      </c>
      <c r="K35" s="226">
        <v>30.069166205800002</v>
      </c>
      <c r="L35" s="224">
        <f t="shared" si="15"/>
        <v>590.84067320000008</v>
      </c>
      <c r="M35" s="307">
        <v>191.51535910000001</v>
      </c>
      <c r="N35" s="307">
        <v>399.32531410000001</v>
      </c>
      <c r="O35" s="306">
        <f t="shared" si="16"/>
        <v>17301.948807298202</v>
      </c>
      <c r="P35" s="307">
        <f t="shared" si="17"/>
        <v>3326.4330202753349</v>
      </c>
      <c r="Q35" s="325">
        <f t="shared" si="18"/>
        <v>0.8846326781144892</v>
      </c>
      <c r="R35" s="119"/>
      <c r="S35" s="34"/>
      <c r="T35" s="34"/>
      <c r="U35" s="34"/>
      <c r="V35" s="44"/>
      <c r="W35" s="44"/>
      <c r="X35" s="44"/>
      <c r="Y35" s="12"/>
    </row>
    <row r="36" spans="1:33" ht="18" customHeight="1" x14ac:dyDescent="0.35">
      <c r="A36" s="57"/>
      <c r="B36" s="305">
        <f t="shared" si="5"/>
        <v>2006</v>
      </c>
      <c r="C36" s="306">
        <f>RawDataSources!D46/1000</f>
        <v>18715.282579999999</v>
      </c>
      <c r="D36" s="307">
        <f>RawDataSources!E46/1000</f>
        <v>2515.190705</v>
      </c>
      <c r="E36" s="308">
        <v>636.25996895426465</v>
      </c>
      <c r="F36" s="308">
        <f>(RawDataSources!N46+RawDataSources!P46)/1000</f>
        <v>48.136378063508424</v>
      </c>
      <c r="G36" s="306">
        <v>1153.8080081313203</v>
      </c>
      <c r="H36" s="307">
        <v>890.08300813132041</v>
      </c>
      <c r="I36" s="306">
        <v>218.26102164336916</v>
      </c>
      <c r="J36" s="308">
        <f t="shared" si="14"/>
        <v>62.501279919013847</v>
      </c>
      <c r="K36" s="226">
        <v>38.178264415150004</v>
      </c>
      <c r="L36" s="224">
        <f t="shared" si="15"/>
        <v>726.91939953999997</v>
      </c>
      <c r="M36" s="307">
        <v>238.84800863999999</v>
      </c>
      <c r="N36" s="307">
        <v>488.07139089999998</v>
      </c>
      <c r="O36" s="306">
        <f t="shared" si="16"/>
        <v>21460.489091917309</v>
      </c>
      <c r="P36" s="307">
        <f t="shared" si="17"/>
        <v>3955.8463839503343</v>
      </c>
      <c r="Q36" s="325">
        <f t="shared" si="18"/>
        <v>0.87208089712404369</v>
      </c>
      <c r="R36" s="119"/>
      <c r="S36" s="34"/>
      <c r="T36" s="34"/>
      <c r="U36" s="34"/>
      <c r="V36" s="44"/>
      <c r="W36" s="44"/>
      <c r="X36" s="44"/>
      <c r="Y36" s="12"/>
    </row>
    <row r="37" spans="1:33" ht="18" customHeight="1" x14ac:dyDescent="0.35">
      <c r="A37" s="57"/>
      <c r="B37" s="305">
        <f t="shared" si="5"/>
        <v>2007</v>
      </c>
      <c r="C37" s="306">
        <f>RawDataSources!D47/1000</f>
        <v>21970.348329999997</v>
      </c>
      <c r="D37" s="307">
        <f>RawDataSources!E47/1000</f>
        <v>3054.9264429999998</v>
      </c>
      <c r="E37" s="308">
        <v>770.36477589215792</v>
      </c>
      <c r="F37" s="308">
        <f>(RawDataSources!N47+RawDataSources!P47)/1000</f>
        <v>66.73173345581209</v>
      </c>
      <c r="G37" s="306">
        <v>1480.6172307214097</v>
      </c>
      <c r="H37" s="307">
        <v>1215.6392307214098</v>
      </c>
      <c r="I37" s="306">
        <v>331.73599215438145</v>
      </c>
      <c r="J37" s="308">
        <f t="shared" si="14"/>
        <v>113.18240838596186</v>
      </c>
      <c r="K37" s="226">
        <v>45.817813366237004</v>
      </c>
      <c r="L37" s="224">
        <f t="shared" si="15"/>
        <v>857.78040495000005</v>
      </c>
      <c r="M37" s="307">
        <v>280.67473985000004</v>
      </c>
      <c r="N37" s="307">
        <v>577.10566510000001</v>
      </c>
      <c r="O37" s="306">
        <f t="shared" si="16"/>
        <v>25431.760653807527</v>
      </c>
      <c r="P37" s="307">
        <f t="shared" si="17"/>
        <v>4960.8537472073713</v>
      </c>
      <c r="Q37" s="325">
        <f t="shared" si="18"/>
        <v>0.86389411370583569</v>
      </c>
      <c r="R37" s="119"/>
      <c r="S37" s="34"/>
      <c r="T37" s="34"/>
      <c r="U37" s="34"/>
      <c r="V37" s="44"/>
      <c r="W37" s="44"/>
      <c r="X37" s="44"/>
      <c r="Y37" s="12"/>
    </row>
    <row r="38" spans="1:33" ht="18" customHeight="1" thickBot="1" x14ac:dyDescent="0.35">
      <c r="A38" s="57"/>
      <c r="B38" s="318">
        <f t="shared" si="5"/>
        <v>2008</v>
      </c>
      <c r="C38" s="310">
        <f>RawDataSources!D48/1000</f>
        <v>20881.683510000003</v>
      </c>
      <c r="D38" s="311">
        <f>RawDataSources!E48/1000</f>
        <v>3603.632012</v>
      </c>
      <c r="E38" s="312">
        <v>744.42070808211849</v>
      </c>
      <c r="F38" s="312">
        <f>(RawDataSources!N48+RawDataSources!P48)/1000</f>
        <v>62.497042638884622</v>
      </c>
      <c r="G38" s="310">
        <v>1811.3300734839293</v>
      </c>
      <c r="H38" s="311">
        <v>1580.2100734839294</v>
      </c>
      <c r="I38" s="310">
        <v>404.43681388144819</v>
      </c>
      <c r="J38" s="312">
        <f t="shared" si="14"/>
        <v>124.14433615448016</v>
      </c>
      <c r="K38" s="311">
        <v>34.491613708599999</v>
      </c>
      <c r="L38" s="228">
        <f t="shared" si="15"/>
        <v>891.22752791000005</v>
      </c>
      <c r="M38" s="311">
        <v>252.85165011000004</v>
      </c>
      <c r="N38" s="311">
        <v>638.37587780000001</v>
      </c>
      <c r="O38" s="310">
        <f t="shared" si="16"/>
        <v>24761.104062287784</v>
      </c>
      <c r="P38" s="307">
        <f t="shared" si="17"/>
        <v>5946.3622994384095</v>
      </c>
      <c r="Q38" s="326">
        <f t="shared" si="18"/>
        <v>0.84332602687954028</v>
      </c>
      <c r="R38" s="122"/>
      <c r="S38" s="101"/>
      <c r="T38" s="101"/>
      <c r="U38" s="101"/>
      <c r="V38" s="44"/>
      <c r="W38" s="44"/>
      <c r="X38" s="44"/>
      <c r="Y38" s="12"/>
      <c r="Z38" s="9"/>
      <c r="AA38" s="9"/>
    </row>
    <row r="39" spans="1:33" ht="14.4" thickTop="1" x14ac:dyDescent="0.25">
      <c r="A39" s="58"/>
      <c r="G39" s="42"/>
      <c r="H39" s="34"/>
      <c r="M39" s="42"/>
      <c r="P39" s="42"/>
      <c r="R39" s="42"/>
      <c r="Y39" s="12"/>
    </row>
    <row r="40" spans="1:33" ht="13.8" x14ac:dyDescent="0.25">
      <c r="A40" s="58"/>
      <c r="H40" s="34"/>
      <c r="I40" s="12"/>
      <c r="J40" s="114"/>
      <c r="K40" s="52"/>
      <c r="N40" s="52"/>
      <c r="P40" s="52"/>
    </row>
    <row r="41" spans="1:33" x14ac:dyDescent="0.25">
      <c r="A41" s="56"/>
      <c r="C41" s="12"/>
      <c r="I41" s="12"/>
      <c r="J41" s="114"/>
      <c r="N41" s="52"/>
      <c r="P41" s="52"/>
    </row>
    <row r="42" spans="1:33" ht="13.8" x14ac:dyDescent="0.25">
      <c r="C42" s="12"/>
      <c r="G42" s="17"/>
      <c r="H42" s="17"/>
      <c r="I42" s="12"/>
      <c r="J42" s="114"/>
      <c r="M42" s="17"/>
      <c r="N42" s="52"/>
      <c r="O42" s="12"/>
      <c r="P42" s="52"/>
      <c r="Q42" s="12"/>
    </row>
    <row r="43" spans="1:33" ht="13.8" x14ac:dyDescent="0.25">
      <c r="C43" s="53"/>
      <c r="E43" s="12"/>
      <c r="F43" s="12"/>
      <c r="G43" s="17"/>
      <c r="H43" s="17"/>
      <c r="I43" s="12"/>
      <c r="J43" s="114"/>
      <c r="L43" s="51"/>
      <c r="N43" s="52"/>
      <c r="O43" s="12"/>
      <c r="P43" s="52"/>
      <c r="Q43" s="12"/>
    </row>
    <row r="44" spans="1:33" ht="13.8" x14ac:dyDescent="0.25">
      <c r="C44" s="53"/>
      <c r="E44" s="12"/>
      <c r="F44" s="12"/>
      <c r="G44" s="17"/>
      <c r="H44" s="17"/>
      <c r="I44" s="12"/>
      <c r="J44" s="114"/>
      <c r="L44" s="51"/>
      <c r="M44" s="17"/>
      <c r="N44" s="52"/>
      <c r="O44" s="12"/>
      <c r="P44" s="52"/>
      <c r="Q44" s="12"/>
    </row>
    <row r="45" spans="1:33" ht="13.8" x14ac:dyDescent="0.25">
      <c r="C45" s="53"/>
      <c r="E45" s="12"/>
      <c r="F45" s="12"/>
      <c r="G45" s="17"/>
      <c r="H45" s="17"/>
      <c r="I45" s="12"/>
      <c r="J45" s="114"/>
      <c r="L45" s="51"/>
      <c r="M45" s="17"/>
      <c r="N45" s="52"/>
      <c r="O45" s="12"/>
      <c r="P45" s="52"/>
      <c r="Q45" s="12"/>
    </row>
    <row r="46" spans="1:33" ht="13.8" x14ac:dyDescent="0.25">
      <c r="C46" s="53"/>
      <c r="E46" s="12"/>
      <c r="F46" s="12"/>
      <c r="G46" s="17"/>
      <c r="H46" s="17"/>
      <c r="I46" s="12"/>
      <c r="J46" s="114"/>
      <c r="L46" s="51"/>
      <c r="M46" s="17"/>
      <c r="N46" s="52"/>
      <c r="O46" s="12"/>
      <c r="P46" s="52"/>
      <c r="Q46" s="12"/>
    </row>
    <row r="47" spans="1:33" ht="13.8" x14ac:dyDescent="0.25">
      <c r="C47" s="53"/>
      <c r="E47" s="12"/>
      <c r="F47" s="12"/>
      <c r="G47" s="17"/>
      <c r="H47" s="17"/>
      <c r="I47" s="12"/>
      <c r="J47" s="114"/>
      <c r="L47" s="51"/>
      <c r="M47" s="17"/>
      <c r="N47" s="52"/>
      <c r="O47" s="12"/>
      <c r="P47" s="52"/>
      <c r="Q47" s="12"/>
    </row>
    <row r="48" spans="1:33" ht="13.8" x14ac:dyDescent="0.25">
      <c r="C48" s="53"/>
      <c r="E48" s="12"/>
      <c r="F48" s="12"/>
      <c r="G48" s="17"/>
      <c r="H48" s="17"/>
      <c r="I48" s="12"/>
      <c r="J48" s="114"/>
      <c r="L48" s="51"/>
      <c r="M48" s="17"/>
      <c r="N48" s="52"/>
      <c r="O48" s="12"/>
      <c r="Q48" s="12"/>
    </row>
    <row r="49" spans="3:17" ht="13.8" x14ac:dyDescent="0.25">
      <c r="C49" s="53"/>
      <c r="E49" s="12"/>
      <c r="F49" s="12"/>
      <c r="G49" s="17"/>
      <c r="H49" s="17"/>
      <c r="I49" s="12"/>
      <c r="J49" s="114"/>
      <c r="K49" s="52"/>
      <c r="L49" s="51"/>
      <c r="M49" s="17"/>
      <c r="N49" s="52"/>
      <c r="O49" s="12"/>
      <c r="Q49" s="12"/>
    </row>
    <row r="50" spans="3:17" ht="13.8" x14ac:dyDescent="0.25">
      <c r="C50" s="53"/>
      <c r="E50" s="12"/>
      <c r="F50" s="12"/>
      <c r="G50" s="17"/>
      <c r="H50" s="17"/>
      <c r="I50" s="12"/>
      <c r="J50" s="114"/>
      <c r="K50" s="52"/>
      <c r="L50" s="51"/>
      <c r="N50" s="52"/>
      <c r="O50" s="12"/>
      <c r="Q50" s="12"/>
    </row>
    <row r="51" spans="3:17" x14ac:dyDescent="0.25">
      <c r="C51" s="12"/>
      <c r="E51" s="12"/>
      <c r="F51" s="12"/>
      <c r="G51" s="12"/>
      <c r="I51" s="12"/>
      <c r="J51" s="114"/>
      <c r="N51" s="52"/>
      <c r="O51" s="12"/>
      <c r="Q51" s="12"/>
    </row>
    <row r="52" spans="3:17" x14ac:dyDescent="0.25">
      <c r="C52" s="12"/>
      <c r="E52" s="12"/>
      <c r="F52" s="12"/>
      <c r="G52" s="12"/>
      <c r="I52" s="12"/>
      <c r="J52" s="12"/>
      <c r="K52" s="12"/>
      <c r="O52" s="12"/>
      <c r="Q52" s="12"/>
    </row>
    <row r="53" spans="3:17" x14ac:dyDescent="0.25">
      <c r="C53" s="12"/>
      <c r="D53" s="12"/>
      <c r="E53" s="12"/>
      <c r="F53" s="12"/>
      <c r="G53" s="12"/>
      <c r="H53" s="12"/>
      <c r="I53" s="12"/>
      <c r="J53" s="12"/>
      <c r="K53" s="12"/>
      <c r="O53" s="12"/>
      <c r="Q53" s="12"/>
    </row>
    <row r="54" spans="3:17" x14ac:dyDescent="0.25">
      <c r="G54" s="12"/>
      <c r="H54" s="12"/>
      <c r="I54" s="12"/>
      <c r="J54" s="12"/>
      <c r="O54" s="12"/>
      <c r="Q54" s="12"/>
    </row>
    <row r="55" spans="3:17" x14ac:dyDescent="0.25">
      <c r="G55" s="12"/>
      <c r="H55" s="12"/>
      <c r="I55" s="12"/>
      <c r="J55" s="12"/>
      <c r="O55" s="12"/>
      <c r="Q55" s="12"/>
    </row>
    <row r="56" spans="3:17" x14ac:dyDescent="0.25">
      <c r="G56" s="12"/>
      <c r="H56" s="12"/>
      <c r="I56" s="12"/>
      <c r="J56" s="12"/>
      <c r="K56" s="12"/>
      <c r="O56" s="12"/>
      <c r="Q56" s="12"/>
    </row>
    <row r="57" spans="3:17" x14ac:dyDescent="0.25">
      <c r="G57" s="12"/>
      <c r="H57" s="12"/>
      <c r="I57" s="12"/>
      <c r="J57" s="12"/>
      <c r="K57" s="12"/>
      <c r="O57" s="12"/>
      <c r="Q57" s="12"/>
    </row>
    <row r="58" spans="3:17" x14ac:dyDescent="0.25">
      <c r="G58" s="12"/>
      <c r="H58" s="12"/>
      <c r="I58" s="12"/>
      <c r="J58" s="12"/>
      <c r="K58" s="12"/>
    </row>
    <row r="59" spans="3:17" x14ac:dyDescent="0.25">
      <c r="G59" s="12"/>
      <c r="H59" s="12"/>
      <c r="I59" s="12"/>
      <c r="J59" s="12"/>
      <c r="K59" s="12"/>
    </row>
    <row r="60" spans="3:17" x14ac:dyDescent="0.25">
      <c r="G60" s="12"/>
      <c r="H60" s="12"/>
      <c r="I60" s="12"/>
      <c r="J60" s="12"/>
      <c r="K60" s="12"/>
    </row>
    <row r="61" spans="3:17" x14ac:dyDescent="0.25">
      <c r="I61" s="12"/>
      <c r="J61" s="12"/>
      <c r="K61" s="12"/>
    </row>
    <row r="62" spans="3:17" x14ac:dyDescent="0.25">
      <c r="I62" s="12"/>
      <c r="J62" s="12"/>
      <c r="K62" s="12"/>
    </row>
    <row r="63" spans="3:17" x14ac:dyDescent="0.25">
      <c r="I63" s="12"/>
      <c r="J63" s="12"/>
      <c r="K63" s="12"/>
    </row>
    <row r="64" spans="3:17" x14ac:dyDescent="0.25">
      <c r="I64" s="12"/>
    </row>
  </sheetData>
  <mergeCells count="16">
    <mergeCell ref="B2:R3"/>
    <mergeCell ref="P6:P8"/>
    <mergeCell ref="C29:R30"/>
    <mergeCell ref="C19:R20"/>
    <mergeCell ref="C9:R10"/>
    <mergeCell ref="F7:F8"/>
    <mergeCell ref="D6:D8"/>
    <mergeCell ref="E7:E8"/>
    <mergeCell ref="G7:G8"/>
    <mergeCell ref="C5:Q5"/>
    <mergeCell ref="C6:C8"/>
    <mergeCell ref="E6:F6"/>
    <mergeCell ref="G6:N6"/>
    <mergeCell ref="O6:O8"/>
    <mergeCell ref="I7:I8"/>
    <mergeCell ref="L7:L8"/>
  </mergeCells>
  <phoneticPr fontId="21" type="noConversion"/>
  <pageMargins left="0.75000000000000011" right="0.75000000000000011" top="0.98" bottom="0.98" header="0.51" footer="0.51"/>
  <pageSetup paperSize="9" scale="10" orientation="landscape" horizontalDpi="4294967292" verticalDpi="4294967292"/>
  <ignoredErrors>
    <ignoredError sqref="J31:J38 O11:O18" formula="1"/>
  </ignoredErrors>
  <extLst>
    <ext xmlns:mx="http://schemas.microsoft.com/office/mac/excel/2008/main" uri="{64002731-A6B0-56B0-2670-7721B7C09600}">
      <mx:PLV Mode="0" OnePage="0" WScale="55"/>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R51"/>
  <sheetViews>
    <sheetView zoomScale="70" zoomScaleNormal="70" zoomScalePageLayoutView="70" workbookViewId="0">
      <pane xSplit="1" ySplit="7" topLeftCell="B8" activePane="bottomRight" state="frozen"/>
      <selection activeCell="K1" sqref="K1"/>
      <selection pane="topRight" activeCell="L1" sqref="L1"/>
      <selection pane="bottomLeft" activeCell="K9" sqref="K9"/>
      <selection pane="bottomRight" activeCell="B2" sqref="B2:P2"/>
    </sheetView>
  </sheetViews>
  <sheetFormatPr baseColWidth="10" defaultColWidth="9.26953125" defaultRowHeight="13.2" x14ac:dyDescent="0.25"/>
  <cols>
    <col min="1" max="1" width="2.54296875" style="9" customWidth="1"/>
    <col min="2" max="12" width="12.81640625" style="9" customWidth="1"/>
    <col min="13" max="13" width="12.81640625" style="22" customWidth="1"/>
    <col min="14" max="15" width="12.81640625" style="9" customWidth="1"/>
    <col min="16" max="16" width="13.54296875" style="9" customWidth="1"/>
    <col min="17" max="17" width="1.7265625" style="9" customWidth="1"/>
    <col min="18" max="16384" width="9.26953125" style="9"/>
  </cols>
  <sheetData>
    <row r="1" spans="1:18" ht="13.05" customHeight="1" thickBot="1" x14ac:dyDescent="0.3">
      <c r="O1" s="15"/>
      <c r="P1" s="15"/>
    </row>
    <row r="2" spans="1:18" customFormat="1" ht="49.95" customHeight="1" thickTop="1" x14ac:dyDescent="0.2">
      <c r="A2" s="13"/>
      <c r="B2" s="637" t="s">
        <v>627</v>
      </c>
      <c r="C2" s="638"/>
      <c r="D2" s="638"/>
      <c r="E2" s="638"/>
      <c r="F2" s="638"/>
      <c r="G2" s="638"/>
      <c r="H2" s="638"/>
      <c r="I2" s="638"/>
      <c r="J2" s="638"/>
      <c r="K2" s="638"/>
      <c r="L2" s="638"/>
      <c r="M2" s="638"/>
      <c r="N2" s="638"/>
      <c r="O2" s="638"/>
      <c r="P2" s="639"/>
    </row>
    <row r="3" spans="1:18" x14ac:dyDescent="0.25">
      <c r="A3" s="10"/>
      <c r="B3" s="18"/>
      <c r="C3" s="11" t="s">
        <v>85</v>
      </c>
      <c r="D3" s="11" t="s">
        <v>86</v>
      </c>
      <c r="E3" s="11" t="s">
        <v>87</v>
      </c>
      <c r="F3" s="11" t="s">
        <v>88</v>
      </c>
      <c r="G3" s="36" t="s">
        <v>89</v>
      </c>
      <c r="H3" s="11" t="s">
        <v>90</v>
      </c>
      <c r="I3" s="11" t="s">
        <v>91</v>
      </c>
      <c r="J3" s="11" t="s">
        <v>92</v>
      </c>
      <c r="K3" s="11" t="s">
        <v>93</v>
      </c>
      <c r="L3" s="11" t="s">
        <v>94</v>
      </c>
      <c r="M3" s="11" t="s">
        <v>95</v>
      </c>
      <c r="N3" s="11" t="s">
        <v>96</v>
      </c>
      <c r="O3" s="36" t="s">
        <v>97</v>
      </c>
      <c r="P3" s="105" t="s">
        <v>104</v>
      </c>
    </row>
    <row r="4" spans="1:18" ht="16.05" customHeight="1" thickBot="1" x14ac:dyDescent="0.3">
      <c r="A4" s="14"/>
      <c r="B4" s="20"/>
      <c r="C4" s="690" t="s">
        <v>140</v>
      </c>
      <c r="D4" s="691"/>
      <c r="E4" s="691"/>
      <c r="F4" s="691"/>
      <c r="G4" s="691"/>
      <c r="H4" s="691"/>
      <c r="I4" s="691"/>
      <c r="J4" s="691"/>
      <c r="K4" s="691"/>
      <c r="L4" s="691"/>
      <c r="M4" s="691"/>
      <c r="N4" s="691"/>
      <c r="O4" s="691"/>
      <c r="P4" s="104"/>
    </row>
    <row r="5" spans="1:18" ht="31.95" customHeight="1" x14ac:dyDescent="0.3">
      <c r="A5" s="10"/>
      <c r="B5" s="18"/>
      <c r="C5" s="668" t="s">
        <v>245</v>
      </c>
      <c r="D5" s="656" t="s">
        <v>696</v>
      </c>
      <c r="E5" s="668" t="s">
        <v>246</v>
      </c>
      <c r="F5" s="682"/>
      <c r="G5" s="683"/>
      <c r="H5" s="681" t="s">
        <v>253</v>
      </c>
      <c r="I5" s="682"/>
      <c r="J5" s="682"/>
      <c r="K5" s="683"/>
      <c r="L5" s="684" t="s">
        <v>697</v>
      </c>
      <c r="M5" s="668" t="s">
        <v>698</v>
      </c>
      <c r="N5" s="378"/>
      <c r="O5" s="687" t="s">
        <v>700</v>
      </c>
      <c r="P5" s="379"/>
    </row>
    <row r="6" spans="1:18" ht="63" customHeight="1" x14ac:dyDescent="0.3">
      <c r="A6" s="10"/>
      <c r="B6" s="18"/>
      <c r="C6" s="665"/>
      <c r="D6" s="657"/>
      <c r="E6" s="688" t="s">
        <v>285</v>
      </c>
      <c r="F6" s="659" t="s">
        <v>247</v>
      </c>
      <c r="G6" s="654" t="s">
        <v>288</v>
      </c>
      <c r="H6" s="679" t="s">
        <v>251</v>
      </c>
      <c r="I6" s="680"/>
      <c r="J6" s="680"/>
      <c r="K6" s="383" t="s">
        <v>81</v>
      </c>
      <c r="L6" s="685"/>
      <c r="M6" s="665"/>
      <c r="N6" s="380"/>
      <c r="O6" s="643"/>
      <c r="P6" s="381"/>
    </row>
    <row r="7" spans="1:18" ht="79.95" customHeight="1" thickBot="1" x14ac:dyDescent="0.4">
      <c r="A7" s="10"/>
      <c r="B7" s="19"/>
      <c r="C7" s="678"/>
      <c r="D7" s="658"/>
      <c r="E7" s="689"/>
      <c r="F7" s="660"/>
      <c r="G7" s="655"/>
      <c r="H7" s="384" t="s">
        <v>248</v>
      </c>
      <c r="I7" s="384" t="s">
        <v>252</v>
      </c>
      <c r="J7" s="385" t="s">
        <v>277</v>
      </c>
      <c r="K7" s="382"/>
      <c r="L7" s="686"/>
      <c r="M7" s="678"/>
      <c r="N7" s="324" t="s">
        <v>699</v>
      </c>
      <c r="O7" s="644"/>
      <c r="P7" s="320" t="s">
        <v>280</v>
      </c>
    </row>
    <row r="8" spans="1:18" ht="18" customHeight="1" x14ac:dyDescent="0.3">
      <c r="A8" s="10"/>
      <c r="B8" s="377"/>
      <c r="C8" s="649" t="s">
        <v>156</v>
      </c>
      <c r="D8" s="649"/>
      <c r="E8" s="649"/>
      <c r="F8" s="649"/>
      <c r="G8" s="649"/>
      <c r="H8" s="649"/>
      <c r="I8" s="649"/>
      <c r="J8" s="649"/>
      <c r="K8" s="649"/>
      <c r="L8" s="649"/>
      <c r="M8" s="649"/>
      <c r="N8" s="649"/>
      <c r="O8" s="649"/>
      <c r="P8" s="677"/>
    </row>
    <row r="9" spans="1:18" ht="18" customHeight="1" x14ac:dyDescent="0.3">
      <c r="A9" s="10"/>
      <c r="B9" s="377"/>
      <c r="C9" s="647"/>
      <c r="D9" s="647"/>
      <c r="E9" s="647"/>
      <c r="F9" s="647"/>
      <c r="G9" s="647"/>
      <c r="H9" s="647"/>
      <c r="I9" s="647"/>
      <c r="J9" s="647"/>
      <c r="K9" s="647"/>
      <c r="L9" s="647"/>
      <c r="M9" s="647"/>
      <c r="N9" s="647"/>
      <c r="O9" s="647"/>
      <c r="P9" s="676"/>
    </row>
    <row r="10" spans="1:18" ht="18" customHeight="1" x14ac:dyDescent="0.35">
      <c r="A10" s="10"/>
      <c r="B10" s="305">
        <v>2001</v>
      </c>
      <c r="C10" s="224">
        <f t="shared" ref="C10:D17" si="0">C20+C30</f>
        <v>14055.461463</v>
      </c>
      <c r="D10" s="226">
        <f>D20+D30</f>
        <v>13144.364393363901</v>
      </c>
      <c r="E10" s="223">
        <f t="shared" ref="E10:E17" si="1">E30</f>
        <v>35.256787227941011</v>
      </c>
      <c r="F10" s="223">
        <f t="shared" ref="F10:I17" si="2">F20+F30</f>
        <v>264.93127858546609</v>
      </c>
      <c r="G10" s="223">
        <f t="shared" si="2"/>
        <v>242.30787229000001</v>
      </c>
      <c r="H10" s="223">
        <f>H20+H30</f>
        <v>708.37453213220874</v>
      </c>
      <c r="I10" s="223">
        <f>I20+I30</f>
        <v>563.06187550000004</v>
      </c>
      <c r="J10" s="386">
        <f t="shared" ref="J10:J17" si="3">(H10+I10)/M10</f>
        <v>7.8133856511964847E-2</v>
      </c>
      <c r="K10" s="223">
        <f>K20+K30</f>
        <v>17.041343863000002</v>
      </c>
      <c r="L10" s="223">
        <f>L20+L30</f>
        <v>386.10615524672647</v>
      </c>
      <c r="M10" s="224">
        <f>C10+E10+F10+G10+H10+I10+K10+L10</f>
        <v>16272.541307845344</v>
      </c>
      <c r="N10" s="390">
        <f>C10/M10</f>
        <v>0.86375331284140344</v>
      </c>
      <c r="O10" s="387"/>
      <c r="P10" s="388"/>
    </row>
    <row r="11" spans="1:18" ht="18" customHeight="1" x14ac:dyDescent="0.35">
      <c r="A11" s="10"/>
      <c r="B11" s="305">
        <f t="shared" ref="B11:B37" si="4">B10+1</f>
        <v>2002</v>
      </c>
      <c r="C11" s="224">
        <f t="shared" si="0"/>
        <v>15332.218536</v>
      </c>
      <c r="D11" s="226">
        <f t="shared" si="0"/>
        <v>15232.939105921001</v>
      </c>
      <c r="E11" s="223">
        <f t="shared" si="1"/>
        <v>30.771808203336448</v>
      </c>
      <c r="F11" s="223">
        <f t="shared" si="2"/>
        <v>326.48417572942469</v>
      </c>
      <c r="G11" s="223">
        <f t="shared" si="2"/>
        <v>198.41886923000001</v>
      </c>
      <c r="H11" s="223">
        <f t="shared" si="2"/>
        <v>838.10853350894149</v>
      </c>
      <c r="I11" s="223">
        <f t="shared" si="2"/>
        <v>565.13942302860005</v>
      </c>
      <c r="J11" s="386">
        <f t="shared" si="3"/>
        <v>7.9038393652719738E-2</v>
      </c>
      <c r="K11" s="223">
        <f t="shared" ref="K11:K17" si="5">K21+K31</f>
        <v>17.352414916000001</v>
      </c>
      <c r="L11" s="223">
        <f t="shared" ref="L11:L16" si="6">L21+L31</f>
        <v>445.51023272339836</v>
      </c>
      <c r="M11" s="224">
        <f>C11+E11+F11+G11+H11+I11+K11+L11</f>
        <v>17754.003993339702</v>
      </c>
      <c r="N11" s="390">
        <f t="shared" ref="N11:N17" si="7">C11/M11</f>
        <v>0.86359215317016835</v>
      </c>
      <c r="O11" s="387"/>
      <c r="P11" s="388"/>
      <c r="R11" s="12"/>
    </row>
    <row r="12" spans="1:18" ht="18" customHeight="1" x14ac:dyDescent="0.35">
      <c r="A12" s="10"/>
      <c r="B12" s="305">
        <f t="shared" si="4"/>
        <v>2003</v>
      </c>
      <c r="C12" s="224">
        <f t="shared" si="0"/>
        <v>20482.742023999999</v>
      </c>
      <c r="D12" s="226">
        <f t="shared" si="0"/>
        <v>20256.345930087999</v>
      </c>
      <c r="E12" s="223">
        <f t="shared" si="1"/>
        <v>47.144951138866027</v>
      </c>
      <c r="F12" s="223">
        <f t="shared" si="2"/>
        <v>435.1601356966579</v>
      </c>
      <c r="G12" s="223">
        <f t="shared" si="2"/>
        <v>268.61155945999997</v>
      </c>
      <c r="H12" s="223">
        <f t="shared" si="2"/>
        <v>1090.2474957592804</v>
      </c>
      <c r="I12" s="223">
        <f t="shared" si="2"/>
        <v>780.28140099999985</v>
      </c>
      <c r="J12" s="386">
        <f t="shared" si="3"/>
        <v>7.913384597771099E-2</v>
      </c>
      <c r="K12" s="223">
        <f t="shared" si="5"/>
        <v>19.191914948000001</v>
      </c>
      <c r="L12" s="223">
        <f t="shared" si="6"/>
        <v>514.15353119280724</v>
      </c>
      <c r="M12" s="224">
        <f t="shared" ref="M12:M17" si="8">C12+E12+F12+G12+H12+I12+K12+L12</f>
        <v>23637.533013195611</v>
      </c>
      <c r="N12" s="390">
        <f t="shared" si="7"/>
        <v>0.86653467654875593</v>
      </c>
      <c r="O12" s="387"/>
      <c r="P12" s="388"/>
      <c r="R12" s="12"/>
    </row>
    <row r="13" spans="1:18" ht="18" customHeight="1" x14ac:dyDescent="0.35">
      <c r="A13" s="10"/>
      <c r="B13" s="305">
        <f t="shared" si="4"/>
        <v>2004</v>
      </c>
      <c r="C13" s="224">
        <f t="shared" si="0"/>
        <v>25199.734199999999</v>
      </c>
      <c r="D13" s="226">
        <f t="shared" si="0"/>
        <v>24956.822641547013</v>
      </c>
      <c r="E13" s="223">
        <f t="shared" si="1"/>
        <v>57.734960138816383</v>
      </c>
      <c r="F13" s="223">
        <f t="shared" si="2"/>
        <v>458.45183611201912</v>
      </c>
      <c r="G13" s="223">
        <f t="shared" si="2"/>
        <v>225.13289893000001</v>
      </c>
      <c r="H13" s="223">
        <f t="shared" si="2"/>
        <v>1456.7039673253794</v>
      </c>
      <c r="I13" s="223">
        <f t="shared" si="2"/>
        <v>952.71685706900007</v>
      </c>
      <c r="J13" s="386">
        <f t="shared" si="3"/>
        <v>8.3226618765446514E-2</v>
      </c>
      <c r="K13" s="223">
        <f t="shared" si="5"/>
        <v>30.311702650000001</v>
      </c>
      <c r="L13" s="223">
        <f t="shared" si="6"/>
        <v>569.33626850588064</v>
      </c>
      <c r="M13" s="224">
        <f t="shared" si="8"/>
        <v>28950.122690731096</v>
      </c>
      <c r="N13" s="390">
        <f t="shared" si="7"/>
        <v>0.87045345089567272</v>
      </c>
      <c r="O13" s="387"/>
      <c r="P13" s="388"/>
      <c r="R13" s="12"/>
    </row>
    <row r="14" spans="1:18" ht="18" customHeight="1" x14ac:dyDescent="0.35">
      <c r="A14" s="10"/>
      <c r="B14" s="305">
        <f t="shared" si="4"/>
        <v>2005</v>
      </c>
      <c r="C14" s="224">
        <f t="shared" si="0"/>
        <v>28162.657999999999</v>
      </c>
      <c r="D14" s="226">
        <f t="shared" si="0"/>
        <v>27763.89078199305</v>
      </c>
      <c r="E14" s="223">
        <f t="shared" si="1"/>
        <v>74.650012905922679</v>
      </c>
      <c r="F14" s="223">
        <f t="shared" si="2"/>
        <v>393.80633805724608</v>
      </c>
      <c r="G14" s="223">
        <f t="shared" si="2"/>
        <v>456.19876069999998</v>
      </c>
      <c r="H14" s="223">
        <f t="shared" si="2"/>
        <v>1591.9923332375652</v>
      </c>
      <c r="I14" s="223">
        <f t="shared" si="2"/>
        <v>1119.2626486999998</v>
      </c>
      <c r="J14" s="386">
        <f t="shared" si="3"/>
        <v>8.3684243327157723E-2</v>
      </c>
      <c r="K14" s="223">
        <f t="shared" si="5"/>
        <v>40.871858890000006</v>
      </c>
      <c r="L14" s="223">
        <f t="shared" si="6"/>
        <v>559.19178679741924</v>
      </c>
      <c r="M14" s="224">
        <f t="shared" si="8"/>
        <v>32398.631739288154</v>
      </c>
      <c r="N14" s="390">
        <f t="shared" si="7"/>
        <v>0.8692545483594788</v>
      </c>
      <c r="O14" s="387"/>
      <c r="P14" s="388"/>
      <c r="R14" s="12"/>
    </row>
    <row r="15" spans="1:18" ht="18" customHeight="1" x14ac:dyDescent="0.35">
      <c r="A15" s="10"/>
      <c r="B15" s="305">
        <f t="shared" si="4"/>
        <v>2006</v>
      </c>
      <c r="C15" s="224">
        <f t="shared" si="0"/>
        <v>35459.047729999998</v>
      </c>
      <c r="D15" s="226">
        <f t="shared" si="0"/>
        <v>34691.748859777043</v>
      </c>
      <c r="E15" s="223">
        <f t="shared" si="1"/>
        <v>103.84102854373604</v>
      </c>
      <c r="F15" s="223">
        <f t="shared" si="2"/>
        <v>515.67033363580447</v>
      </c>
      <c r="G15" s="223">
        <f t="shared" si="2"/>
        <v>429.84205400000002</v>
      </c>
      <c r="H15" s="223">
        <f t="shared" si="2"/>
        <v>2141.7476486000824</v>
      </c>
      <c r="I15" s="223">
        <f t="shared" si="2"/>
        <v>1430.8112389999997</v>
      </c>
      <c r="J15" s="386">
        <f t="shared" si="3"/>
        <v>8.7709776995431074E-2</v>
      </c>
      <c r="K15" s="223">
        <f t="shared" si="5"/>
        <v>51.59445023</v>
      </c>
      <c r="L15" s="223">
        <f t="shared" si="6"/>
        <v>599.03793340334141</v>
      </c>
      <c r="M15" s="224">
        <f t="shared" si="8"/>
        <v>40731.592417412961</v>
      </c>
      <c r="N15" s="390">
        <f t="shared" si="7"/>
        <v>0.87055392695231515</v>
      </c>
      <c r="O15" s="387"/>
      <c r="P15" s="388"/>
      <c r="R15" s="12"/>
    </row>
    <row r="16" spans="1:18" ht="18" customHeight="1" x14ac:dyDescent="0.35">
      <c r="A16" s="10"/>
      <c r="B16" s="305">
        <f t="shared" si="4"/>
        <v>2007</v>
      </c>
      <c r="C16" s="224">
        <f t="shared" si="0"/>
        <v>42411.353929999997</v>
      </c>
      <c r="D16" s="226">
        <f t="shared" si="0"/>
        <v>41564.600764075192</v>
      </c>
      <c r="E16" s="223">
        <f t="shared" si="1"/>
        <v>167.83476400244012</v>
      </c>
      <c r="F16" s="223">
        <f t="shared" si="2"/>
        <v>626.32967369446874</v>
      </c>
      <c r="G16" s="223">
        <f t="shared" si="2"/>
        <v>619.19511699999998</v>
      </c>
      <c r="H16" s="223">
        <f t="shared" si="2"/>
        <v>2846.5286226129128</v>
      </c>
      <c r="I16" s="223">
        <f t="shared" si="2"/>
        <v>1867.1529726000003</v>
      </c>
      <c r="J16" s="386">
        <f t="shared" si="3"/>
        <v>9.560940680522266E-2</v>
      </c>
      <c r="K16" s="223">
        <f t="shared" si="5"/>
        <v>93.439093140000011</v>
      </c>
      <c r="L16" s="223">
        <f t="shared" si="6"/>
        <v>669.60752311839099</v>
      </c>
      <c r="M16" s="224">
        <f t="shared" si="8"/>
        <v>49301.441696168207</v>
      </c>
      <c r="N16" s="390">
        <f t="shared" si="7"/>
        <v>0.86024571434178321</v>
      </c>
      <c r="O16" s="387"/>
      <c r="P16" s="388"/>
      <c r="R16" s="12"/>
    </row>
    <row r="17" spans="1:18" ht="18" customHeight="1" x14ac:dyDescent="0.35">
      <c r="A17" s="10"/>
      <c r="B17" s="305">
        <f t="shared" si="4"/>
        <v>2008</v>
      </c>
      <c r="C17" s="224">
        <f t="shared" si="0"/>
        <v>34646.626470000003</v>
      </c>
      <c r="D17" s="226">
        <f t="shared" si="0"/>
        <v>34497.057248001001</v>
      </c>
      <c r="E17" s="223">
        <f t="shared" si="1"/>
        <v>123.45480460190474</v>
      </c>
      <c r="F17" s="223">
        <f t="shared" si="2"/>
        <v>606.70993923840626</v>
      </c>
      <c r="G17" s="223">
        <f t="shared" si="2"/>
        <v>523.33192151000003</v>
      </c>
      <c r="H17" s="223">
        <f t="shared" si="2"/>
        <v>2241.2158235294119</v>
      </c>
      <c r="I17" s="223">
        <f t="shared" si="2"/>
        <v>1226.6510284000001</v>
      </c>
      <c r="J17" s="386">
        <f t="shared" si="3"/>
        <v>8.6486339092561329E-2</v>
      </c>
      <c r="K17" s="223">
        <f t="shared" si="5"/>
        <v>58.478970910000001</v>
      </c>
      <c r="L17" s="223">
        <f>L27+L37</f>
        <v>670.80985272115117</v>
      </c>
      <c r="M17" s="224">
        <f t="shared" si="8"/>
        <v>40097.278810910873</v>
      </c>
      <c r="N17" s="390">
        <f t="shared" si="7"/>
        <v>0.8640642830997376</v>
      </c>
      <c r="O17" s="387"/>
      <c r="P17" s="388"/>
      <c r="R17" s="12"/>
    </row>
    <row r="18" spans="1:18" ht="18" customHeight="1" x14ac:dyDescent="0.25">
      <c r="A18" s="10"/>
      <c r="B18" s="305"/>
      <c r="C18" s="645" t="s">
        <v>278</v>
      </c>
      <c r="D18" s="645"/>
      <c r="E18" s="645"/>
      <c r="F18" s="645"/>
      <c r="G18" s="645"/>
      <c r="H18" s="645"/>
      <c r="I18" s="645"/>
      <c r="J18" s="645"/>
      <c r="K18" s="645"/>
      <c r="L18" s="645"/>
      <c r="M18" s="645"/>
      <c r="N18" s="645"/>
      <c r="O18" s="645"/>
      <c r="P18" s="675"/>
    </row>
    <row r="19" spans="1:18" ht="18" customHeight="1" x14ac:dyDescent="0.25">
      <c r="A19" s="10"/>
      <c r="B19" s="305"/>
      <c r="C19" s="647"/>
      <c r="D19" s="647"/>
      <c r="E19" s="647"/>
      <c r="F19" s="647"/>
      <c r="G19" s="647"/>
      <c r="H19" s="647"/>
      <c r="I19" s="647"/>
      <c r="J19" s="647"/>
      <c r="K19" s="647"/>
      <c r="L19" s="647"/>
      <c r="M19" s="647"/>
      <c r="N19" s="647"/>
      <c r="O19" s="647"/>
      <c r="P19" s="676"/>
    </row>
    <row r="20" spans="1:18" ht="18" customHeight="1" x14ac:dyDescent="0.35">
      <c r="A20" s="10"/>
      <c r="B20" s="305">
        <v>2001</v>
      </c>
      <c r="C20" s="224">
        <f>(RawDataSources!AS41)/1000</f>
        <v>6369.7174809999997</v>
      </c>
      <c r="D20" s="226">
        <f>RawDataSources!AQ41/1000</f>
        <v>5566.1955264299004</v>
      </c>
      <c r="E20" s="226"/>
      <c r="F20" s="223">
        <f>RawDataSources!AU41/1000</f>
        <v>6.6351042764050803</v>
      </c>
      <c r="G20" s="223">
        <f>'Table A12'!M8</f>
        <v>34.081699190000002</v>
      </c>
      <c r="H20" s="223">
        <f t="array" ref="H20:H27">TRANSPOSE('Table A6'!D31:K31)</f>
        <v>319.1125321322088</v>
      </c>
      <c r="I20" s="223">
        <f t="array" ref="I20:I27">TRANSPOSE('Table A10'!D15:K15)-TRANSPOSE('Table A10'!D8:K8)</f>
        <v>383.61875559999999</v>
      </c>
      <c r="J20" s="386">
        <f t="shared" ref="J20:J27" si="9">(H20+I20)/M20</f>
        <v>9.8611426710024666E-2</v>
      </c>
      <c r="K20" s="223">
        <f>RawDataSources!DE41/1000</f>
        <v>9.6685804000000015</v>
      </c>
      <c r="L20" s="223">
        <f>RawDataSources!DC41/1000</f>
        <v>3.43215524672644</v>
      </c>
      <c r="M20" s="224">
        <f t="shared" ref="M20:M27" si="10">C20+F20+G20+H20+I20+K20+L20</f>
        <v>7126.2663078453397</v>
      </c>
      <c r="N20" s="390">
        <f>C20/M20</f>
        <v>0.89383657666393246</v>
      </c>
      <c r="O20" s="387"/>
      <c r="P20" s="388"/>
    </row>
    <row r="21" spans="1:18" ht="18" customHeight="1" x14ac:dyDescent="0.35">
      <c r="A21" s="10"/>
      <c r="B21" s="305">
        <f t="shared" si="4"/>
        <v>2002</v>
      </c>
      <c r="C21" s="224">
        <f>(RawDataSources!AS42)/1000</f>
        <v>5863.2300580000001</v>
      </c>
      <c r="D21" s="226">
        <f>RawDataSources!AQ42/1000</f>
        <v>5789.6630164710004</v>
      </c>
      <c r="E21" s="226"/>
      <c r="F21" s="223">
        <f>RawDataSources!AU42/1000</f>
        <v>8.1766734457595014</v>
      </c>
      <c r="G21" s="223">
        <f>'Table A12'!M9</f>
        <v>39.650185729999997</v>
      </c>
      <c r="H21" s="223">
        <v>386.27653350894144</v>
      </c>
      <c r="I21" s="223">
        <v>359.05777972859988</v>
      </c>
      <c r="J21" s="386">
        <f t="shared" si="9"/>
        <v>0.11166224422556824</v>
      </c>
      <c r="K21" s="223">
        <f>RawDataSources!DE42/1000</f>
        <v>9.4675302030000008</v>
      </c>
      <c r="L21" s="223">
        <f>RawDataSources!DC42/1000</f>
        <v>9.0412327233983714</v>
      </c>
      <c r="M21" s="224">
        <f t="shared" si="10"/>
        <v>6674.899993339699</v>
      </c>
      <c r="N21" s="390">
        <f t="shared" ref="N21:N27" si="11">C21/M21</f>
        <v>0.87839968596539375</v>
      </c>
      <c r="O21" s="387"/>
      <c r="P21" s="388"/>
    </row>
    <row r="22" spans="1:18" ht="18" customHeight="1" x14ac:dyDescent="0.35">
      <c r="A22" s="10"/>
      <c r="B22" s="305">
        <f t="shared" si="4"/>
        <v>2003</v>
      </c>
      <c r="C22" s="224">
        <f>(RawDataSources!AS43)/1000</f>
        <v>8339.6883739999994</v>
      </c>
      <c r="D22" s="226">
        <f>RawDataSources!AQ43/1000</f>
        <v>8135.3755651740003</v>
      </c>
      <c r="E22" s="226"/>
      <c r="F22" s="223">
        <f>RawDataSources!AU43/1000</f>
        <v>10.898422008522727</v>
      </c>
      <c r="G22" s="223">
        <f>'Table A12'!M10</f>
        <v>62.790861159999999</v>
      </c>
      <c r="H22" s="223">
        <v>561.19219575928037</v>
      </c>
      <c r="I22" s="223">
        <v>493.68008949999989</v>
      </c>
      <c r="J22" s="386">
        <f t="shared" si="9"/>
        <v>0.11120482442710616</v>
      </c>
      <c r="K22" s="223">
        <f>RawDataSources!DE43/1000</f>
        <v>9.3965395750000003</v>
      </c>
      <c r="L22" s="223">
        <f>RawDataSources!DC43/1000</f>
        <v>8.2035311928072989</v>
      </c>
      <c r="M22" s="224">
        <f t="shared" si="10"/>
        <v>9485.850013195608</v>
      </c>
      <c r="N22" s="390">
        <f t="shared" si="11"/>
        <v>0.87917143560132172</v>
      </c>
      <c r="O22" s="387"/>
      <c r="P22" s="388"/>
    </row>
    <row r="23" spans="1:18" ht="18" customHeight="1" x14ac:dyDescent="0.35">
      <c r="A23" s="10"/>
      <c r="B23" s="305">
        <f t="shared" si="4"/>
        <v>2004</v>
      </c>
      <c r="C23" s="224">
        <f>(RawDataSources!AS44)/1000</f>
        <v>10222.68813</v>
      </c>
      <c r="D23" s="226">
        <f>RawDataSources!AQ44/1000</f>
        <v>10020.6176890645</v>
      </c>
      <c r="E23" s="226"/>
      <c r="F23" s="223">
        <f>RawDataSources!AU44/1000</f>
        <v>11.989212160836846</v>
      </c>
      <c r="G23" s="223">
        <f>'Table A12'!M11</f>
        <v>94.875301130000011</v>
      </c>
      <c r="H23" s="223">
        <v>783.76226732537941</v>
      </c>
      <c r="I23" s="223">
        <v>625.68660306900017</v>
      </c>
      <c r="J23" s="386">
        <f t="shared" si="9"/>
        <v>0.11975018563688151</v>
      </c>
      <c r="K23" s="223">
        <f>RawDataSources!DE44/1000</f>
        <v>16.09590854</v>
      </c>
      <c r="L23" s="223">
        <f>RawDataSources!DC44/1000</f>
        <v>14.812268505880599</v>
      </c>
      <c r="M23" s="224">
        <f t="shared" si="10"/>
        <v>11769.909690731098</v>
      </c>
      <c r="N23" s="390">
        <f t="shared" si="11"/>
        <v>0.8685443133051779</v>
      </c>
      <c r="O23" s="387"/>
      <c r="P23" s="388"/>
    </row>
    <row r="24" spans="1:18" ht="18" customHeight="1" x14ac:dyDescent="0.35">
      <c r="A24" s="10"/>
      <c r="B24" s="305">
        <f t="shared" si="4"/>
        <v>2005</v>
      </c>
      <c r="C24" s="224">
        <f>(RawDataSources!AS45)/1000</f>
        <v>12180.38898</v>
      </c>
      <c r="D24" s="226">
        <f>RawDataSources!AQ45/1000</f>
        <v>11810.787926664099</v>
      </c>
      <c r="E24" s="226"/>
      <c r="F24" s="223">
        <f>RawDataSources!AU45/1000</f>
        <v>11.137549503169256</v>
      </c>
      <c r="G24" s="223">
        <f>'Table A12'!M12</f>
        <v>300.51186200000001</v>
      </c>
      <c r="H24" s="223">
        <v>856.52873323756535</v>
      </c>
      <c r="I24" s="223">
        <v>757.20270770000002</v>
      </c>
      <c r="J24" s="386">
        <f t="shared" si="9"/>
        <v>0.11412136646588555</v>
      </c>
      <c r="K24" s="223">
        <f>RawDataSources!DE45/1000</f>
        <v>18.761120050000002</v>
      </c>
      <c r="L24" s="223">
        <f>RawDataSources!DC45/1000</f>
        <v>15.9537867974193</v>
      </c>
      <c r="M24" s="224">
        <f t="shared" si="10"/>
        <v>14140.484739288153</v>
      </c>
      <c r="N24" s="390">
        <f t="shared" si="11"/>
        <v>0.86138411833632611</v>
      </c>
      <c r="O24" s="387"/>
      <c r="P24" s="388"/>
    </row>
    <row r="25" spans="1:18" ht="18" customHeight="1" x14ac:dyDescent="0.35">
      <c r="A25" s="10"/>
      <c r="B25" s="305">
        <f t="shared" si="4"/>
        <v>2006</v>
      </c>
      <c r="C25" s="224">
        <f>(RawDataSources!AS46)/1000</f>
        <v>16005.88832</v>
      </c>
      <c r="D25" s="226">
        <f>RawDataSources!AQ46/1000</f>
        <v>15337.555095799</v>
      </c>
      <c r="E25" s="226"/>
      <c r="F25" s="223">
        <f>RawDataSources!AU46/1000</f>
        <v>42.537807799541973</v>
      </c>
      <c r="G25" s="223">
        <f>'Table A12'!M13</f>
        <v>260.82034950000002</v>
      </c>
      <c r="H25" s="223">
        <v>1195.0448486000823</v>
      </c>
      <c r="I25" s="223">
        <v>988.31683899999962</v>
      </c>
      <c r="J25" s="386">
        <f t="shared" si="9"/>
        <v>0.11782381400772943</v>
      </c>
      <c r="K25" s="223">
        <f>RawDataSources!DE46/1000</f>
        <v>25.641319110000001</v>
      </c>
      <c r="L25" s="223">
        <f>RawDataSources!DC46/1000</f>
        <v>12.4839334033413</v>
      </c>
      <c r="M25" s="224">
        <f t="shared" si="10"/>
        <v>18530.733417412968</v>
      </c>
      <c r="N25" s="390">
        <f t="shared" si="11"/>
        <v>0.86374823702118442</v>
      </c>
      <c r="O25" s="387"/>
      <c r="P25" s="388"/>
    </row>
    <row r="26" spans="1:18" ht="18" customHeight="1" x14ac:dyDescent="0.35">
      <c r="A26" s="10"/>
      <c r="B26" s="305">
        <f t="shared" si="4"/>
        <v>2007</v>
      </c>
      <c r="C26" s="224">
        <f>(RawDataSources!AS47)/1000</f>
        <v>19195.122440000003</v>
      </c>
      <c r="D26" s="226">
        <f>RawDataSources!AQ47/1000</f>
        <v>18281.581896102995</v>
      </c>
      <c r="E26" s="226"/>
      <c r="F26" s="223">
        <f>RawDataSources!AU47/1000</f>
        <v>18.458653146906755</v>
      </c>
      <c r="G26" s="223">
        <f>'Table A12'!M14</f>
        <v>469.82941310000001</v>
      </c>
      <c r="H26" s="223">
        <v>1669.395622612913</v>
      </c>
      <c r="I26" s="223">
        <v>1304.0603316000002</v>
      </c>
      <c r="J26" s="386">
        <f t="shared" si="9"/>
        <v>0.13092717290003641</v>
      </c>
      <c r="K26" s="223">
        <f>RawDataSources!DE47/1000</f>
        <v>43.430712590000006</v>
      </c>
      <c r="L26" s="223">
        <f>RawDataSources!DC47/1000</f>
        <v>10.465523118390999</v>
      </c>
      <c r="M26" s="224">
        <f t="shared" si="10"/>
        <v>22710.762696168214</v>
      </c>
      <c r="N26" s="390">
        <f t="shared" si="11"/>
        <v>0.84519937515082333</v>
      </c>
      <c r="O26" s="387"/>
      <c r="P26" s="388"/>
    </row>
    <row r="27" spans="1:18" ht="18" customHeight="1" x14ac:dyDescent="0.35">
      <c r="A27" s="10"/>
      <c r="B27" s="305">
        <f t="shared" si="4"/>
        <v>2008</v>
      </c>
      <c r="C27" s="224">
        <f>(RawDataSources!AS48)/1000</f>
        <v>11288.275869999999</v>
      </c>
      <c r="D27" s="226">
        <f>RawDataSources!AQ48/1000</f>
        <v>11144.506717460999</v>
      </c>
      <c r="E27" s="226"/>
      <c r="F27" s="223">
        <f>RawDataSources!AU48/1000</f>
        <v>14.309452700314287</v>
      </c>
      <c r="G27" s="223">
        <f>'Table A12'!M15</f>
        <v>472.30635840000002</v>
      </c>
      <c r="H27" s="223">
        <v>1105.9018235294118</v>
      </c>
      <c r="I27" s="223">
        <v>747.63122940000017</v>
      </c>
      <c r="J27" s="386">
        <f t="shared" si="9"/>
        <v>0.13566700413241323</v>
      </c>
      <c r="K27" s="223">
        <f>RawDataSources!DE48/1000</f>
        <v>20.45822416</v>
      </c>
      <c r="L27" s="223">
        <f>RawDataSources!DC48/1000</f>
        <v>13.488852721151101</v>
      </c>
      <c r="M27" s="224">
        <f t="shared" si="10"/>
        <v>13662.371810910876</v>
      </c>
      <c r="N27" s="390">
        <f t="shared" si="11"/>
        <v>0.82623105462443169</v>
      </c>
      <c r="O27" s="387"/>
      <c r="P27" s="388"/>
    </row>
    <row r="28" spans="1:18" ht="18" customHeight="1" x14ac:dyDescent="0.25">
      <c r="A28" s="10"/>
      <c r="B28" s="305"/>
      <c r="C28" s="645" t="s">
        <v>279</v>
      </c>
      <c r="D28" s="645"/>
      <c r="E28" s="645"/>
      <c r="F28" s="645"/>
      <c r="G28" s="645"/>
      <c r="H28" s="645"/>
      <c r="I28" s="645"/>
      <c r="J28" s="645"/>
      <c r="K28" s="645"/>
      <c r="L28" s="645"/>
      <c r="M28" s="645"/>
      <c r="N28" s="645"/>
      <c r="O28" s="645"/>
      <c r="P28" s="675"/>
    </row>
    <row r="29" spans="1:18" ht="18" customHeight="1" x14ac:dyDescent="0.25">
      <c r="A29" s="10"/>
      <c r="B29" s="305"/>
      <c r="C29" s="647"/>
      <c r="D29" s="647"/>
      <c r="E29" s="647"/>
      <c r="F29" s="647"/>
      <c r="G29" s="647"/>
      <c r="H29" s="647"/>
      <c r="I29" s="647"/>
      <c r="J29" s="647"/>
      <c r="K29" s="647"/>
      <c r="L29" s="647"/>
      <c r="M29" s="647"/>
      <c r="N29" s="647"/>
      <c r="O29" s="647"/>
      <c r="P29" s="676"/>
    </row>
    <row r="30" spans="1:18" ht="18" customHeight="1" x14ac:dyDescent="0.35">
      <c r="A30" s="10"/>
      <c r="B30" s="305">
        <v>2001</v>
      </c>
      <c r="C30" s="224">
        <f>(RawDataSources!AT41)/1000</f>
        <v>7685.743982</v>
      </c>
      <c r="D30" s="226">
        <f>RawDataSources!AR41/1000</f>
        <v>7578.168866934001</v>
      </c>
      <c r="E30" s="223">
        <f>(RawDataSources!AY41+RawDataSources!AZ41)/1000</f>
        <v>35.256787227941011</v>
      </c>
      <c r="F30" s="223">
        <f>RawDataSources!AV41/1000</f>
        <v>258.29617430906103</v>
      </c>
      <c r="G30" s="223">
        <f>'Table A12'!M19</f>
        <v>208.22617310000001</v>
      </c>
      <c r="H30" s="223">
        <f t="array" ref="H30:H37">TRANSPOSE('Table A6'!D28:K28)</f>
        <v>389.262</v>
      </c>
      <c r="I30" s="223">
        <f t="array" ref="I30:I37">TRANSPOSE('Table A11'!D15:K15)-TRANSPOSE('Table A11'!D8:K8)</f>
        <v>179.4431199</v>
      </c>
      <c r="J30" s="386">
        <f t="shared" ref="J30:J37" si="12">(H30+I30)/M30</f>
        <v>6.2178878275582126E-2</v>
      </c>
      <c r="K30" s="223">
        <f>RawDataSources!DF41/1000</f>
        <v>7.3727634630000001</v>
      </c>
      <c r="L30" s="223">
        <f>RawDataSources!CY41+RawDataSources!CZ41</f>
        <v>382.67400000000004</v>
      </c>
      <c r="M30" s="224">
        <f t="shared" ref="M30:M37" si="13">C30+F30+G30+H30+I30+K30+L30+E30</f>
        <v>9146.2750000000015</v>
      </c>
      <c r="N30" s="390">
        <f>C30/M30</f>
        <v>0.84031411498123543</v>
      </c>
      <c r="O30" s="226">
        <f>RawDataSources!CW41</f>
        <v>7597.4269999999997</v>
      </c>
      <c r="P30" s="391">
        <f t="shared" ref="P30:P37" si="14">D30/O30</f>
        <v>0.99746517695188142</v>
      </c>
    </row>
    <row r="31" spans="1:18" ht="18" customHeight="1" x14ac:dyDescent="0.35">
      <c r="A31" s="10"/>
      <c r="B31" s="305">
        <f t="shared" si="4"/>
        <v>2002</v>
      </c>
      <c r="C31" s="224">
        <f>(RawDataSources!AT42)/1000</f>
        <v>9468.9884779999993</v>
      </c>
      <c r="D31" s="226">
        <f>RawDataSources!AR42/1000</f>
        <v>9443.2760894500007</v>
      </c>
      <c r="E31" s="223">
        <f>(RawDataSources!AY42+RawDataSources!AZ42)/1000</f>
        <v>30.771808203336448</v>
      </c>
      <c r="F31" s="223">
        <f>RawDataSources!AV42/1000</f>
        <v>318.3075022836652</v>
      </c>
      <c r="G31" s="223">
        <f>'Table A12'!M20</f>
        <v>158.76868350000001</v>
      </c>
      <c r="H31" s="223">
        <v>451.83199999999999</v>
      </c>
      <c r="I31" s="223">
        <v>206.08164330000022</v>
      </c>
      <c r="J31" s="386">
        <f t="shared" si="12"/>
        <v>5.9383289776862837E-2</v>
      </c>
      <c r="K31" s="223">
        <f>RawDataSources!DF42/1000</f>
        <v>7.8848847129999999</v>
      </c>
      <c r="L31" s="223">
        <f>RawDataSources!CY42+RawDataSources!CZ42</f>
        <v>436.46899999999999</v>
      </c>
      <c r="M31" s="224">
        <f t="shared" si="13"/>
        <v>11079.104000000001</v>
      </c>
      <c r="N31" s="390">
        <f t="shared" ref="N31:N37" si="15">C31/M31</f>
        <v>0.85467096238107321</v>
      </c>
      <c r="O31" s="226">
        <f>RawDataSources!CW42</f>
        <v>9272.152</v>
      </c>
      <c r="P31" s="391">
        <f t="shared" si="14"/>
        <v>1.0184557036435555</v>
      </c>
    </row>
    <row r="32" spans="1:18" ht="18" customHeight="1" x14ac:dyDescent="0.35">
      <c r="A32" s="10"/>
      <c r="B32" s="305">
        <f t="shared" si="4"/>
        <v>2003</v>
      </c>
      <c r="C32" s="224">
        <f>(RawDataSources!AT43)/1000</f>
        <v>12143.05365</v>
      </c>
      <c r="D32" s="226">
        <f>RawDataSources!AR43/1000</f>
        <v>12120.970364913999</v>
      </c>
      <c r="E32" s="223">
        <f>(RawDataSources!AY43+RawDataSources!AZ43)/1000</f>
        <v>47.144951138866027</v>
      </c>
      <c r="F32" s="223">
        <f>RawDataSources!AV43/1000</f>
        <v>424.26171368813516</v>
      </c>
      <c r="G32" s="223">
        <f>'Table A12'!M21</f>
        <v>205.82069829999998</v>
      </c>
      <c r="H32" s="223">
        <v>529.0553000000001</v>
      </c>
      <c r="I32" s="223">
        <v>286.60131149999995</v>
      </c>
      <c r="J32" s="386">
        <f t="shared" si="12"/>
        <v>5.7636721476873105E-2</v>
      </c>
      <c r="K32" s="223">
        <f>RawDataSources!DF43/1000</f>
        <v>9.7953753730000006</v>
      </c>
      <c r="L32" s="223">
        <f>RawDataSources!CY43+RawDataSources!CZ43</f>
        <v>505.95</v>
      </c>
      <c r="M32" s="224">
        <f t="shared" si="13"/>
        <v>14151.683000000001</v>
      </c>
      <c r="N32" s="390">
        <f t="shared" si="15"/>
        <v>0.85806427758451054</v>
      </c>
      <c r="O32" s="226">
        <f>RawDataSources!CW43</f>
        <v>11702.099</v>
      </c>
      <c r="P32" s="391">
        <f t="shared" si="14"/>
        <v>1.0357945497567573</v>
      </c>
    </row>
    <row r="33" spans="1:16" ht="18" customHeight="1" x14ac:dyDescent="0.35">
      <c r="A33" s="10"/>
      <c r="B33" s="305">
        <f t="shared" si="4"/>
        <v>2004</v>
      </c>
      <c r="C33" s="224">
        <f>(RawDataSources!AT44)/1000</f>
        <v>14977.04607</v>
      </c>
      <c r="D33" s="226">
        <f>RawDataSources!AR44/1000</f>
        <v>14936.204952482511</v>
      </c>
      <c r="E33" s="223">
        <f>(RawDataSources!AY44+RawDataSources!AZ44)/1000</f>
        <v>57.734960138816383</v>
      </c>
      <c r="F33" s="223">
        <f>RawDataSources!AV44/1000</f>
        <v>446.46262395118225</v>
      </c>
      <c r="G33" s="223">
        <f>'Table A12'!M22</f>
        <v>130.25759780000001</v>
      </c>
      <c r="H33" s="223">
        <v>672.94169999999997</v>
      </c>
      <c r="I33" s="223">
        <v>327.0302539999999</v>
      </c>
      <c r="J33" s="386">
        <f t="shared" si="12"/>
        <v>5.8204863583472446E-2</v>
      </c>
      <c r="K33" s="223">
        <f>RawDataSources!DF44/1000</f>
        <v>14.215794110000001</v>
      </c>
      <c r="L33" s="223">
        <f>RawDataSources!CY44+RawDataSources!CZ44</f>
        <v>554.524</v>
      </c>
      <c r="M33" s="224">
        <f t="shared" si="13"/>
        <v>17180.213</v>
      </c>
      <c r="N33" s="390">
        <f t="shared" si="15"/>
        <v>0.87176137280719401</v>
      </c>
      <c r="O33" s="226">
        <f>RawDataSources!CW44</f>
        <v>13934.547</v>
      </c>
      <c r="P33" s="391">
        <f t="shared" si="14"/>
        <v>1.0718830653398714</v>
      </c>
    </row>
    <row r="34" spans="1:16" ht="18" customHeight="1" x14ac:dyDescent="0.35">
      <c r="A34" s="10"/>
      <c r="B34" s="305">
        <f t="shared" si="4"/>
        <v>2005</v>
      </c>
      <c r="C34" s="224">
        <f>(RawDataSources!AT45)/1000</f>
        <v>15982.26902</v>
      </c>
      <c r="D34" s="226">
        <f>RawDataSources!AR45/1000</f>
        <v>15953.102855328951</v>
      </c>
      <c r="E34" s="223">
        <f>(RawDataSources!AY45+RawDataSources!AZ45)/1000</f>
        <v>74.650012905922679</v>
      </c>
      <c r="F34" s="223">
        <f>RawDataSources!AV45/1000</f>
        <v>382.6687885540768</v>
      </c>
      <c r="G34" s="223">
        <f>'Table A12'!M23</f>
        <v>155.6868987</v>
      </c>
      <c r="H34" s="223">
        <v>735.46359999999993</v>
      </c>
      <c r="I34" s="223">
        <v>362.05994099999987</v>
      </c>
      <c r="J34" s="386">
        <f t="shared" si="12"/>
        <v>6.011144181279731E-2</v>
      </c>
      <c r="K34" s="223">
        <f>RawDataSources!DF45/1000</f>
        <v>22.110738840000003</v>
      </c>
      <c r="L34" s="223">
        <f>RawDataSources!CY45+RawDataSources!CZ45</f>
        <v>543.23799999999994</v>
      </c>
      <c r="M34" s="224">
        <f t="shared" si="13"/>
        <v>18258.147000000001</v>
      </c>
      <c r="N34" s="390">
        <f t="shared" si="15"/>
        <v>0.87535000238523653</v>
      </c>
      <c r="O34" s="226">
        <f>RawDataSources!CW45</f>
        <v>14600.468999999999</v>
      </c>
      <c r="P34" s="391">
        <f t="shared" si="14"/>
        <v>1.092643178471113</v>
      </c>
    </row>
    <row r="35" spans="1:16" ht="18" customHeight="1" x14ac:dyDescent="0.35">
      <c r="A35" s="10"/>
      <c r="B35" s="305">
        <f t="shared" si="4"/>
        <v>2006</v>
      </c>
      <c r="C35" s="224">
        <f>(RawDataSources!AT46)/1000</f>
        <v>19453.15941</v>
      </c>
      <c r="D35" s="226">
        <f>RawDataSources!AR46/1000</f>
        <v>19354.193763978041</v>
      </c>
      <c r="E35" s="223">
        <f>(RawDataSources!AY46+RawDataSources!AZ46)/1000</f>
        <v>103.84102854373604</v>
      </c>
      <c r="F35" s="223">
        <f>RawDataSources!AV46/1000</f>
        <v>473.13252583626252</v>
      </c>
      <c r="G35" s="223">
        <f>'Table A12'!M24</f>
        <v>169.0217045</v>
      </c>
      <c r="H35" s="223">
        <v>946.70280000000002</v>
      </c>
      <c r="I35" s="223">
        <v>442.49440000000004</v>
      </c>
      <c r="J35" s="386">
        <f t="shared" si="12"/>
        <v>6.2574029230130251E-2</v>
      </c>
      <c r="K35" s="223">
        <f>RawDataSources!DF46/1000</f>
        <v>25.953131119999998</v>
      </c>
      <c r="L35" s="223">
        <f>RawDataSources!CY46+RawDataSources!CZ46</f>
        <v>586.55400000000009</v>
      </c>
      <c r="M35" s="224">
        <f t="shared" si="13"/>
        <v>22200.858999999997</v>
      </c>
      <c r="N35" s="390">
        <f t="shared" si="15"/>
        <v>0.87623453714110811</v>
      </c>
      <c r="O35" s="226">
        <f>RawDataSources!CW46</f>
        <v>18415.078000000001</v>
      </c>
      <c r="P35" s="391">
        <f t="shared" si="14"/>
        <v>1.0509971103015714</v>
      </c>
    </row>
    <row r="36" spans="1:16" ht="18" customHeight="1" x14ac:dyDescent="0.35">
      <c r="A36" s="10"/>
      <c r="B36" s="305">
        <f t="shared" si="4"/>
        <v>2007</v>
      </c>
      <c r="C36" s="224">
        <f>(RawDataSources!AT47)/1000</f>
        <v>23216.231489999998</v>
      </c>
      <c r="D36" s="226">
        <f>RawDataSources!AR47/1000</f>
        <v>23283.018867972201</v>
      </c>
      <c r="E36" s="223">
        <f>(RawDataSources!AY47+RawDataSources!AZ47)/1000</f>
        <v>167.83476400244012</v>
      </c>
      <c r="F36" s="223">
        <f>RawDataSources!AV47/1000</f>
        <v>607.87102054756201</v>
      </c>
      <c r="G36" s="223">
        <f>'Table A12'!M25</f>
        <v>149.3657039</v>
      </c>
      <c r="H36" s="223">
        <v>1177.133</v>
      </c>
      <c r="I36" s="223">
        <v>563.09264100000019</v>
      </c>
      <c r="J36" s="386">
        <f t="shared" si="12"/>
        <v>6.5444949374929465E-2</v>
      </c>
      <c r="K36" s="223">
        <f>RawDataSources!DF47/1000</f>
        <v>50.008380549999998</v>
      </c>
      <c r="L36" s="223">
        <f>RawDataSources!CY47+RawDataSources!CZ47</f>
        <v>659.14199999999994</v>
      </c>
      <c r="M36" s="224">
        <f t="shared" si="13"/>
        <v>26590.679</v>
      </c>
      <c r="N36" s="390">
        <f t="shared" si="15"/>
        <v>0.8730966023846175</v>
      </c>
      <c r="O36" s="226">
        <f>RawDataSources!CW47</f>
        <v>22699.536</v>
      </c>
      <c r="P36" s="391">
        <f t="shared" si="14"/>
        <v>1.0257046165160468</v>
      </c>
    </row>
    <row r="37" spans="1:16" ht="18" customHeight="1" thickBot="1" x14ac:dyDescent="0.4">
      <c r="A37" s="10"/>
      <c r="B37" s="318">
        <f t="shared" si="4"/>
        <v>2008</v>
      </c>
      <c r="C37" s="228">
        <f>(RawDataSources!AT48)/1000</f>
        <v>23358.350600000002</v>
      </c>
      <c r="D37" s="229">
        <f>RawDataSources!AR48/1000</f>
        <v>23352.55053054</v>
      </c>
      <c r="E37" s="227">
        <f>(RawDataSources!AY48+RawDataSources!AZ48)/1000</f>
        <v>123.45480460190474</v>
      </c>
      <c r="F37" s="227">
        <f>RawDataSources!AV48/1000</f>
        <v>592.40048653809197</v>
      </c>
      <c r="G37" s="227">
        <f>'Table A12'!M26</f>
        <v>51.02556311</v>
      </c>
      <c r="H37" s="227">
        <v>1135.3140000000001</v>
      </c>
      <c r="I37" s="227">
        <v>479.01979899999992</v>
      </c>
      <c r="J37" s="389">
        <f t="shared" si="12"/>
        <v>6.1068260955107583E-2</v>
      </c>
      <c r="K37" s="227">
        <f>RawDataSources!DF48/1000</f>
        <v>38.020746750000001</v>
      </c>
      <c r="L37" s="227">
        <f>RawDataSources!CY48+RawDataSources!CZ48</f>
        <v>657.32100000000003</v>
      </c>
      <c r="M37" s="228">
        <f t="shared" si="13"/>
        <v>26434.906999999999</v>
      </c>
      <c r="N37" s="392">
        <f t="shared" si="15"/>
        <v>0.8836176575162531</v>
      </c>
      <c r="O37" s="229">
        <f>RawDataSources!CW48</f>
        <v>23845.355</v>
      </c>
      <c r="P37" s="393">
        <f t="shared" si="14"/>
        <v>0.9793333137854312</v>
      </c>
    </row>
    <row r="38" spans="1:16" ht="13.8" thickTop="1" x14ac:dyDescent="0.25">
      <c r="O38" s="32"/>
    </row>
    <row r="39" spans="1:16" x14ac:dyDescent="0.25">
      <c r="F39" s="22"/>
      <c r="O39" s="32"/>
    </row>
    <row r="40" spans="1:16" x14ac:dyDescent="0.25">
      <c r="F40" s="22"/>
    </row>
    <row r="41" spans="1:16" x14ac:dyDescent="0.25">
      <c r="F41" s="12"/>
      <c r="G41" s="12"/>
    </row>
    <row r="42" spans="1:16" x14ac:dyDescent="0.25">
      <c r="F42" s="12"/>
      <c r="G42" s="12"/>
    </row>
    <row r="43" spans="1:16" x14ac:dyDescent="0.25">
      <c r="F43" s="12"/>
      <c r="G43" s="12"/>
    </row>
    <row r="44" spans="1:16" x14ac:dyDescent="0.25">
      <c r="F44" s="12"/>
      <c r="G44" s="12"/>
    </row>
    <row r="45" spans="1:16" x14ac:dyDescent="0.25">
      <c r="F45" s="12"/>
      <c r="G45" s="12"/>
    </row>
    <row r="46" spans="1:16" x14ac:dyDescent="0.25">
      <c r="F46" s="12"/>
      <c r="G46" s="12"/>
    </row>
    <row r="51" spans="8:8" x14ac:dyDescent="0.25">
      <c r="H51" s="9" t="s">
        <v>344</v>
      </c>
    </row>
  </sheetData>
  <mergeCells count="16">
    <mergeCell ref="C18:P19"/>
    <mergeCell ref="C28:P29"/>
    <mergeCell ref="C8:P9"/>
    <mergeCell ref="B2:P2"/>
    <mergeCell ref="D5:D7"/>
    <mergeCell ref="M5:M7"/>
    <mergeCell ref="H6:J6"/>
    <mergeCell ref="F6:F7"/>
    <mergeCell ref="G6:G7"/>
    <mergeCell ref="C5:C7"/>
    <mergeCell ref="H5:K5"/>
    <mergeCell ref="L5:L7"/>
    <mergeCell ref="O5:O7"/>
    <mergeCell ref="E6:E7"/>
    <mergeCell ref="E5:G5"/>
    <mergeCell ref="C4:O4"/>
  </mergeCells>
  <phoneticPr fontId="21" type="noConversion"/>
  <pageMargins left="0.75000000000000011" right="0.75000000000000011" top="0.98" bottom="0.98" header="0.51" footer="0.51"/>
  <pageSetup paperSize="9" scale="46" orientation="landscape" horizontalDpi="4294967292" verticalDpi="4294967292"/>
  <ignoredErrors>
    <ignoredError sqref="E10:E17 J10:J17" formula="1"/>
  </ignoredErrors>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S49"/>
  <sheetViews>
    <sheetView zoomScale="70" zoomScaleNormal="70" zoomScalePageLayoutView="70" workbookViewId="0">
      <pane xSplit="1" ySplit="7" topLeftCell="B17" activePane="bottomRight" state="frozen"/>
      <selection activeCell="K1" sqref="K1"/>
      <selection pane="topRight" activeCell="L1" sqref="L1"/>
      <selection pane="bottomLeft" activeCell="K9" sqref="K9"/>
      <selection pane="bottomRight" activeCell="B2" sqref="B2:P2"/>
    </sheetView>
  </sheetViews>
  <sheetFormatPr baseColWidth="10" defaultColWidth="9.26953125" defaultRowHeight="13.2" x14ac:dyDescent="0.25"/>
  <cols>
    <col min="1" max="1" width="2.54296875" style="9" customWidth="1"/>
    <col min="2" max="2" width="11.54296875" style="9" customWidth="1"/>
    <col min="3" max="16" width="13.26953125" style="9" customWidth="1"/>
    <col min="17" max="17" width="2.54296875" style="9" customWidth="1"/>
    <col min="18" max="18" width="9.54296875" bestFit="1" customWidth="1"/>
    <col min="20" max="16384" width="9.26953125" style="9"/>
  </cols>
  <sheetData>
    <row r="1" spans="1:18" ht="13.05" customHeight="1" thickBot="1" x14ac:dyDescent="0.3">
      <c r="O1" s="15"/>
      <c r="P1" s="15"/>
    </row>
    <row r="2" spans="1:18" customFormat="1" ht="49.95" customHeight="1" thickTop="1" x14ac:dyDescent="0.2">
      <c r="A2" s="13"/>
      <c r="B2" s="637" t="s">
        <v>628</v>
      </c>
      <c r="C2" s="638"/>
      <c r="D2" s="638"/>
      <c r="E2" s="638"/>
      <c r="F2" s="638"/>
      <c r="G2" s="638"/>
      <c r="H2" s="638"/>
      <c r="I2" s="638"/>
      <c r="J2" s="638"/>
      <c r="K2" s="638"/>
      <c r="L2" s="638"/>
      <c r="M2" s="638"/>
      <c r="N2" s="638"/>
      <c r="O2" s="638"/>
      <c r="P2" s="639"/>
    </row>
    <row r="3" spans="1:18" x14ac:dyDescent="0.25">
      <c r="B3" s="18"/>
      <c r="C3" s="11" t="s">
        <v>85</v>
      </c>
      <c r="D3" s="11" t="s">
        <v>86</v>
      </c>
      <c r="E3" s="11" t="s">
        <v>87</v>
      </c>
      <c r="F3" s="36" t="s">
        <v>88</v>
      </c>
      <c r="G3" s="36" t="s">
        <v>89</v>
      </c>
      <c r="H3" s="36" t="s">
        <v>90</v>
      </c>
      <c r="I3" s="36" t="s">
        <v>91</v>
      </c>
      <c r="J3" s="36" t="s">
        <v>93</v>
      </c>
      <c r="K3" s="36" t="s">
        <v>94</v>
      </c>
      <c r="L3" s="36" t="s">
        <v>95</v>
      </c>
      <c r="M3" s="36" t="s">
        <v>96</v>
      </c>
      <c r="N3" s="36" t="s">
        <v>97</v>
      </c>
      <c r="O3" s="36" t="s">
        <v>104</v>
      </c>
      <c r="P3" s="37" t="s">
        <v>134</v>
      </c>
    </row>
    <row r="4" spans="1:18" ht="16.05" customHeight="1" thickBot="1" x14ac:dyDescent="0.3">
      <c r="A4" s="222"/>
      <c r="B4" s="20"/>
      <c r="C4" s="690" t="s">
        <v>140</v>
      </c>
      <c r="D4" s="691"/>
      <c r="E4" s="691"/>
      <c r="F4" s="691"/>
      <c r="G4" s="691"/>
      <c r="H4" s="691"/>
      <c r="I4" s="691"/>
      <c r="J4" s="691"/>
      <c r="K4" s="691"/>
      <c r="L4" s="691"/>
      <c r="M4" s="691"/>
      <c r="N4" s="691"/>
      <c r="O4" s="691"/>
      <c r="P4" s="698"/>
    </row>
    <row r="5" spans="1:18" ht="61.05" customHeight="1" x14ac:dyDescent="0.35">
      <c r="B5" s="18"/>
      <c r="C5" s="696" t="s">
        <v>866</v>
      </c>
      <c r="D5" s="697" t="s">
        <v>867</v>
      </c>
      <c r="E5" s="692" t="s">
        <v>290</v>
      </c>
      <c r="F5" s="682" t="s">
        <v>868</v>
      </c>
      <c r="G5" s="682"/>
      <c r="H5" s="682"/>
      <c r="I5" s="682"/>
      <c r="J5" s="682"/>
      <c r="K5" s="682"/>
      <c r="L5" s="406"/>
      <c r="M5" s="668" t="s">
        <v>562</v>
      </c>
      <c r="N5" s="407"/>
      <c r="O5" s="682" t="s">
        <v>349</v>
      </c>
      <c r="P5" s="379"/>
    </row>
    <row r="6" spans="1:18" ht="36" customHeight="1" x14ac:dyDescent="0.25">
      <c r="B6" s="18"/>
      <c r="C6" s="688"/>
      <c r="D6" s="659"/>
      <c r="E6" s="693"/>
      <c r="F6" s="659" t="s">
        <v>292</v>
      </c>
      <c r="G6" s="659" t="s">
        <v>294</v>
      </c>
      <c r="H6" s="659" t="s">
        <v>293</v>
      </c>
      <c r="I6" s="659" t="s">
        <v>341</v>
      </c>
      <c r="J6" s="659" t="s">
        <v>348</v>
      </c>
      <c r="K6" s="659" t="s">
        <v>343</v>
      </c>
      <c r="L6" s="699" t="s">
        <v>81</v>
      </c>
      <c r="M6" s="665"/>
      <c r="N6" s="657" t="s">
        <v>291</v>
      </c>
      <c r="O6" s="661"/>
      <c r="P6" s="694" t="s">
        <v>350</v>
      </c>
    </row>
    <row r="7" spans="1:18" ht="70.95" customHeight="1" thickBot="1" x14ac:dyDescent="0.3">
      <c r="B7" s="19"/>
      <c r="C7" s="402" t="s">
        <v>702</v>
      </c>
      <c r="D7" s="403" t="s">
        <v>703</v>
      </c>
      <c r="E7" s="408" t="s">
        <v>704</v>
      </c>
      <c r="F7" s="660"/>
      <c r="G7" s="660"/>
      <c r="H7" s="660"/>
      <c r="I7" s="660"/>
      <c r="J7" s="660"/>
      <c r="K7" s="660"/>
      <c r="L7" s="700"/>
      <c r="M7" s="678"/>
      <c r="N7" s="658"/>
      <c r="O7" s="662"/>
      <c r="P7" s="695"/>
    </row>
    <row r="8" spans="1:18" ht="18" customHeight="1" x14ac:dyDescent="0.3">
      <c r="B8" s="377"/>
      <c r="C8" s="649" t="s">
        <v>156</v>
      </c>
      <c r="D8" s="649"/>
      <c r="E8" s="649"/>
      <c r="F8" s="649"/>
      <c r="G8" s="649"/>
      <c r="H8" s="649"/>
      <c r="I8" s="649"/>
      <c r="J8" s="649"/>
      <c r="K8" s="649"/>
      <c r="L8" s="649"/>
      <c r="M8" s="649"/>
      <c r="N8" s="649"/>
      <c r="O8" s="649"/>
      <c r="P8" s="677"/>
    </row>
    <row r="9" spans="1:18" ht="18" customHeight="1" x14ac:dyDescent="0.3">
      <c r="B9" s="377"/>
      <c r="C9" s="647"/>
      <c r="D9" s="647"/>
      <c r="E9" s="647"/>
      <c r="F9" s="647"/>
      <c r="G9" s="647"/>
      <c r="H9" s="647"/>
      <c r="I9" s="647"/>
      <c r="J9" s="647"/>
      <c r="K9" s="647"/>
      <c r="L9" s="647"/>
      <c r="M9" s="647"/>
      <c r="N9" s="647"/>
      <c r="O9" s="647"/>
      <c r="P9" s="676"/>
    </row>
    <row r="10" spans="1:18" ht="18" customHeight="1" x14ac:dyDescent="0.35">
      <c r="B10" s="305">
        <v>2001</v>
      </c>
      <c r="C10" s="223">
        <f>'Table A1'!O11</f>
        <v>13740.570447102406</v>
      </c>
      <c r="D10" s="223">
        <f>'Table A2'!M10</f>
        <v>16272.541307845344</v>
      </c>
      <c r="E10" s="224">
        <f t="shared" ref="E10:E17" si="0">D10-C10</f>
        <v>2531.9708607429384</v>
      </c>
      <c r="F10" s="223">
        <f t="shared" ref="F10:K17" si="1">F20+F30</f>
        <v>305.34753000000001</v>
      </c>
      <c r="G10" s="223">
        <f t="shared" si="1"/>
        <v>264.64353</v>
      </c>
      <c r="H10" s="223">
        <f t="shared" si="1"/>
        <v>165.33252999999999</v>
      </c>
      <c r="I10" s="223">
        <f t="shared" si="1"/>
        <v>509.09487999999999</v>
      </c>
      <c r="J10" s="223">
        <f t="shared" si="1"/>
        <v>93.423580000000001</v>
      </c>
      <c r="K10" s="223">
        <f t="shared" si="1"/>
        <v>124.79164999999999</v>
      </c>
      <c r="L10" s="223">
        <f t="shared" ref="L10:L17" si="2">E10-SUM(F10:K10)</f>
        <v>1069.3371607429385</v>
      </c>
      <c r="M10" s="226"/>
      <c r="N10" s="409">
        <f t="shared" ref="N10:N17" si="3">E10/D10</f>
        <v>0.15559775285512537</v>
      </c>
      <c r="O10" s="223">
        <f t="shared" ref="O10:O17" si="4">O20+O30</f>
        <v>65130.164000000004</v>
      </c>
      <c r="P10" s="313"/>
      <c r="R10" s="130"/>
    </row>
    <row r="11" spans="1:18" ht="18" customHeight="1" x14ac:dyDescent="0.35">
      <c r="B11" s="305">
        <f t="shared" ref="B11:B17" si="5">B10+1</f>
        <v>2002</v>
      </c>
      <c r="C11" s="223">
        <f>'Table A1'!O12</f>
        <v>15361.990038007127</v>
      </c>
      <c r="D11" s="223">
        <f>'Table A2'!M11</f>
        <v>17754.003993339702</v>
      </c>
      <c r="E11" s="224">
        <f t="shared" si="0"/>
        <v>2392.0139553325753</v>
      </c>
      <c r="F11" s="223">
        <f t="shared" si="1"/>
        <v>361.75921000000005</v>
      </c>
      <c r="G11" s="223">
        <f t="shared" si="1"/>
        <v>273.88684000000001</v>
      </c>
      <c r="H11" s="223">
        <f t="shared" si="1"/>
        <v>219.89196000000001</v>
      </c>
      <c r="I11" s="223">
        <f t="shared" si="1"/>
        <v>401.44325000000003</v>
      </c>
      <c r="J11" s="223">
        <f t="shared" si="1"/>
        <v>69.660980000000009</v>
      </c>
      <c r="K11" s="223">
        <f t="shared" si="1"/>
        <v>112.60688999999999</v>
      </c>
      <c r="L11" s="223">
        <f t="shared" si="2"/>
        <v>952.76482533257513</v>
      </c>
      <c r="M11" s="226"/>
      <c r="N11" s="409">
        <f t="shared" si="3"/>
        <v>0.13473095737896215</v>
      </c>
      <c r="O11" s="223">
        <f t="shared" si="4"/>
        <v>66086.242999999988</v>
      </c>
      <c r="P11" s="313"/>
      <c r="R11" s="130"/>
    </row>
    <row r="12" spans="1:18" ht="18" customHeight="1" x14ac:dyDescent="0.35">
      <c r="B12" s="305">
        <f t="shared" si="5"/>
        <v>2003</v>
      </c>
      <c r="C12" s="223">
        <f>'Table A1'!O13</f>
        <v>20779.8514724745</v>
      </c>
      <c r="D12" s="223">
        <f>'Table A2'!M12</f>
        <v>23637.533013195611</v>
      </c>
      <c r="E12" s="224">
        <f t="shared" si="0"/>
        <v>2857.6815407211107</v>
      </c>
      <c r="F12" s="223">
        <f t="shared" si="1"/>
        <v>464.88132999999999</v>
      </c>
      <c r="G12" s="223">
        <f t="shared" si="1"/>
        <v>346.50519000000003</v>
      </c>
      <c r="H12" s="223">
        <f t="shared" si="1"/>
        <v>314.33890000000002</v>
      </c>
      <c r="I12" s="223">
        <f t="shared" si="1"/>
        <v>494.99675000000002</v>
      </c>
      <c r="J12" s="223">
        <f t="shared" si="1"/>
        <v>93.631869999999992</v>
      </c>
      <c r="K12" s="223">
        <f t="shared" si="1"/>
        <v>131.20941999999999</v>
      </c>
      <c r="L12" s="223">
        <f t="shared" si="2"/>
        <v>1012.1180807211108</v>
      </c>
      <c r="M12" s="226"/>
      <c r="N12" s="409">
        <f t="shared" si="3"/>
        <v>0.12089593017705422</v>
      </c>
      <c r="O12" s="223">
        <f t="shared" si="4"/>
        <v>82453.152000000002</v>
      </c>
      <c r="P12" s="313"/>
      <c r="R12" s="130"/>
    </row>
    <row r="13" spans="1:18" ht="18" customHeight="1" x14ac:dyDescent="0.35">
      <c r="B13" s="305">
        <f t="shared" si="5"/>
        <v>2004</v>
      </c>
      <c r="C13" s="223">
        <f>'Table A1'!O14</f>
        <v>25634.09714983559</v>
      </c>
      <c r="D13" s="223">
        <f>'Table A2'!M13</f>
        <v>28950.122690731096</v>
      </c>
      <c r="E13" s="224">
        <f t="shared" si="0"/>
        <v>3316.0255408955054</v>
      </c>
      <c r="F13" s="223">
        <f t="shared" si="1"/>
        <v>570.22168000000011</v>
      </c>
      <c r="G13" s="223">
        <f t="shared" si="1"/>
        <v>476.65731</v>
      </c>
      <c r="H13" s="223">
        <f t="shared" si="1"/>
        <v>432.90674999999999</v>
      </c>
      <c r="I13" s="223">
        <f t="shared" si="1"/>
        <v>539.24112000000002</v>
      </c>
      <c r="J13" s="223">
        <f t="shared" si="1"/>
        <v>150.56892999999999</v>
      </c>
      <c r="K13" s="223">
        <f t="shared" si="1"/>
        <v>146.66477</v>
      </c>
      <c r="L13" s="223">
        <f t="shared" si="2"/>
        <v>999.76498089550523</v>
      </c>
      <c r="M13" s="226"/>
      <c r="N13" s="409">
        <f t="shared" si="3"/>
        <v>0.11454271114219459</v>
      </c>
      <c r="O13" s="223">
        <f t="shared" si="4"/>
        <v>95686.192999999999</v>
      </c>
      <c r="P13" s="313"/>
      <c r="R13" s="130"/>
    </row>
    <row r="14" spans="1:18" ht="18" customHeight="1" x14ac:dyDescent="0.35">
      <c r="B14" s="305">
        <f t="shared" si="5"/>
        <v>2005</v>
      </c>
      <c r="C14" s="223">
        <f>'Table A1'!O15</f>
        <v>28722.994230478533</v>
      </c>
      <c r="D14" s="223">
        <f>'Table A2'!M14</f>
        <v>32398.631739288154</v>
      </c>
      <c r="E14" s="224">
        <f t="shared" si="0"/>
        <v>3675.6375088096211</v>
      </c>
      <c r="F14" s="223">
        <f t="shared" si="1"/>
        <v>733.31637999999998</v>
      </c>
      <c r="G14" s="223">
        <f t="shared" si="1"/>
        <v>462.87628000000001</v>
      </c>
      <c r="H14" s="223">
        <f t="shared" si="1"/>
        <v>515.32989999999995</v>
      </c>
      <c r="I14" s="223">
        <f t="shared" si="1"/>
        <v>491.82587999999998</v>
      </c>
      <c r="J14" s="223">
        <f t="shared" si="1"/>
        <v>188.09078</v>
      </c>
      <c r="K14" s="223">
        <f t="shared" si="1"/>
        <v>136.1833</v>
      </c>
      <c r="L14" s="223">
        <f t="shared" si="2"/>
        <v>1148.0149888096212</v>
      </c>
      <c r="M14" s="226"/>
      <c r="N14" s="409">
        <f t="shared" si="3"/>
        <v>0.11345039316436208</v>
      </c>
      <c r="O14" s="223">
        <f t="shared" si="4"/>
        <v>102464.65</v>
      </c>
      <c r="P14" s="313"/>
      <c r="R14" s="130"/>
    </row>
    <row r="15" spans="1:18" ht="18" customHeight="1" x14ac:dyDescent="0.35">
      <c r="B15" s="305">
        <f t="shared" si="5"/>
        <v>2006</v>
      </c>
      <c r="C15" s="223">
        <f>'Table A1'!O16</f>
        <v>36971.589267142954</v>
      </c>
      <c r="D15" s="223">
        <f>'Table A2'!M15</f>
        <v>40731.592417412961</v>
      </c>
      <c r="E15" s="224">
        <f t="shared" si="0"/>
        <v>3760.0031502700076</v>
      </c>
      <c r="F15" s="223">
        <f t="shared" si="1"/>
        <v>766.36747000000003</v>
      </c>
      <c r="G15" s="223">
        <f t="shared" si="1"/>
        <v>559.29925000000003</v>
      </c>
      <c r="H15" s="223">
        <f t="shared" si="1"/>
        <v>526.87332000000004</v>
      </c>
      <c r="I15" s="223">
        <f t="shared" si="1"/>
        <v>354.27099999999996</v>
      </c>
      <c r="J15" s="223">
        <f t="shared" si="1"/>
        <v>230.54982000000001</v>
      </c>
      <c r="K15" s="223">
        <f t="shared" si="1"/>
        <v>135.42891</v>
      </c>
      <c r="L15" s="223">
        <f t="shared" si="2"/>
        <v>1187.2133802700068</v>
      </c>
      <c r="M15" s="226"/>
      <c r="N15" s="409">
        <f t="shared" si="3"/>
        <v>9.2311714988648153E-2</v>
      </c>
      <c r="O15" s="223">
        <f t="shared" si="4"/>
        <v>121337.5</v>
      </c>
      <c r="P15" s="313"/>
      <c r="R15" s="130"/>
    </row>
    <row r="16" spans="1:18" ht="18" customHeight="1" x14ac:dyDescent="0.35">
      <c r="B16" s="305">
        <f t="shared" si="5"/>
        <v>2007</v>
      </c>
      <c r="C16" s="223">
        <f>'Table A1'!O17</f>
        <v>44170.116334305319</v>
      </c>
      <c r="D16" s="223">
        <f>'Table A2'!M16</f>
        <v>49301.441696168207</v>
      </c>
      <c r="E16" s="224">
        <f t="shared" si="0"/>
        <v>5131.3253618628878</v>
      </c>
      <c r="F16" s="223">
        <f t="shared" si="1"/>
        <v>1039.09491</v>
      </c>
      <c r="G16" s="223">
        <f t="shared" si="1"/>
        <v>856.50450000000001</v>
      </c>
      <c r="H16" s="223">
        <f t="shared" si="1"/>
        <v>681.60718000000008</v>
      </c>
      <c r="I16" s="223">
        <f t="shared" si="1"/>
        <v>264.19499999999999</v>
      </c>
      <c r="J16" s="223">
        <f t="shared" si="1"/>
        <v>359.77702999999997</v>
      </c>
      <c r="K16" s="223">
        <f t="shared" si="1"/>
        <v>109.75598000000001</v>
      </c>
      <c r="L16" s="223">
        <f t="shared" si="2"/>
        <v>1820.3907618628873</v>
      </c>
      <c r="M16" s="226"/>
      <c r="N16" s="409">
        <f t="shared" si="3"/>
        <v>0.10408063507525589</v>
      </c>
      <c r="O16" s="223">
        <f t="shared" si="4"/>
        <v>143297.26799999998</v>
      </c>
      <c r="P16" s="313"/>
      <c r="R16" s="130"/>
    </row>
    <row r="17" spans="2:19" ht="18" customHeight="1" x14ac:dyDescent="0.35">
      <c r="B17" s="305">
        <f t="shared" si="5"/>
        <v>2008</v>
      </c>
      <c r="C17" s="223">
        <f>'Table A1'!O18</f>
        <v>35607.301248343312</v>
      </c>
      <c r="D17" s="223">
        <f>'Table A2'!M17</f>
        <v>40097.278810910873</v>
      </c>
      <c r="E17" s="224">
        <f t="shared" si="0"/>
        <v>4489.9775625675611</v>
      </c>
      <c r="F17" s="223">
        <f t="shared" si="1"/>
        <v>911.55479000000003</v>
      </c>
      <c r="G17" s="223">
        <f t="shared" si="1"/>
        <v>840.69736999999998</v>
      </c>
      <c r="H17" s="223">
        <f t="shared" si="1"/>
        <v>603.17980999999997</v>
      </c>
      <c r="I17" s="223">
        <f t="shared" si="1"/>
        <v>209.85374999999999</v>
      </c>
      <c r="J17" s="223">
        <f t="shared" si="1"/>
        <v>291.22924999999998</v>
      </c>
      <c r="K17" s="223">
        <f t="shared" si="1"/>
        <v>97.871039999999994</v>
      </c>
      <c r="L17" s="223">
        <f t="shared" si="2"/>
        <v>1535.5915525675614</v>
      </c>
      <c r="M17" s="226"/>
      <c r="N17" s="409">
        <f t="shared" si="3"/>
        <v>0.11197711405158479</v>
      </c>
      <c r="O17" s="223">
        <f t="shared" si="4"/>
        <v>119079.838</v>
      </c>
      <c r="P17" s="313"/>
      <c r="R17" s="130"/>
    </row>
    <row r="18" spans="2:19" ht="18" customHeight="1" x14ac:dyDescent="0.25">
      <c r="B18" s="305"/>
      <c r="C18" s="645" t="s">
        <v>278</v>
      </c>
      <c r="D18" s="645"/>
      <c r="E18" s="645"/>
      <c r="F18" s="645"/>
      <c r="G18" s="645"/>
      <c r="H18" s="645"/>
      <c r="I18" s="645"/>
      <c r="J18" s="645"/>
      <c r="K18" s="645"/>
      <c r="L18" s="645"/>
      <c r="M18" s="645"/>
      <c r="N18" s="645"/>
      <c r="O18" s="645"/>
      <c r="P18" s="675"/>
    </row>
    <row r="19" spans="2:19" ht="18" customHeight="1" x14ac:dyDescent="0.25">
      <c r="B19" s="305"/>
      <c r="C19" s="647"/>
      <c r="D19" s="647"/>
      <c r="E19" s="647"/>
      <c r="F19" s="647"/>
      <c r="G19" s="647"/>
      <c r="H19" s="647"/>
      <c r="I19" s="647"/>
      <c r="J19" s="647"/>
      <c r="K19" s="647"/>
      <c r="L19" s="647"/>
      <c r="M19" s="647"/>
      <c r="N19" s="647"/>
      <c r="O19" s="647"/>
      <c r="P19" s="676"/>
    </row>
    <row r="20" spans="2:19" ht="18" customHeight="1" x14ac:dyDescent="0.35">
      <c r="B20" s="305">
        <v>2001</v>
      </c>
      <c r="C20" s="223">
        <f>'Table A1'!O21</f>
        <v>5553.6764991698019</v>
      </c>
      <c r="D20" s="223">
        <f>'Table A2'!M20</f>
        <v>7126.2663078453397</v>
      </c>
      <c r="E20" s="224">
        <f t="shared" ref="E20:E27" si="6">D20-C20</f>
        <v>1572.5898086755378</v>
      </c>
      <c r="F20" s="223">
        <f t="array" ref="F20:F27">TRANSPOSE('Table A13'!B127:I127)</f>
        <v>310.92106000000001</v>
      </c>
      <c r="G20" s="223">
        <f t="array" ref="G20:G27">TRANSPOSE('Table A13'!B42:I42)</f>
        <v>202.65172000000001</v>
      </c>
      <c r="H20" s="223">
        <f t="array" ref="H20:H27">TRANSPOSE('Table A13'!B104:I104)</f>
        <v>175.07469</v>
      </c>
      <c r="I20" s="223">
        <f t="array" ref="I20:I27">TRANSPOSE('Table A13'!B226:I226)</f>
        <v>411.12238000000002</v>
      </c>
      <c r="J20" s="223">
        <f t="array" ref="J20:J27">TRANSPOSE('Table A13'!B109:I109)</f>
        <v>36.540939999999999</v>
      </c>
      <c r="K20" s="223">
        <f t="array" ref="K20:K27">TRANSPOSE('Table A13'!B205:I205)</f>
        <v>115.71522999999999</v>
      </c>
      <c r="L20" s="223">
        <f t="shared" ref="L20:L27" si="7">E20-SUM(F20:K20)</f>
        <v>320.56378867553758</v>
      </c>
      <c r="M20" s="225">
        <f t="shared" ref="M20:M27" si="8">E20/E10</f>
        <v>0.62109317016946386</v>
      </c>
      <c r="N20" s="409">
        <f t="shared" ref="N20:N27" si="9">E20/D20</f>
        <v>0.22067513908991393</v>
      </c>
      <c r="O20" s="223">
        <v>27906.617999999999</v>
      </c>
      <c r="P20" s="411">
        <f t="shared" ref="P20:P27" si="10">E20/O20</f>
        <v>5.6351859214023636E-2</v>
      </c>
      <c r="R20" s="130"/>
    </row>
    <row r="21" spans="2:19" ht="18" customHeight="1" x14ac:dyDescent="0.35">
      <c r="B21" s="305">
        <f t="shared" ref="B21:B27" si="11">B20+1</f>
        <v>2002</v>
      </c>
      <c r="C21" s="223">
        <f>'Table A1'!O22</f>
        <v>5173.8456818368777</v>
      </c>
      <c r="D21" s="223">
        <f>'Table A2'!M21</f>
        <v>6674.899993339699</v>
      </c>
      <c r="E21" s="224">
        <f t="shared" si="6"/>
        <v>1501.0543115028213</v>
      </c>
      <c r="F21" s="223">
        <v>368.30819000000002</v>
      </c>
      <c r="G21" s="223">
        <v>252.18183999999999</v>
      </c>
      <c r="H21" s="223">
        <v>225.58658</v>
      </c>
      <c r="I21" s="223">
        <v>298.54750000000001</v>
      </c>
      <c r="J21" s="223">
        <v>26.976749999999999</v>
      </c>
      <c r="K21" s="223">
        <v>106.15664</v>
      </c>
      <c r="L21" s="223">
        <f t="shared" si="7"/>
        <v>223.29681150282113</v>
      </c>
      <c r="M21" s="225">
        <f t="shared" si="8"/>
        <v>0.62752740558075937</v>
      </c>
      <c r="N21" s="409">
        <f t="shared" si="9"/>
        <v>0.22488041963184355</v>
      </c>
      <c r="O21" s="223">
        <v>23509.656999999999</v>
      </c>
      <c r="P21" s="411">
        <f t="shared" si="10"/>
        <v>6.3848413930616743E-2</v>
      </c>
    </row>
    <row r="22" spans="2:19" ht="18" customHeight="1" x14ac:dyDescent="0.35">
      <c r="B22" s="305">
        <f t="shared" si="11"/>
        <v>2003</v>
      </c>
      <c r="C22" s="223">
        <f>'Table A1'!O23</f>
        <v>7546.0950613490086</v>
      </c>
      <c r="D22" s="223">
        <f>'Table A2'!M22</f>
        <v>9485.850013195608</v>
      </c>
      <c r="E22" s="224">
        <f t="shared" si="6"/>
        <v>1939.7549518465994</v>
      </c>
      <c r="F22" s="223">
        <v>475.69650000000001</v>
      </c>
      <c r="G22" s="223">
        <v>346.50519000000003</v>
      </c>
      <c r="H22" s="223">
        <v>316.18781000000001</v>
      </c>
      <c r="I22" s="223">
        <v>340.68574999999998</v>
      </c>
      <c r="J22" s="223">
        <v>52.994589999999995</v>
      </c>
      <c r="K22" s="223">
        <v>116.6525</v>
      </c>
      <c r="L22" s="223">
        <f t="shared" si="7"/>
        <v>291.03261184659914</v>
      </c>
      <c r="M22" s="225">
        <f t="shared" si="8"/>
        <v>0.67878625529320502</v>
      </c>
      <c r="N22" s="409">
        <f t="shared" si="9"/>
        <v>0.20448931293961412</v>
      </c>
      <c r="O22" s="223">
        <v>32036.7</v>
      </c>
      <c r="P22" s="411">
        <f t="shared" si="10"/>
        <v>6.0547901370821569E-2</v>
      </c>
    </row>
    <row r="23" spans="2:19" ht="18" customHeight="1" x14ac:dyDescent="0.35">
      <c r="B23" s="305">
        <f t="shared" si="11"/>
        <v>2004</v>
      </c>
      <c r="C23" s="223">
        <f>'Table A1'!O24</f>
        <v>9425.5595869044719</v>
      </c>
      <c r="D23" s="223">
        <f>'Table A2'!M23</f>
        <v>11769.909690731098</v>
      </c>
      <c r="E23" s="224">
        <f t="shared" si="6"/>
        <v>2344.3501038266259</v>
      </c>
      <c r="F23" s="223">
        <v>582.21006000000011</v>
      </c>
      <c r="G23" s="223">
        <v>476.65731</v>
      </c>
      <c r="H23" s="223">
        <v>385.52834000000001</v>
      </c>
      <c r="I23" s="223">
        <v>381.82612</v>
      </c>
      <c r="J23" s="223">
        <v>72.432810000000003</v>
      </c>
      <c r="K23" s="223">
        <v>122.09516000000001</v>
      </c>
      <c r="L23" s="223">
        <f t="shared" si="7"/>
        <v>323.60030382662558</v>
      </c>
      <c r="M23" s="225">
        <f t="shared" si="8"/>
        <v>0.70697588873019512</v>
      </c>
      <c r="N23" s="409">
        <f t="shared" si="9"/>
        <v>0.19918165605576577</v>
      </c>
      <c r="O23" s="223">
        <v>38151.94</v>
      </c>
      <c r="P23" s="411">
        <f t="shared" si="10"/>
        <v>6.1447729888090247E-2</v>
      </c>
    </row>
    <row r="24" spans="2:19" ht="18" customHeight="1" x14ac:dyDescent="0.35">
      <c r="B24" s="305">
        <f t="shared" si="11"/>
        <v>2005</v>
      </c>
      <c r="C24" s="223">
        <f>'Table A1'!O25</f>
        <v>11421.045423180332</v>
      </c>
      <c r="D24" s="223">
        <f>'Table A2'!M24</f>
        <v>14140.484739288153</v>
      </c>
      <c r="E24" s="224">
        <f t="shared" si="6"/>
        <v>2719.4393161078206</v>
      </c>
      <c r="F24" s="223">
        <v>746.53287999999998</v>
      </c>
      <c r="G24" s="223">
        <v>462.87628000000001</v>
      </c>
      <c r="H24" s="223">
        <v>441.24311999999998</v>
      </c>
      <c r="I24" s="223">
        <v>279.15138000000002</v>
      </c>
      <c r="J24" s="223">
        <v>134.96894</v>
      </c>
      <c r="K24" s="223">
        <v>117.00569</v>
      </c>
      <c r="L24" s="223">
        <f t="shared" si="7"/>
        <v>537.66102610782082</v>
      </c>
      <c r="M24" s="225">
        <f t="shared" si="8"/>
        <v>0.73985514338396463</v>
      </c>
      <c r="N24" s="409">
        <f t="shared" si="9"/>
        <v>0.19231584816552194</v>
      </c>
      <c r="O24" s="223">
        <v>43319.351999999999</v>
      </c>
      <c r="P24" s="411">
        <f t="shared" si="10"/>
        <v>6.2776546521467372E-2</v>
      </c>
    </row>
    <row r="25" spans="2:19" ht="18" customHeight="1" x14ac:dyDescent="0.35">
      <c r="B25" s="305">
        <f t="shared" si="11"/>
        <v>2006</v>
      </c>
      <c r="C25" s="223">
        <f>'Table A1'!O26</f>
        <v>15511.100175225643</v>
      </c>
      <c r="D25" s="223">
        <f>'Table A2'!M25</f>
        <v>18530.733417412968</v>
      </c>
      <c r="E25" s="224">
        <f t="shared" si="6"/>
        <v>3019.6332421873249</v>
      </c>
      <c r="F25" s="223">
        <v>780.56838000000005</v>
      </c>
      <c r="G25" s="223">
        <v>559.29925000000003</v>
      </c>
      <c r="H25" s="223">
        <v>523.55944</v>
      </c>
      <c r="I25" s="223">
        <v>186.756</v>
      </c>
      <c r="J25" s="223">
        <v>125.04238000000001</v>
      </c>
      <c r="K25" s="223">
        <v>110.56594</v>
      </c>
      <c r="L25" s="223">
        <f t="shared" si="7"/>
        <v>733.841852187325</v>
      </c>
      <c r="M25" s="225">
        <f t="shared" si="8"/>
        <v>0.80309327452836932</v>
      </c>
      <c r="N25" s="409">
        <f t="shared" si="9"/>
        <v>0.16295271073026363</v>
      </c>
      <c r="O25" s="223">
        <v>53375.286999999997</v>
      </c>
      <c r="P25" s="411">
        <f t="shared" si="10"/>
        <v>5.6573620713033825E-2</v>
      </c>
    </row>
    <row r="26" spans="2:19" ht="18" customHeight="1" x14ac:dyDescent="0.35">
      <c r="B26" s="305">
        <f t="shared" si="11"/>
        <v>2007</v>
      </c>
      <c r="C26" s="223">
        <f>'Table A1'!O27</f>
        <v>18738.355680497811</v>
      </c>
      <c r="D26" s="223">
        <f>'Table A2'!M26</f>
        <v>22710.762696168214</v>
      </c>
      <c r="E26" s="224">
        <f t="shared" si="6"/>
        <v>3972.4070156704038</v>
      </c>
      <c r="F26" s="223">
        <v>1060</v>
      </c>
      <c r="G26" s="223">
        <v>797.87324999999998</v>
      </c>
      <c r="H26" s="223">
        <v>706.45712000000003</v>
      </c>
      <c r="I26" s="223">
        <v>192.08699999999999</v>
      </c>
      <c r="J26" s="223">
        <v>149.70761999999999</v>
      </c>
      <c r="K26" s="223">
        <v>101.46438000000001</v>
      </c>
      <c r="L26" s="223">
        <f t="shared" si="7"/>
        <v>964.81764567040364</v>
      </c>
      <c r="M26" s="225">
        <f t="shared" si="8"/>
        <v>0.77414834093238094</v>
      </c>
      <c r="N26" s="409">
        <f t="shared" si="9"/>
        <v>0.17491297270877798</v>
      </c>
      <c r="O26" s="223">
        <v>64563.413999999997</v>
      </c>
      <c r="P26" s="411">
        <f t="shared" si="10"/>
        <v>6.1527214401493759E-2</v>
      </c>
    </row>
    <row r="27" spans="2:19" ht="18" customHeight="1" x14ac:dyDescent="0.35">
      <c r="B27" s="305">
        <f t="shared" si="11"/>
        <v>2008</v>
      </c>
      <c r="C27" s="223">
        <f>'Table A1'!O28</f>
        <v>10846.197186055533</v>
      </c>
      <c r="D27" s="223">
        <f>'Table A2'!M27</f>
        <v>13662.371810910876</v>
      </c>
      <c r="E27" s="224">
        <f t="shared" si="6"/>
        <v>2816.1746248553427</v>
      </c>
      <c r="F27" s="223">
        <v>929.79938000000004</v>
      </c>
      <c r="G27" s="223">
        <v>599.52824999999996</v>
      </c>
      <c r="H27" s="223">
        <v>636.66700000000003</v>
      </c>
      <c r="I27" s="223">
        <v>177.02875</v>
      </c>
      <c r="J27" s="223">
        <v>49.89669</v>
      </c>
      <c r="K27" s="223">
        <v>93.860969999999995</v>
      </c>
      <c r="L27" s="223">
        <f t="shared" si="7"/>
        <v>329.3935848553424</v>
      </c>
      <c r="M27" s="225">
        <f t="shared" si="8"/>
        <v>0.62721351846687934</v>
      </c>
      <c r="N27" s="409">
        <f t="shared" si="9"/>
        <v>0.20612633471198052</v>
      </c>
      <c r="O27" s="223">
        <v>35811.160000000003</v>
      </c>
      <c r="P27" s="411">
        <f t="shared" si="10"/>
        <v>7.8639581204723405E-2</v>
      </c>
      <c r="R27" s="130"/>
      <c r="S27" s="241"/>
    </row>
    <row r="28" spans="2:19" ht="18" customHeight="1" x14ac:dyDescent="0.25">
      <c r="B28" s="305"/>
      <c r="C28" s="645" t="s">
        <v>279</v>
      </c>
      <c r="D28" s="645"/>
      <c r="E28" s="645"/>
      <c r="F28" s="645"/>
      <c r="G28" s="645"/>
      <c r="H28" s="645"/>
      <c r="I28" s="645"/>
      <c r="J28" s="645"/>
      <c r="K28" s="645"/>
      <c r="L28" s="645"/>
      <c r="M28" s="645"/>
      <c r="N28" s="645"/>
      <c r="O28" s="645"/>
      <c r="P28" s="675"/>
    </row>
    <row r="29" spans="2:19" ht="18" customHeight="1" x14ac:dyDescent="0.25">
      <c r="B29" s="305"/>
      <c r="C29" s="647"/>
      <c r="D29" s="647"/>
      <c r="E29" s="647"/>
      <c r="F29" s="647"/>
      <c r="G29" s="647"/>
      <c r="H29" s="647"/>
      <c r="I29" s="647"/>
      <c r="J29" s="647"/>
      <c r="K29" s="647"/>
      <c r="L29" s="647"/>
      <c r="M29" s="647"/>
      <c r="N29" s="647"/>
      <c r="O29" s="647"/>
      <c r="P29" s="676"/>
    </row>
    <row r="30" spans="2:19" ht="18" customHeight="1" x14ac:dyDescent="0.35">
      <c r="B30" s="305">
        <v>2001</v>
      </c>
      <c r="C30" s="223">
        <f>'Table A1'!O31</f>
        <v>8186.8939479326036</v>
      </c>
      <c r="D30" s="223">
        <f>'Table A2'!M30</f>
        <v>9146.2750000000015</v>
      </c>
      <c r="E30" s="224">
        <f>D30-C30</f>
        <v>959.38105206739783</v>
      </c>
      <c r="F30" s="223">
        <f t="array" ref="F30:F37">TRANSPOSE('Table A14'!B127:I127)</f>
        <v>-5.5735299999999999</v>
      </c>
      <c r="G30" s="223">
        <f t="array" ref="G30:G37">TRANSPOSE('Table A14'!B42:I42)</f>
        <v>61.991810000000001</v>
      </c>
      <c r="H30" s="223">
        <f t="array" ref="H30:H37">TRANSPOSE('Table A14'!B104:I104)</f>
        <v>-9.7421600000000002</v>
      </c>
      <c r="I30" s="223">
        <f t="array" ref="I30:I37">TRANSPOSE('Table A14'!B226:I226)</f>
        <v>97.972499999999997</v>
      </c>
      <c r="J30" s="223">
        <f t="array" ref="J30:J37">TRANSPOSE('Table A14'!B109:I109)</f>
        <v>56.882640000000002</v>
      </c>
      <c r="K30" s="223">
        <f t="array" ref="K30:K37">TRANSPOSE('Table A14'!B205:I205)</f>
        <v>9.0764200000000006</v>
      </c>
      <c r="L30" s="223">
        <f t="shared" ref="L30:L37" si="12">E30-SUM(F30:K30)</f>
        <v>748.77337206739776</v>
      </c>
      <c r="M30" s="225">
        <f t="shared" ref="M30:M37" si="13">E30/E10</f>
        <v>0.37890682983053503</v>
      </c>
      <c r="N30" s="409">
        <f t="shared" ref="N30:N37" si="14">E30/D30</f>
        <v>0.10489309058249371</v>
      </c>
      <c r="O30" s="223">
        <v>37223.546000000002</v>
      </c>
      <c r="P30" s="411">
        <f t="shared" ref="P30:P37" si="15">E30/O30</f>
        <v>2.5773499710838879E-2</v>
      </c>
    </row>
    <row r="31" spans="2:19" ht="18" customHeight="1" x14ac:dyDescent="0.35">
      <c r="B31" s="305">
        <f t="shared" ref="B31:B37" si="16">B30+1</f>
        <v>2002</v>
      </c>
      <c r="C31" s="223">
        <f>'Table A1'!O32</f>
        <v>10188.144356170249</v>
      </c>
      <c r="D31" s="223">
        <f>'Table A2'!M31</f>
        <v>11079.104000000001</v>
      </c>
      <c r="E31" s="224">
        <f t="shared" ref="E31:E37" si="17">D31-C31</f>
        <v>890.95964382975217</v>
      </c>
      <c r="F31" s="223">
        <v>-6.5489799999999994</v>
      </c>
      <c r="G31" s="223">
        <v>21.704999999999998</v>
      </c>
      <c r="H31" s="223">
        <v>-5.6946199999999996</v>
      </c>
      <c r="I31" s="223">
        <v>102.89575000000001</v>
      </c>
      <c r="J31" s="223">
        <v>42.684230000000007</v>
      </c>
      <c r="K31" s="223">
        <v>6.4502499999999996</v>
      </c>
      <c r="L31" s="223">
        <f t="shared" si="12"/>
        <v>729.46801382975218</v>
      </c>
      <c r="M31" s="225">
        <f t="shared" si="13"/>
        <v>0.37247259441923991</v>
      </c>
      <c r="N31" s="409">
        <f t="shared" si="14"/>
        <v>8.0418023319372409E-2</v>
      </c>
      <c r="O31" s="223">
        <v>42576.585999999996</v>
      </c>
      <c r="P31" s="411">
        <f t="shared" si="15"/>
        <v>2.0926047096161075E-2</v>
      </c>
    </row>
    <row r="32" spans="2:19" ht="18" customHeight="1" x14ac:dyDescent="0.35">
      <c r="B32" s="305">
        <f t="shared" si="16"/>
        <v>2003</v>
      </c>
      <c r="C32" s="223">
        <f>'Table A1'!O33</f>
        <v>13233.756411125492</v>
      </c>
      <c r="D32" s="223">
        <f>'Table A2'!M32</f>
        <v>14151.683000000001</v>
      </c>
      <c r="E32" s="224">
        <f t="shared" si="17"/>
        <v>917.92658887450852</v>
      </c>
      <c r="F32" s="223">
        <v>-10.81517</v>
      </c>
      <c r="G32" s="223">
        <v>0</v>
      </c>
      <c r="H32" s="223">
        <v>-1.8489100000000001</v>
      </c>
      <c r="I32" s="223">
        <v>154.31100000000001</v>
      </c>
      <c r="J32" s="223">
        <v>40.637279999999997</v>
      </c>
      <c r="K32" s="223">
        <v>14.55692</v>
      </c>
      <c r="L32" s="223">
        <f t="shared" si="12"/>
        <v>721.08546887450848</v>
      </c>
      <c r="M32" s="225">
        <f t="shared" si="13"/>
        <v>0.32121374470679398</v>
      </c>
      <c r="N32" s="409">
        <f t="shared" si="14"/>
        <v>6.4863422172084295E-2</v>
      </c>
      <c r="O32" s="223">
        <v>50416.451999999997</v>
      </c>
      <c r="P32" s="411">
        <f t="shared" si="15"/>
        <v>1.8206885896582103E-2</v>
      </c>
    </row>
    <row r="33" spans="2:16" ht="18" customHeight="1" x14ac:dyDescent="0.35">
      <c r="B33" s="305">
        <f t="shared" si="16"/>
        <v>2004</v>
      </c>
      <c r="C33" s="223">
        <f>'Table A1'!O34</f>
        <v>16208.537562931118</v>
      </c>
      <c r="D33" s="223">
        <f>'Table A2'!M33</f>
        <v>17180.213</v>
      </c>
      <c r="E33" s="224">
        <f t="shared" si="17"/>
        <v>971.67543706888137</v>
      </c>
      <c r="F33" s="223">
        <v>-11.988379999999999</v>
      </c>
      <c r="G33" s="223">
        <v>0</v>
      </c>
      <c r="H33" s="223">
        <v>47.378410000000002</v>
      </c>
      <c r="I33" s="223">
        <v>157.41499999999999</v>
      </c>
      <c r="J33" s="223">
        <v>78.136119999999991</v>
      </c>
      <c r="K33" s="223">
        <v>24.569610000000001</v>
      </c>
      <c r="L33" s="223">
        <f t="shared" si="12"/>
        <v>676.16467706888136</v>
      </c>
      <c r="M33" s="225">
        <f t="shared" si="13"/>
        <v>0.29302411126980543</v>
      </c>
      <c r="N33" s="409">
        <f t="shared" si="14"/>
        <v>5.6557822482694559E-2</v>
      </c>
      <c r="O33" s="223">
        <v>57534.252999999997</v>
      </c>
      <c r="P33" s="411">
        <f t="shared" si="15"/>
        <v>1.6888642615536895E-2</v>
      </c>
    </row>
    <row r="34" spans="2:16" ht="18" customHeight="1" x14ac:dyDescent="0.35">
      <c r="B34" s="305">
        <f t="shared" si="16"/>
        <v>2005</v>
      </c>
      <c r="C34" s="223">
        <f>'Table A1'!O35</f>
        <v>17301.948807298202</v>
      </c>
      <c r="D34" s="223">
        <f>'Table A2'!M34</f>
        <v>18258.147000000001</v>
      </c>
      <c r="E34" s="224">
        <f t="shared" si="17"/>
        <v>956.19819270179869</v>
      </c>
      <c r="F34" s="223">
        <v>-13.2165</v>
      </c>
      <c r="G34" s="223">
        <v>0</v>
      </c>
      <c r="H34" s="223">
        <v>74.086780000000005</v>
      </c>
      <c r="I34" s="223">
        <v>212.67449999999999</v>
      </c>
      <c r="J34" s="223">
        <v>53.121839999999999</v>
      </c>
      <c r="K34" s="223">
        <v>19.177610000000001</v>
      </c>
      <c r="L34" s="223">
        <f t="shared" si="12"/>
        <v>610.35396270179865</v>
      </c>
      <c r="M34" s="225">
        <f t="shared" si="13"/>
        <v>0.26014485661603493</v>
      </c>
      <c r="N34" s="409">
        <f t="shared" si="14"/>
        <v>5.2371042510600811E-2</v>
      </c>
      <c r="O34" s="223">
        <v>59145.298000000003</v>
      </c>
      <c r="P34" s="411">
        <f t="shared" si="15"/>
        <v>1.6166935074057767E-2</v>
      </c>
    </row>
    <row r="35" spans="2:16" s="9" customFormat="1" ht="18" customHeight="1" x14ac:dyDescent="0.35">
      <c r="B35" s="305">
        <f t="shared" si="16"/>
        <v>2006</v>
      </c>
      <c r="C35" s="223">
        <f>'Table A1'!O36</f>
        <v>21460.489091917309</v>
      </c>
      <c r="D35" s="223">
        <f>'Table A2'!M35</f>
        <v>22200.858999999997</v>
      </c>
      <c r="E35" s="224">
        <f t="shared" si="17"/>
        <v>740.3699080826882</v>
      </c>
      <c r="F35" s="223">
        <v>-14.20091</v>
      </c>
      <c r="G35" s="223">
        <v>0</v>
      </c>
      <c r="H35" s="223">
        <v>3.3138800000000002</v>
      </c>
      <c r="I35" s="223">
        <v>167.51499999999999</v>
      </c>
      <c r="J35" s="223">
        <v>105.50744</v>
      </c>
      <c r="K35" s="223">
        <v>24.862970000000001</v>
      </c>
      <c r="L35" s="223">
        <f t="shared" si="12"/>
        <v>453.3715280826882</v>
      </c>
      <c r="M35" s="225">
        <f t="shared" si="13"/>
        <v>0.1969067254716321</v>
      </c>
      <c r="N35" s="409">
        <f t="shared" si="14"/>
        <v>3.3348705474985821E-2</v>
      </c>
      <c r="O35" s="223">
        <v>67962.213000000003</v>
      </c>
      <c r="P35" s="411">
        <f t="shared" si="15"/>
        <v>1.0893846380233206E-2</v>
      </c>
    </row>
    <row r="36" spans="2:16" ht="18" customHeight="1" x14ac:dyDescent="0.35">
      <c r="B36" s="305">
        <f t="shared" si="16"/>
        <v>2007</v>
      </c>
      <c r="C36" s="223">
        <f>'Table A1'!O37</f>
        <v>25431.760653807527</v>
      </c>
      <c r="D36" s="223">
        <f>'Table A2'!M36</f>
        <v>26590.679</v>
      </c>
      <c r="E36" s="224">
        <f t="shared" si="17"/>
        <v>1158.9183461924731</v>
      </c>
      <c r="F36" s="223">
        <v>-20.905090000000001</v>
      </c>
      <c r="G36" s="223">
        <v>58.631250000000001</v>
      </c>
      <c r="H36" s="223">
        <v>-24.84994</v>
      </c>
      <c r="I36" s="223">
        <v>72.108000000000004</v>
      </c>
      <c r="J36" s="223">
        <v>210.06941</v>
      </c>
      <c r="K36" s="223">
        <v>8.2916000000000007</v>
      </c>
      <c r="L36" s="223">
        <f t="shared" si="12"/>
        <v>855.57311619247309</v>
      </c>
      <c r="M36" s="225">
        <f t="shared" si="13"/>
        <v>0.22585165906761695</v>
      </c>
      <c r="N36" s="409">
        <f t="shared" si="14"/>
        <v>4.3583631173633175E-2</v>
      </c>
      <c r="O36" s="223">
        <v>78733.853999999992</v>
      </c>
      <c r="P36" s="411">
        <f t="shared" si="15"/>
        <v>1.471944134974611E-2</v>
      </c>
    </row>
    <row r="37" spans="2:16" ht="18" customHeight="1" thickBot="1" x14ac:dyDescent="0.4">
      <c r="B37" s="318">
        <f t="shared" si="16"/>
        <v>2008</v>
      </c>
      <c r="C37" s="227">
        <f>'Table A1'!O38</f>
        <v>24761.104062287784</v>
      </c>
      <c r="D37" s="227">
        <f>'Table A2'!M37</f>
        <v>26434.906999999999</v>
      </c>
      <c r="E37" s="228">
        <f t="shared" si="17"/>
        <v>1673.8029377122148</v>
      </c>
      <c r="F37" s="227">
        <v>-18.244589999999999</v>
      </c>
      <c r="G37" s="227">
        <v>241.16911999999999</v>
      </c>
      <c r="H37" s="227">
        <v>-33.487190000000005</v>
      </c>
      <c r="I37" s="227">
        <v>32.825000000000003</v>
      </c>
      <c r="J37" s="227">
        <v>241.33256</v>
      </c>
      <c r="K37" s="227">
        <v>4.0100699999999998</v>
      </c>
      <c r="L37" s="227">
        <f t="shared" si="12"/>
        <v>1206.1979677122149</v>
      </c>
      <c r="M37" s="230">
        <f t="shared" si="13"/>
        <v>0.37278648153311988</v>
      </c>
      <c r="N37" s="410">
        <f t="shared" si="14"/>
        <v>6.3317905287588669E-2</v>
      </c>
      <c r="O37" s="227">
        <v>83268.678</v>
      </c>
      <c r="P37" s="412">
        <f t="shared" si="15"/>
        <v>2.0101231074092646E-2</v>
      </c>
    </row>
    <row r="38" spans="2:16" ht="13.8" thickTop="1" x14ac:dyDescent="0.25">
      <c r="O38" s="32"/>
    </row>
    <row r="39" spans="2:16" x14ac:dyDescent="0.25">
      <c r="O39" s="32"/>
    </row>
    <row r="41" spans="2:16" x14ac:dyDescent="0.25">
      <c r="N41" s="22"/>
      <c r="P41" s="12"/>
    </row>
    <row r="42" spans="2:16" ht="13.8" x14ac:dyDescent="0.25">
      <c r="E42" s="41"/>
      <c r="N42" s="22"/>
      <c r="P42" s="12"/>
    </row>
    <row r="43" spans="2:16" ht="13.8" x14ac:dyDescent="0.25">
      <c r="E43" s="41"/>
      <c r="F43" s="41"/>
      <c r="N43" s="22"/>
      <c r="P43" s="12"/>
    </row>
    <row r="44" spans="2:16" ht="13.8" x14ac:dyDescent="0.25">
      <c r="E44" s="41"/>
      <c r="F44" s="41"/>
      <c r="P44" s="12"/>
    </row>
    <row r="45" spans="2:16" ht="13.8" x14ac:dyDescent="0.25">
      <c r="E45" s="41"/>
      <c r="F45" s="41"/>
      <c r="P45" s="12"/>
    </row>
    <row r="46" spans="2:16" ht="13.8" x14ac:dyDescent="0.25">
      <c r="E46" s="41"/>
      <c r="F46" s="41"/>
    </row>
    <row r="47" spans="2:16" ht="13.8" x14ac:dyDescent="0.25">
      <c r="E47" s="41"/>
      <c r="F47" s="41"/>
    </row>
    <row r="48" spans="2:16" ht="13.8" x14ac:dyDescent="0.25">
      <c r="E48" s="41"/>
      <c r="F48" s="41"/>
    </row>
    <row r="49" spans="5:6" ht="13.8" x14ac:dyDescent="0.25">
      <c r="E49" s="41"/>
      <c r="F49" s="41"/>
    </row>
  </sheetData>
  <mergeCells count="20">
    <mergeCell ref="B2:P2"/>
    <mergeCell ref="N6:N7"/>
    <mergeCell ref="F5:K5"/>
    <mergeCell ref="H6:H7"/>
    <mergeCell ref="G6:G7"/>
    <mergeCell ref="O5:O7"/>
    <mergeCell ref="P6:P7"/>
    <mergeCell ref="C5:C6"/>
    <mergeCell ref="D5:D6"/>
    <mergeCell ref="C4:P4"/>
    <mergeCell ref="M5:M7"/>
    <mergeCell ref="L6:L7"/>
    <mergeCell ref="J6:J7"/>
    <mergeCell ref="I6:I7"/>
    <mergeCell ref="C28:P29"/>
    <mergeCell ref="C8:P9"/>
    <mergeCell ref="C18:P19"/>
    <mergeCell ref="F6:F7"/>
    <mergeCell ref="K6:K7"/>
    <mergeCell ref="E5:E6"/>
  </mergeCells>
  <phoneticPr fontId="13" type="noConversion"/>
  <pageMargins left="0.75000000000000011" right="0.75000000000000011" top="0.98" bottom="0.98" header="0.51" footer="0.51"/>
  <pageSetup paperSize="9" scale="51" orientation="landscape" horizontalDpi="4294967292" verticalDpi="4294967292"/>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R42"/>
  <sheetViews>
    <sheetView zoomScale="70" zoomScaleNormal="70" zoomScalePageLayoutView="70" workbookViewId="0">
      <pane xSplit="1" ySplit="7" topLeftCell="B8" activePane="bottomRight" state="frozen"/>
      <selection activeCell="K1" sqref="K1"/>
      <selection pane="topRight" activeCell="L1" sqref="L1"/>
      <selection pane="bottomLeft" activeCell="K9" sqref="K9"/>
      <selection pane="bottomRight" activeCell="B2" sqref="B2:R2"/>
    </sheetView>
  </sheetViews>
  <sheetFormatPr baseColWidth="10" defaultColWidth="9.26953125" defaultRowHeight="13.2" x14ac:dyDescent="0.25"/>
  <cols>
    <col min="1" max="1" width="2.54296875" style="9" customWidth="1"/>
    <col min="2" max="4" width="11.54296875" style="9" customWidth="1"/>
    <col min="5" max="5" width="11.54296875" style="22" customWidth="1"/>
    <col min="6" max="9" width="11.54296875" style="9" customWidth="1"/>
    <col min="10" max="10" width="11.54296875" style="22" customWidth="1"/>
    <col min="11" max="18" width="11.54296875" style="9" customWidth="1"/>
    <col min="19" max="19" width="3" style="9" customWidth="1"/>
    <col min="20" max="16384" width="9.26953125" style="9"/>
  </cols>
  <sheetData>
    <row r="1" spans="1:18" ht="13.05" customHeight="1" thickBot="1" x14ac:dyDescent="0.3"/>
    <row r="2" spans="1:18" customFormat="1" ht="49.95" customHeight="1" thickTop="1" x14ac:dyDescent="0.2">
      <c r="A2" s="13"/>
      <c r="B2" s="637" t="s">
        <v>629</v>
      </c>
      <c r="C2" s="638"/>
      <c r="D2" s="638"/>
      <c r="E2" s="638"/>
      <c r="F2" s="638"/>
      <c r="G2" s="638"/>
      <c r="H2" s="638"/>
      <c r="I2" s="638"/>
      <c r="J2" s="638"/>
      <c r="K2" s="638"/>
      <c r="L2" s="638"/>
      <c r="M2" s="638"/>
      <c r="N2" s="638"/>
      <c r="O2" s="638"/>
      <c r="P2" s="638"/>
      <c r="Q2" s="638"/>
      <c r="R2" s="639"/>
    </row>
    <row r="3" spans="1:18" ht="18" customHeight="1" x14ac:dyDescent="0.25">
      <c r="B3" s="18"/>
      <c r="C3" s="36" t="s">
        <v>85</v>
      </c>
      <c r="D3" s="36" t="s">
        <v>86</v>
      </c>
      <c r="E3" s="36" t="s">
        <v>87</v>
      </c>
      <c r="F3" s="36" t="s">
        <v>88</v>
      </c>
      <c r="G3" s="36" t="s">
        <v>89</v>
      </c>
      <c r="H3" s="36" t="s">
        <v>90</v>
      </c>
      <c r="I3" s="36" t="s">
        <v>91</v>
      </c>
      <c r="J3" s="36" t="s">
        <v>92</v>
      </c>
      <c r="K3" s="36" t="s">
        <v>93</v>
      </c>
      <c r="L3" s="36" t="s">
        <v>94</v>
      </c>
      <c r="M3" s="36" t="s">
        <v>95</v>
      </c>
      <c r="N3" s="36" t="s">
        <v>96</v>
      </c>
      <c r="O3" s="36" t="s">
        <v>97</v>
      </c>
      <c r="P3" s="36" t="s">
        <v>104</v>
      </c>
      <c r="Q3" s="36" t="s">
        <v>134</v>
      </c>
      <c r="R3" s="37" t="s">
        <v>196</v>
      </c>
    </row>
    <row r="4" spans="1:18" ht="18" customHeight="1" thickBot="1" x14ac:dyDescent="0.3">
      <c r="B4" s="18"/>
      <c r="C4" s="707" t="s">
        <v>566</v>
      </c>
      <c r="D4" s="707"/>
      <c r="E4" s="707"/>
      <c r="F4" s="707"/>
      <c r="G4" s="707"/>
      <c r="H4" s="707"/>
      <c r="I4" s="707"/>
      <c r="J4" s="707"/>
      <c r="K4" s="707"/>
      <c r="L4" s="707"/>
      <c r="M4" s="707"/>
      <c r="N4" s="707"/>
      <c r="O4" s="707"/>
      <c r="P4" s="707"/>
      <c r="Q4" s="707"/>
      <c r="R4" s="708"/>
    </row>
    <row r="5" spans="1:18" ht="37.049999999999997" customHeight="1" x14ac:dyDescent="0.25">
      <c r="B5" s="18"/>
      <c r="C5" s="713" t="s">
        <v>619</v>
      </c>
      <c r="D5" s="714"/>
      <c r="E5" s="714"/>
      <c r="F5" s="714"/>
      <c r="G5" s="714"/>
      <c r="H5" s="714"/>
      <c r="I5" s="714"/>
      <c r="J5" s="715"/>
      <c r="K5" s="701" t="s">
        <v>709</v>
      </c>
      <c r="L5" s="713" t="s">
        <v>620</v>
      </c>
      <c r="M5" s="714"/>
      <c r="N5" s="714"/>
      <c r="O5" s="714"/>
      <c r="P5" s="714"/>
      <c r="Q5" s="714"/>
      <c r="R5" s="718"/>
    </row>
    <row r="6" spans="1:18" ht="18" customHeight="1" x14ac:dyDescent="0.25">
      <c r="B6" s="18"/>
      <c r="C6" s="709" t="s">
        <v>341</v>
      </c>
      <c r="D6" s="704" t="s">
        <v>330</v>
      </c>
      <c r="E6" s="716" t="s">
        <v>348</v>
      </c>
      <c r="F6" s="704" t="s">
        <v>326</v>
      </c>
      <c r="G6" s="704" t="s">
        <v>347</v>
      </c>
      <c r="H6" s="704" t="s">
        <v>565</v>
      </c>
      <c r="I6" s="704" t="s">
        <v>710</v>
      </c>
      <c r="J6" s="711" t="s">
        <v>563</v>
      </c>
      <c r="K6" s="702"/>
      <c r="L6" s="709" t="s">
        <v>711</v>
      </c>
      <c r="M6" s="704" t="s">
        <v>293</v>
      </c>
      <c r="N6" s="704" t="s">
        <v>248</v>
      </c>
      <c r="O6" s="704" t="s">
        <v>267</v>
      </c>
      <c r="P6" s="704" t="s">
        <v>564</v>
      </c>
      <c r="Q6" s="704" t="s">
        <v>81</v>
      </c>
      <c r="R6" s="705" t="s">
        <v>708</v>
      </c>
    </row>
    <row r="7" spans="1:18" ht="91.05" customHeight="1" thickBot="1" x14ac:dyDescent="0.3">
      <c r="B7" s="19"/>
      <c r="C7" s="710"/>
      <c r="D7" s="660"/>
      <c r="E7" s="717"/>
      <c r="F7" s="660"/>
      <c r="G7" s="660"/>
      <c r="H7" s="660"/>
      <c r="I7" s="660"/>
      <c r="J7" s="712"/>
      <c r="K7" s="703"/>
      <c r="L7" s="710"/>
      <c r="M7" s="660"/>
      <c r="N7" s="660"/>
      <c r="O7" s="660"/>
      <c r="P7" s="660"/>
      <c r="Q7" s="660"/>
      <c r="R7" s="706"/>
    </row>
    <row r="8" spans="1:18" ht="18" customHeight="1" x14ac:dyDescent="0.25">
      <c r="B8" s="424"/>
      <c r="C8" s="649" t="s">
        <v>156</v>
      </c>
      <c r="D8" s="649"/>
      <c r="E8" s="649"/>
      <c r="F8" s="649"/>
      <c r="G8" s="649"/>
      <c r="H8" s="649"/>
      <c r="I8" s="649"/>
      <c r="J8" s="649"/>
      <c r="K8" s="649"/>
      <c r="L8" s="649"/>
      <c r="M8" s="649"/>
      <c r="N8" s="649"/>
      <c r="O8" s="649"/>
      <c r="P8" s="649"/>
      <c r="Q8" s="649"/>
      <c r="R8" s="677"/>
    </row>
    <row r="9" spans="1:18" ht="18" customHeight="1" x14ac:dyDescent="0.25">
      <c r="B9" s="418"/>
      <c r="C9" s="647"/>
      <c r="D9" s="647"/>
      <c r="E9" s="647"/>
      <c r="F9" s="647"/>
      <c r="G9" s="647"/>
      <c r="H9" s="647"/>
      <c r="I9" s="647"/>
      <c r="J9" s="647"/>
      <c r="K9" s="647"/>
      <c r="L9" s="647"/>
      <c r="M9" s="647"/>
      <c r="N9" s="647"/>
      <c r="O9" s="647"/>
      <c r="P9" s="647"/>
      <c r="Q9" s="647"/>
      <c r="R9" s="676"/>
    </row>
    <row r="10" spans="1:18" ht="18" customHeight="1" x14ac:dyDescent="0.35">
      <c r="B10" s="305">
        <v>2001</v>
      </c>
      <c r="C10" s="223">
        <f t="shared" ref="C10:R10" si="0">C20+C30</f>
        <v>2303.60349</v>
      </c>
      <c r="D10" s="223">
        <f t="shared" si="0"/>
        <v>1304.0444899999998</v>
      </c>
      <c r="E10" s="223">
        <f t="shared" si="0"/>
        <v>1289.75406</v>
      </c>
      <c r="F10" s="223">
        <f t="shared" si="0"/>
        <v>791.61626000000001</v>
      </c>
      <c r="G10" s="223">
        <f t="shared" si="0"/>
        <v>710.33043999999995</v>
      </c>
      <c r="H10" s="223">
        <f t="shared" si="0"/>
        <v>2749.7027744684056</v>
      </c>
      <c r="I10" s="223">
        <f t="shared" si="0"/>
        <v>1700.3725626340001</v>
      </c>
      <c r="J10" s="224">
        <f t="shared" si="0"/>
        <v>10849.424077102405</v>
      </c>
      <c r="K10" s="226">
        <f t="shared" ref="K10" si="1">K20+K30</f>
        <v>2531.9708607429357</v>
      </c>
      <c r="L10" s="223">
        <f t="shared" si="0"/>
        <v>820.61419000000001</v>
      </c>
      <c r="M10" s="223">
        <f t="shared" si="0"/>
        <v>432.83905000000004</v>
      </c>
      <c r="N10" s="223">
        <f t="shared" si="0"/>
        <v>342.47274000000004</v>
      </c>
      <c r="O10" s="223">
        <f t="shared" si="0"/>
        <v>162.43257</v>
      </c>
      <c r="P10" s="223">
        <f t="shared" si="0"/>
        <v>273.13314000000003</v>
      </c>
      <c r="Q10" s="223">
        <f t="shared" si="0"/>
        <v>859.6546799999993</v>
      </c>
      <c r="R10" s="422">
        <f t="shared" si="0"/>
        <v>2891.1463699999995</v>
      </c>
    </row>
    <row r="11" spans="1:18" ht="18" customHeight="1" x14ac:dyDescent="0.35">
      <c r="B11" s="305">
        <f t="shared" ref="B11:B17" si="2">B10+1</f>
        <v>2002</v>
      </c>
      <c r="C11" s="223">
        <f t="shared" ref="C11:C17" si="3">C21+C31</f>
        <v>2246.0338400000001</v>
      </c>
      <c r="D11" s="223">
        <f t="shared" ref="D11:I11" si="4">D21+D31</f>
        <v>1360.38015</v>
      </c>
      <c r="E11" s="223">
        <f t="shared" si="4"/>
        <v>1394.51972</v>
      </c>
      <c r="F11" s="223">
        <f t="shared" si="4"/>
        <v>897.83190999999999</v>
      </c>
      <c r="G11" s="223">
        <f t="shared" si="4"/>
        <v>931.87644</v>
      </c>
      <c r="H11" s="223">
        <f t="shared" si="4"/>
        <v>3166.3907475001274</v>
      </c>
      <c r="I11" s="223">
        <f t="shared" si="4"/>
        <v>1958.092690507</v>
      </c>
      <c r="J11" s="224">
        <f t="shared" ref="J11:K17" si="5">J21+J31</f>
        <v>11955.125498007128</v>
      </c>
      <c r="K11" s="226">
        <f t="shared" si="5"/>
        <v>2392.0139553325735</v>
      </c>
      <c r="L11" s="223">
        <f t="shared" ref="L11:Q17" si="6">L21+L31</f>
        <v>923.39876000000004</v>
      </c>
      <c r="M11" s="223">
        <f t="shared" si="6"/>
        <v>573.96709999999996</v>
      </c>
      <c r="N11" s="223">
        <f t="shared" si="6"/>
        <v>426.36205999999999</v>
      </c>
      <c r="O11" s="223">
        <f t="shared" si="6"/>
        <v>187.67102</v>
      </c>
      <c r="P11" s="223">
        <f t="shared" si="6"/>
        <v>319.85085000000004</v>
      </c>
      <c r="Q11" s="223">
        <f t="shared" si="6"/>
        <v>975.61474999999973</v>
      </c>
      <c r="R11" s="422">
        <f t="shared" ref="R11:R17" si="7">R21+R31</f>
        <v>3406.8645399999996</v>
      </c>
    </row>
    <row r="12" spans="1:18" ht="18" customHeight="1" x14ac:dyDescent="0.35">
      <c r="B12" s="305">
        <f t="shared" si="2"/>
        <v>2003</v>
      </c>
      <c r="C12" s="223">
        <f t="shared" si="3"/>
        <v>3134.2440000000001</v>
      </c>
      <c r="D12" s="223">
        <f t="shared" ref="D12:I12" si="8">D22+D32</f>
        <v>1670.20434</v>
      </c>
      <c r="E12" s="223">
        <f t="shared" si="8"/>
        <v>1721.31429</v>
      </c>
      <c r="F12" s="223">
        <f t="shared" si="8"/>
        <v>1205.1267700000001</v>
      </c>
      <c r="G12" s="223">
        <f t="shared" si="8"/>
        <v>1369.5768500000001</v>
      </c>
      <c r="H12" s="223">
        <f t="shared" si="8"/>
        <v>4412.0923211485006</v>
      </c>
      <c r="I12" s="223">
        <f t="shared" si="8"/>
        <v>2542.6835713260002</v>
      </c>
      <c r="J12" s="224">
        <f t="shared" si="5"/>
        <v>16055.242142474501</v>
      </c>
      <c r="K12" s="226">
        <f t="shared" si="5"/>
        <v>2857.6815407211079</v>
      </c>
      <c r="L12" s="223">
        <f t="shared" si="6"/>
        <v>1333.2035100000001</v>
      </c>
      <c r="M12" s="223">
        <f t="shared" si="6"/>
        <v>835.79530999999997</v>
      </c>
      <c r="N12" s="223">
        <f t="shared" si="6"/>
        <v>618.19075999999995</v>
      </c>
      <c r="O12" s="223">
        <f t="shared" si="6"/>
        <v>253.97787999999997</v>
      </c>
      <c r="P12" s="223">
        <f t="shared" si="6"/>
        <v>431.52277000000004</v>
      </c>
      <c r="Q12" s="223">
        <f t="shared" si="6"/>
        <v>1251.9191000000001</v>
      </c>
      <c r="R12" s="422">
        <f t="shared" si="7"/>
        <v>4724.6093300000002</v>
      </c>
    </row>
    <row r="13" spans="1:18" ht="18" customHeight="1" x14ac:dyDescent="0.35">
      <c r="B13" s="305">
        <f t="shared" si="2"/>
        <v>2004</v>
      </c>
      <c r="C13" s="223">
        <f t="shared" si="3"/>
        <v>3764.3509199999999</v>
      </c>
      <c r="D13" s="223">
        <f t="shared" ref="D13:I13" si="9">D23+D33</f>
        <v>2109.7010399999999</v>
      </c>
      <c r="E13" s="223">
        <f t="shared" si="9"/>
        <v>2009.6723900000002</v>
      </c>
      <c r="F13" s="223">
        <f t="shared" si="9"/>
        <v>1515.4765499999999</v>
      </c>
      <c r="G13" s="223">
        <f t="shared" si="9"/>
        <v>1750.7055800000001</v>
      </c>
      <c r="H13" s="223">
        <f t="shared" si="9"/>
        <v>5524.9396591795912</v>
      </c>
      <c r="I13" s="223">
        <f t="shared" si="9"/>
        <v>3096.0828506560001</v>
      </c>
      <c r="J13" s="224">
        <f t="shared" si="5"/>
        <v>19770.928989835589</v>
      </c>
      <c r="K13" s="226">
        <f t="shared" si="5"/>
        <v>3316.0255408955072</v>
      </c>
      <c r="L13" s="223">
        <f t="shared" si="6"/>
        <v>1616.3135299999999</v>
      </c>
      <c r="M13" s="223">
        <f t="shared" si="6"/>
        <v>1072.3118399999998</v>
      </c>
      <c r="N13" s="223">
        <f t="shared" si="6"/>
        <v>857.75208999999995</v>
      </c>
      <c r="O13" s="223">
        <f t="shared" si="6"/>
        <v>309.65778</v>
      </c>
      <c r="P13" s="223">
        <f t="shared" si="6"/>
        <v>653.57309999999995</v>
      </c>
      <c r="Q13" s="223">
        <f t="shared" si="6"/>
        <v>1353.5598200000006</v>
      </c>
      <c r="R13" s="422">
        <f t="shared" si="7"/>
        <v>5863.1681600000002</v>
      </c>
    </row>
    <row r="14" spans="1:18" ht="18" customHeight="1" x14ac:dyDescent="0.35">
      <c r="B14" s="305">
        <f t="shared" si="2"/>
        <v>2005</v>
      </c>
      <c r="C14" s="223">
        <f t="shared" si="3"/>
        <v>4591.1219999999994</v>
      </c>
      <c r="D14" s="223">
        <f t="shared" ref="D14:I14" si="10">D24+D34</f>
        <v>2373.92373</v>
      </c>
      <c r="E14" s="223">
        <f t="shared" si="10"/>
        <v>2114.8893499999999</v>
      </c>
      <c r="F14" s="223">
        <f t="shared" si="10"/>
        <v>1552.8025900000002</v>
      </c>
      <c r="G14" s="223">
        <f t="shared" si="10"/>
        <v>1873.2590700000001</v>
      </c>
      <c r="H14" s="223">
        <f t="shared" si="10"/>
        <v>6290.4059091615327</v>
      </c>
      <c r="I14" s="223">
        <f t="shared" si="10"/>
        <v>3418.383971317</v>
      </c>
      <c r="J14" s="224">
        <f t="shared" si="5"/>
        <v>22214.786620478531</v>
      </c>
      <c r="K14" s="226">
        <f t="shared" si="5"/>
        <v>3675.6375088096192</v>
      </c>
      <c r="L14" s="223">
        <f t="shared" si="6"/>
        <v>1840.92119</v>
      </c>
      <c r="M14" s="223">
        <f t="shared" si="6"/>
        <v>1182.2115800000001</v>
      </c>
      <c r="N14" s="223">
        <f t="shared" si="6"/>
        <v>911.41053999999997</v>
      </c>
      <c r="O14" s="223">
        <f t="shared" si="6"/>
        <v>392.13337000000001</v>
      </c>
      <c r="P14" s="223">
        <f t="shared" si="6"/>
        <v>707.33939999999996</v>
      </c>
      <c r="Q14" s="223">
        <f t="shared" si="6"/>
        <v>1474.1915300000003</v>
      </c>
      <c r="R14" s="422">
        <f t="shared" si="7"/>
        <v>6508.2076100000004</v>
      </c>
    </row>
    <row r="15" spans="1:18" ht="18" customHeight="1" x14ac:dyDescent="0.35">
      <c r="B15" s="305">
        <f t="shared" si="2"/>
        <v>2006</v>
      </c>
      <c r="C15" s="223">
        <f t="shared" si="3"/>
        <v>5972.3560000000007</v>
      </c>
      <c r="D15" s="223">
        <f t="shared" ref="D15:I15" si="11">D25+D35</f>
        <v>3140.50945</v>
      </c>
      <c r="E15" s="223">
        <f t="shared" si="11"/>
        <v>2343.4823900000001</v>
      </c>
      <c r="F15" s="223">
        <f t="shared" si="11"/>
        <v>2310.38274</v>
      </c>
      <c r="G15" s="223">
        <f t="shared" si="11"/>
        <v>2463.9595899999999</v>
      </c>
      <c r="H15" s="223">
        <f t="shared" si="11"/>
        <v>7980.033712445952</v>
      </c>
      <c r="I15" s="223">
        <f t="shared" si="11"/>
        <v>4082.9575846970001</v>
      </c>
      <c r="J15" s="224">
        <f t="shared" si="5"/>
        <v>28293.681467142953</v>
      </c>
      <c r="K15" s="226">
        <f t="shared" si="5"/>
        <v>3760.0031502700131</v>
      </c>
      <c r="L15" s="223">
        <f t="shared" si="6"/>
        <v>2430.9198200000001</v>
      </c>
      <c r="M15" s="223">
        <f t="shared" si="6"/>
        <v>1620.2181800000001</v>
      </c>
      <c r="N15" s="223">
        <f t="shared" si="6"/>
        <v>1334.48702</v>
      </c>
      <c r="O15" s="223">
        <f t="shared" si="6"/>
        <v>448.66081999999994</v>
      </c>
      <c r="P15" s="223">
        <f t="shared" si="6"/>
        <v>1055.33599</v>
      </c>
      <c r="Q15" s="223">
        <f t="shared" si="6"/>
        <v>1788.2859699999999</v>
      </c>
      <c r="R15" s="422">
        <f t="shared" si="7"/>
        <v>8677.9078000000009</v>
      </c>
    </row>
    <row r="16" spans="1:18" ht="18" customHeight="1" x14ac:dyDescent="0.35">
      <c r="B16" s="305">
        <f t="shared" si="2"/>
        <v>2007</v>
      </c>
      <c r="C16" s="223">
        <f t="shared" si="3"/>
        <v>7191.7790000000005</v>
      </c>
      <c r="D16" s="223">
        <f t="shared" ref="D16:I16" si="12">D26+D36</f>
        <v>3393.41104</v>
      </c>
      <c r="E16" s="223">
        <f t="shared" si="12"/>
        <v>2523.5666999999999</v>
      </c>
      <c r="F16" s="223">
        <f t="shared" si="12"/>
        <v>2624.8058099999998</v>
      </c>
      <c r="G16" s="223">
        <f t="shared" si="12"/>
        <v>2964.9951700000001</v>
      </c>
      <c r="H16" s="223">
        <f t="shared" si="12"/>
        <v>9656.1798763203387</v>
      </c>
      <c r="I16" s="223">
        <f t="shared" si="12"/>
        <v>5194.7425479849999</v>
      </c>
      <c r="J16" s="224">
        <f t="shared" si="5"/>
        <v>33549.480144305337</v>
      </c>
      <c r="K16" s="226">
        <f t="shared" si="5"/>
        <v>5131.3253618628769</v>
      </c>
      <c r="L16" s="223">
        <f t="shared" si="6"/>
        <v>2882.6067400000002</v>
      </c>
      <c r="M16" s="223">
        <f t="shared" si="6"/>
        <v>1970.4676599999998</v>
      </c>
      <c r="N16" s="223">
        <f t="shared" si="6"/>
        <v>1633.7588499999999</v>
      </c>
      <c r="O16" s="223">
        <f t="shared" si="6"/>
        <v>573.70752000000005</v>
      </c>
      <c r="P16" s="223">
        <f t="shared" si="6"/>
        <v>1372.5707499999999</v>
      </c>
      <c r="Q16" s="223">
        <f t="shared" si="6"/>
        <v>2187.5246700000002</v>
      </c>
      <c r="R16" s="422">
        <f t="shared" si="7"/>
        <v>10620.636190000001</v>
      </c>
    </row>
    <row r="17" spans="2:18" ht="18" customHeight="1" x14ac:dyDescent="0.35">
      <c r="B17" s="305">
        <f t="shared" si="2"/>
        <v>2008</v>
      </c>
      <c r="C17" s="223">
        <f t="shared" si="3"/>
        <v>4267.8649999999998</v>
      </c>
      <c r="D17" s="223">
        <f t="shared" ref="D17:I17" si="13">D27+D37</f>
        <v>2426.25153</v>
      </c>
      <c r="E17" s="223">
        <f t="shared" si="13"/>
        <v>2376.6060600000001</v>
      </c>
      <c r="F17" s="223">
        <f t="shared" si="13"/>
        <v>2149.1550099999999</v>
      </c>
      <c r="G17" s="223">
        <f t="shared" si="13"/>
        <v>2553.3653100000001</v>
      </c>
      <c r="H17" s="223">
        <f t="shared" si="13"/>
        <v>7583.5533473463192</v>
      </c>
      <c r="I17" s="223">
        <f t="shared" si="13"/>
        <v>6124.3971809969999</v>
      </c>
      <c r="J17" s="224">
        <f t="shared" si="5"/>
        <v>27481.193438343318</v>
      </c>
      <c r="K17" s="421">
        <f t="shared" si="5"/>
        <v>4489.9775625675575</v>
      </c>
      <c r="L17" s="223">
        <f t="shared" si="6"/>
        <v>2120.2035500000002</v>
      </c>
      <c r="M17" s="223">
        <f t="shared" si="6"/>
        <v>1626.80546</v>
      </c>
      <c r="N17" s="223">
        <f t="shared" si="6"/>
        <v>1252.7059199999999</v>
      </c>
      <c r="O17" s="223">
        <f t="shared" si="6"/>
        <v>396.06900000000002</v>
      </c>
      <c r="P17" s="223">
        <f t="shared" si="6"/>
        <v>1069.0184899999999</v>
      </c>
      <c r="Q17" s="223">
        <f t="shared" si="6"/>
        <v>1661.3053899999991</v>
      </c>
      <c r="R17" s="422">
        <f t="shared" si="7"/>
        <v>8126.1078099999995</v>
      </c>
    </row>
    <row r="18" spans="2:18" ht="18" customHeight="1" x14ac:dyDescent="0.25">
      <c r="B18" s="16"/>
      <c r="C18" s="645" t="s">
        <v>278</v>
      </c>
      <c r="D18" s="645"/>
      <c r="E18" s="645"/>
      <c r="F18" s="645"/>
      <c r="G18" s="645"/>
      <c r="H18" s="645"/>
      <c r="I18" s="645"/>
      <c r="J18" s="645"/>
      <c r="K18" s="645"/>
      <c r="L18" s="645"/>
      <c r="M18" s="645"/>
      <c r="N18" s="645"/>
      <c r="O18" s="645"/>
      <c r="P18" s="645"/>
      <c r="Q18" s="645"/>
      <c r="R18" s="675"/>
    </row>
    <row r="19" spans="2:18" ht="18" customHeight="1" x14ac:dyDescent="0.25">
      <c r="B19" s="16"/>
      <c r="C19" s="647"/>
      <c r="D19" s="647"/>
      <c r="E19" s="647"/>
      <c r="F19" s="647"/>
      <c r="G19" s="647"/>
      <c r="H19" s="647"/>
      <c r="I19" s="647"/>
      <c r="J19" s="647"/>
      <c r="K19" s="647"/>
      <c r="L19" s="647"/>
      <c r="M19" s="647"/>
      <c r="N19" s="647"/>
      <c r="O19" s="647"/>
      <c r="P19" s="647"/>
      <c r="Q19" s="647"/>
      <c r="R19" s="676"/>
    </row>
    <row r="20" spans="2:18" ht="18" customHeight="1" x14ac:dyDescent="0.35">
      <c r="B20" s="305">
        <v>2001</v>
      </c>
      <c r="C20" s="223">
        <v>1612.6669999999999</v>
      </c>
      <c r="D20" s="223">
        <v>558.37931999999989</v>
      </c>
      <c r="E20" s="224">
        <v>227.35139999999998</v>
      </c>
      <c r="F20" s="223">
        <v>381.18428999999998</v>
      </c>
      <c r="G20" s="223">
        <v>201.7516</v>
      </c>
      <c r="H20" s="223">
        <f t="shared" ref="H20:H27" si="14">J20-I20-SUM(C20:G20)</f>
        <v>1359.4613214532096</v>
      </c>
      <c r="I20" s="223">
        <f>'Table A1'!P21</f>
        <v>45.706617716592639</v>
      </c>
      <c r="J20" s="224">
        <f>'Table A1'!O21-R20</f>
        <v>4386.5015491698023</v>
      </c>
      <c r="K20" s="226">
        <f>'Table A3'!E20</f>
        <v>1572.5898086755378</v>
      </c>
      <c r="L20" s="223">
        <v>319.09314000000001</v>
      </c>
      <c r="M20" s="223">
        <v>133.75489999999999</v>
      </c>
      <c r="N20" s="223">
        <v>163.9546</v>
      </c>
      <c r="O20" s="223">
        <v>31.032119999999999</v>
      </c>
      <c r="P20" s="223">
        <v>94.614999999999995</v>
      </c>
      <c r="Q20" s="223">
        <f>R20-N20-M20-L20-O20-P20</f>
        <v>424.72518999999977</v>
      </c>
      <c r="R20" s="422">
        <v>1167.1749499999999</v>
      </c>
    </row>
    <row r="21" spans="2:18" ht="18" customHeight="1" x14ac:dyDescent="0.35">
      <c r="B21" s="305">
        <f t="shared" ref="B21:B27" si="15">B20+1</f>
        <v>2002</v>
      </c>
      <c r="C21" s="223">
        <v>1385.3586799999998</v>
      </c>
      <c r="D21" s="223">
        <v>493.03512999999998</v>
      </c>
      <c r="E21" s="224">
        <v>210.81728000000001</v>
      </c>
      <c r="F21" s="223">
        <v>331.22874999999999</v>
      </c>
      <c r="G21" s="223">
        <v>200.09414999999998</v>
      </c>
      <c r="H21" s="223">
        <f t="shared" si="14"/>
        <v>1305.2524010828588</v>
      </c>
      <c r="I21" s="223">
        <f>'Table A1'!P22</f>
        <v>42.73135075401877</v>
      </c>
      <c r="J21" s="224">
        <f>'Table A1'!O22-R21</f>
        <v>3968.5177418368776</v>
      </c>
      <c r="K21" s="226">
        <f>'Table A3'!E21</f>
        <v>1501.0543115028213</v>
      </c>
      <c r="L21" s="223">
        <v>304.99659000000003</v>
      </c>
      <c r="M21" s="223">
        <v>152.85641000000001</v>
      </c>
      <c r="N21" s="223">
        <v>202.23220999999998</v>
      </c>
      <c r="O21" s="223">
        <v>30.998249999999999</v>
      </c>
      <c r="P21" s="223">
        <v>95.721000000000004</v>
      </c>
      <c r="Q21" s="223">
        <f t="shared" ref="Q21:Q27" si="16">R21-N21-M21-L21-O21-P21</f>
        <v>418.52347999999995</v>
      </c>
      <c r="R21" s="422">
        <v>1205.3279399999999</v>
      </c>
    </row>
    <row r="22" spans="2:18" ht="18" customHeight="1" x14ac:dyDescent="0.35">
      <c r="B22" s="305">
        <f t="shared" si="15"/>
        <v>2003</v>
      </c>
      <c r="C22" s="223">
        <v>2080.3020000000001</v>
      </c>
      <c r="D22" s="223">
        <v>663.87270000000001</v>
      </c>
      <c r="E22" s="224">
        <v>274.45716999999996</v>
      </c>
      <c r="F22" s="223">
        <v>440.81351000000001</v>
      </c>
      <c r="G22" s="223">
        <v>340.24034</v>
      </c>
      <c r="H22" s="223">
        <f t="shared" si="14"/>
        <v>1860.5772906501784</v>
      </c>
      <c r="I22" s="223">
        <f>'Table A1'!P23</f>
        <v>63.842140698830306</v>
      </c>
      <c r="J22" s="224">
        <f>'Table A1'!O23-R22</f>
        <v>5724.1051513490083</v>
      </c>
      <c r="K22" s="226">
        <f>'Table A3'!E22</f>
        <v>1939.7549518465994</v>
      </c>
      <c r="L22" s="223">
        <v>488.24</v>
      </c>
      <c r="M22" s="223">
        <v>223.38601</v>
      </c>
      <c r="N22" s="223">
        <v>339.49898999999999</v>
      </c>
      <c r="O22" s="223">
        <v>62.037669999999999</v>
      </c>
      <c r="P22" s="223">
        <v>152.83099999999999</v>
      </c>
      <c r="Q22" s="223">
        <f t="shared" si="16"/>
        <v>555.99623999999994</v>
      </c>
      <c r="R22" s="422">
        <v>1821.98991</v>
      </c>
    </row>
    <row r="23" spans="2:18" ht="18" customHeight="1" x14ac:dyDescent="0.35">
      <c r="B23" s="305">
        <f t="shared" si="15"/>
        <v>2004</v>
      </c>
      <c r="C23" s="223">
        <v>2560.4179100000001</v>
      </c>
      <c r="D23" s="223">
        <v>879.34131000000002</v>
      </c>
      <c r="E23" s="224">
        <v>364.69028000000003</v>
      </c>
      <c r="F23" s="223">
        <v>523.83371</v>
      </c>
      <c r="G23" s="223">
        <v>442.65451000000002</v>
      </c>
      <c r="H23" s="223">
        <f t="shared" si="14"/>
        <v>2285.2506664976563</v>
      </c>
      <c r="I23" s="223">
        <f>'Table A1'!P24</f>
        <v>81.655370406815351</v>
      </c>
      <c r="J23" s="224">
        <f>'Table A1'!O24-R23</f>
        <v>7137.8437569044718</v>
      </c>
      <c r="K23" s="226">
        <f>'Table A3'!E23</f>
        <v>2344.3501038266259</v>
      </c>
      <c r="L23" s="223">
        <v>637.83660999999995</v>
      </c>
      <c r="M23" s="223">
        <v>304.94284999999996</v>
      </c>
      <c r="N23" s="223">
        <v>403.84998999999999</v>
      </c>
      <c r="O23" s="223">
        <v>64.585070000000002</v>
      </c>
      <c r="P23" s="223">
        <v>199.67099999999999</v>
      </c>
      <c r="Q23" s="223">
        <f t="shared" si="16"/>
        <v>676.83031000000028</v>
      </c>
      <c r="R23" s="422">
        <v>2287.7158300000001</v>
      </c>
    </row>
    <row r="24" spans="2:18" ht="18" customHeight="1" x14ac:dyDescent="0.35">
      <c r="B24" s="305">
        <f t="shared" si="15"/>
        <v>2005</v>
      </c>
      <c r="C24" s="223">
        <v>3317.7049999999999</v>
      </c>
      <c r="D24" s="223">
        <v>1075.9968200000001</v>
      </c>
      <c r="E24" s="224">
        <v>408.57479999999998</v>
      </c>
      <c r="F24" s="223">
        <v>529.08603000000005</v>
      </c>
      <c r="G24" s="223">
        <v>524.8873000000001</v>
      </c>
      <c r="H24" s="223">
        <f t="shared" si="14"/>
        <v>2739.4860921386662</v>
      </c>
      <c r="I24" s="223">
        <f>'Table A1'!P25</f>
        <v>91.950951041665149</v>
      </c>
      <c r="J24" s="224">
        <f>'Table A1'!O25-R24</f>
        <v>8687.6869931803321</v>
      </c>
      <c r="K24" s="226">
        <f>'Table A3'!E24</f>
        <v>2719.4393161078206</v>
      </c>
      <c r="L24" s="223">
        <v>807.86583999999993</v>
      </c>
      <c r="M24" s="223">
        <v>383.15477000000004</v>
      </c>
      <c r="N24" s="223">
        <v>431.90523999999999</v>
      </c>
      <c r="O24" s="223">
        <v>87.317820000000012</v>
      </c>
      <c r="P24" s="223">
        <v>227.83410000000001</v>
      </c>
      <c r="Q24" s="223">
        <f t="shared" si="16"/>
        <v>795.28066000000013</v>
      </c>
      <c r="R24" s="422">
        <v>2733.3584300000002</v>
      </c>
    </row>
    <row r="25" spans="2:18" ht="18" customHeight="1" x14ac:dyDescent="0.35">
      <c r="B25" s="305">
        <f t="shared" si="15"/>
        <v>2006</v>
      </c>
      <c r="C25" s="223">
        <v>4328.9620000000004</v>
      </c>
      <c r="D25" s="223">
        <v>1366.4815700000001</v>
      </c>
      <c r="E25" s="224">
        <v>510.41841999999997</v>
      </c>
      <c r="F25" s="223">
        <v>928.24396999999999</v>
      </c>
      <c r="G25" s="223">
        <v>743.02357999999992</v>
      </c>
      <c r="H25" s="223">
        <f t="shared" si="14"/>
        <v>3632.6085944789784</v>
      </c>
      <c r="I25" s="223">
        <f>'Table A1'!P26</f>
        <v>127.11120074666584</v>
      </c>
      <c r="J25" s="224">
        <f>'Table A1'!O26-R25</f>
        <v>11636.849335225645</v>
      </c>
      <c r="K25" s="226">
        <f>'Table A3'!E25</f>
        <v>3019.6332421873249</v>
      </c>
      <c r="L25" s="223">
        <v>1148.21344</v>
      </c>
      <c r="M25" s="223">
        <v>573.19920999999999</v>
      </c>
      <c r="N25" s="223">
        <v>618.02803000000006</v>
      </c>
      <c r="O25" s="223">
        <v>113.92202</v>
      </c>
      <c r="P25" s="223">
        <v>338.87700000000001</v>
      </c>
      <c r="Q25" s="223">
        <f t="shared" si="16"/>
        <v>1082.0111399999996</v>
      </c>
      <c r="R25" s="422">
        <v>3874.2508399999997</v>
      </c>
    </row>
    <row r="26" spans="2:18" ht="18" customHeight="1" x14ac:dyDescent="0.35">
      <c r="B26" s="305">
        <f t="shared" si="15"/>
        <v>2007</v>
      </c>
      <c r="C26" s="223">
        <v>5247.9830000000002</v>
      </c>
      <c r="D26" s="223">
        <v>1508.7104299999999</v>
      </c>
      <c r="E26" s="224">
        <v>573.46945999999991</v>
      </c>
      <c r="F26" s="223">
        <v>954.02531999999997</v>
      </c>
      <c r="G26" s="223">
        <v>826.85821999999996</v>
      </c>
      <c r="H26" s="223">
        <f t="shared" si="14"/>
        <v>4482.4553697201827</v>
      </c>
      <c r="I26" s="223">
        <f>'Table A1'!P27</f>
        <v>233.88880077762832</v>
      </c>
      <c r="J26" s="224">
        <f>'Table A1'!O27-R26</f>
        <v>13827.390600497811</v>
      </c>
      <c r="K26" s="226">
        <f>'Table A3'!E26</f>
        <v>3972.4070156704038</v>
      </c>
      <c r="L26" s="223">
        <v>1413.2355</v>
      </c>
      <c r="M26" s="223">
        <v>649.17251999999996</v>
      </c>
      <c r="N26" s="223">
        <v>775.69909999999993</v>
      </c>
      <c r="O26" s="223">
        <v>138.29469</v>
      </c>
      <c r="P26" s="223">
        <v>514.51099999999997</v>
      </c>
      <c r="Q26" s="223">
        <f t="shared" si="16"/>
        <v>1420.0522700000004</v>
      </c>
      <c r="R26" s="422">
        <v>4910.9650799999999</v>
      </c>
    </row>
    <row r="27" spans="2:18" ht="18" customHeight="1" x14ac:dyDescent="0.35">
      <c r="B27" s="305">
        <f t="shared" si="15"/>
        <v>2008</v>
      </c>
      <c r="C27" s="223">
        <v>2748.4279999999999</v>
      </c>
      <c r="D27" s="223">
        <v>824.01854000000003</v>
      </c>
      <c r="E27" s="224">
        <v>394.67768000000001</v>
      </c>
      <c r="F27" s="223">
        <v>589.52134000000001</v>
      </c>
      <c r="G27" s="223">
        <v>454.68896000000001</v>
      </c>
      <c r="H27" s="223">
        <f t="shared" si="14"/>
        <v>2707.6959844969433</v>
      </c>
      <c r="I27" s="223">
        <f>'Table A1'!P28</f>
        <v>178.03488155859066</v>
      </c>
      <c r="J27" s="224">
        <f>'Table A1'!O28-R27</f>
        <v>7897.065386055534</v>
      </c>
      <c r="K27" s="421">
        <f>'Table A3'!E27</f>
        <v>2816.1746248553427</v>
      </c>
      <c r="L27" s="223">
        <v>757.7389300000001</v>
      </c>
      <c r="M27" s="223">
        <v>431.02618999999999</v>
      </c>
      <c r="N27" s="223">
        <v>458.84722999999997</v>
      </c>
      <c r="O27" s="223">
        <v>81.298000000000002</v>
      </c>
      <c r="P27" s="223">
        <v>275.15979999999996</v>
      </c>
      <c r="Q27" s="223">
        <f t="shared" si="16"/>
        <v>945.06164999999987</v>
      </c>
      <c r="R27" s="422">
        <v>2949.1317999999997</v>
      </c>
    </row>
    <row r="28" spans="2:18" ht="18" customHeight="1" x14ac:dyDescent="0.25">
      <c r="B28" s="16"/>
      <c r="C28" s="645" t="s">
        <v>279</v>
      </c>
      <c r="D28" s="645"/>
      <c r="E28" s="645"/>
      <c r="F28" s="645"/>
      <c r="G28" s="645"/>
      <c r="H28" s="645"/>
      <c r="I28" s="645"/>
      <c r="J28" s="645"/>
      <c r="K28" s="645"/>
      <c r="L28" s="645"/>
      <c r="M28" s="645"/>
      <c r="N28" s="645"/>
      <c r="O28" s="645"/>
      <c r="P28" s="645"/>
      <c r="Q28" s="645"/>
      <c r="R28" s="675"/>
    </row>
    <row r="29" spans="2:18" ht="18" customHeight="1" x14ac:dyDescent="0.25">
      <c r="B29" s="16"/>
      <c r="C29" s="647"/>
      <c r="D29" s="647"/>
      <c r="E29" s="647"/>
      <c r="F29" s="647"/>
      <c r="G29" s="647"/>
      <c r="H29" s="647"/>
      <c r="I29" s="647"/>
      <c r="J29" s="647"/>
      <c r="K29" s="647"/>
      <c r="L29" s="647"/>
      <c r="M29" s="647"/>
      <c r="N29" s="647"/>
      <c r="O29" s="647"/>
      <c r="P29" s="647"/>
      <c r="Q29" s="647"/>
      <c r="R29" s="676"/>
    </row>
    <row r="30" spans="2:18" ht="18" customHeight="1" x14ac:dyDescent="0.35">
      <c r="B30" s="419">
        <v>2001</v>
      </c>
      <c r="C30" s="223">
        <v>690.93648999999994</v>
      </c>
      <c r="D30" s="223">
        <v>745.66516999999999</v>
      </c>
      <c r="E30" s="223">
        <v>1062.40266</v>
      </c>
      <c r="F30" s="223">
        <v>410.43196999999998</v>
      </c>
      <c r="G30" s="223">
        <v>508.57884000000001</v>
      </c>
      <c r="H30" s="223">
        <f t="shared" ref="H30:H37" si="17">J30-I30-SUM(C30:G30)</f>
        <v>1390.2414530151959</v>
      </c>
      <c r="I30" s="223">
        <f>'Table A1'!P31</f>
        <v>1654.6659449174074</v>
      </c>
      <c r="J30" s="224">
        <f>'Table A1'!O31-'Table A4'!R30</f>
        <v>6462.9225279326038</v>
      </c>
      <c r="K30" s="226">
        <f>'Table A3'!E30</f>
        <v>959.38105206739783</v>
      </c>
      <c r="L30" s="223">
        <v>501.52105</v>
      </c>
      <c r="M30" s="223">
        <v>299.08415000000002</v>
      </c>
      <c r="N30" s="223">
        <v>178.51814000000002</v>
      </c>
      <c r="O30" s="223">
        <v>131.40045000000001</v>
      </c>
      <c r="P30" s="223">
        <v>178.51814000000002</v>
      </c>
      <c r="Q30" s="223">
        <f>R30-N30-M30-L30-O30-P30</f>
        <v>434.92948999999953</v>
      </c>
      <c r="R30" s="422">
        <v>1723.9714199999999</v>
      </c>
    </row>
    <row r="31" spans="2:18" ht="18" customHeight="1" x14ac:dyDescent="0.35">
      <c r="B31" s="419">
        <f t="shared" ref="B31:B37" si="18">B30+1</f>
        <v>2002</v>
      </c>
      <c r="C31" s="223">
        <v>860.67516000000001</v>
      </c>
      <c r="D31" s="223">
        <v>867.34501999999998</v>
      </c>
      <c r="E31" s="223">
        <v>1183.70244</v>
      </c>
      <c r="F31" s="223">
        <v>566.60316</v>
      </c>
      <c r="G31" s="223">
        <v>731.78228999999999</v>
      </c>
      <c r="H31" s="223">
        <f t="shared" si="17"/>
        <v>1861.1383464172686</v>
      </c>
      <c r="I31" s="223">
        <f>'Table A1'!P32</f>
        <v>1915.3613397529812</v>
      </c>
      <c r="J31" s="224">
        <f>'Table A1'!O32-'Table A4'!R31</f>
        <v>7986.6077561702496</v>
      </c>
      <c r="K31" s="226">
        <f>'Table A3'!E31</f>
        <v>890.95964382975217</v>
      </c>
      <c r="L31" s="223">
        <v>618.40217000000007</v>
      </c>
      <c r="M31" s="223">
        <v>421.11068999999998</v>
      </c>
      <c r="N31" s="223">
        <v>224.12985</v>
      </c>
      <c r="O31" s="223">
        <v>156.67276999999999</v>
      </c>
      <c r="P31" s="223">
        <v>224.12985</v>
      </c>
      <c r="Q31" s="223">
        <f t="shared" ref="Q31:Q37" si="19">R31-N31-M31-L31-O31-P31</f>
        <v>557.09126999999978</v>
      </c>
      <c r="R31" s="422">
        <v>2201.5365999999999</v>
      </c>
    </row>
    <row r="32" spans="2:18" ht="18" customHeight="1" x14ac:dyDescent="0.35">
      <c r="B32" s="419">
        <f t="shared" si="18"/>
        <v>2003</v>
      </c>
      <c r="C32" s="223">
        <v>1053.942</v>
      </c>
      <c r="D32" s="223">
        <v>1006.33164</v>
      </c>
      <c r="E32" s="223">
        <v>1446.8571200000001</v>
      </c>
      <c r="F32" s="223">
        <v>764.31326000000001</v>
      </c>
      <c r="G32" s="223">
        <v>1029.3365100000001</v>
      </c>
      <c r="H32" s="223">
        <f t="shared" si="17"/>
        <v>2551.5150304983217</v>
      </c>
      <c r="I32" s="223">
        <f>'Table A1'!P33</f>
        <v>2478.8414306271698</v>
      </c>
      <c r="J32" s="224">
        <f>'Table A1'!O33-'Table A4'!R32</f>
        <v>10331.136991125491</v>
      </c>
      <c r="K32" s="226">
        <f>'Table A3'!E32</f>
        <v>917.92658887450852</v>
      </c>
      <c r="L32" s="223">
        <v>844.96351000000004</v>
      </c>
      <c r="M32" s="223">
        <v>612.40930000000003</v>
      </c>
      <c r="N32" s="223">
        <v>278.69177000000002</v>
      </c>
      <c r="O32" s="223">
        <v>191.94020999999998</v>
      </c>
      <c r="P32" s="223">
        <v>278.69177000000002</v>
      </c>
      <c r="Q32" s="223">
        <f t="shared" si="19"/>
        <v>695.92286000000001</v>
      </c>
      <c r="R32" s="422">
        <v>2902.61942</v>
      </c>
    </row>
    <row r="33" spans="2:18" ht="18" customHeight="1" x14ac:dyDescent="0.35">
      <c r="B33" s="419">
        <f t="shared" si="18"/>
        <v>2004</v>
      </c>
      <c r="C33" s="223">
        <v>1203.93301</v>
      </c>
      <c r="D33" s="223">
        <v>1230.3597299999999</v>
      </c>
      <c r="E33" s="223">
        <v>1644.9821100000001</v>
      </c>
      <c r="F33" s="223">
        <v>991.64283999999998</v>
      </c>
      <c r="G33" s="223">
        <v>1308.05107</v>
      </c>
      <c r="H33" s="223">
        <f t="shared" si="17"/>
        <v>3239.6889926819349</v>
      </c>
      <c r="I33" s="223">
        <f>'Table A1'!P34</f>
        <v>3014.4274802491846</v>
      </c>
      <c r="J33" s="224">
        <f>'Table A1'!O34-'Table A4'!R33</f>
        <v>12633.085232931118</v>
      </c>
      <c r="K33" s="226">
        <f>'Table A3'!E33</f>
        <v>971.67543706888137</v>
      </c>
      <c r="L33" s="223">
        <v>978.47692000000006</v>
      </c>
      <c r="M33" s="223">
        <v>767.36898999999994</v>
      </c>
      <c r="N33" s="223">
        <v>453.90209999999996</v>
      </c>
      <c r="O33" s="223">
        <v>245.07271</v>
      </c>
      <c r="P33" s="223">
        <v>453.90209999999996</v>
      </c>
      <c r="Q33" s="223">
        <f t="shared" si="19"/>
        <v>676.72951000000035</v>
      </c>
      <c r="R33" s="422">
        <v>3575.4523300000001</v>
      </c>
    </row>
    <row r="34" spans="2:18" ht="18" customHeight="1" x14ac:dyDescent="0.35">
      <c r="B34" s="419">
        <f t="shared" si="18"/>
        <v>2005</v>
      </c>
      <c r="C34" s="223">
        <v>1273.4169999999999</v>
      </c>
      <c r="D34" s="223">
        <v>1297.9269099999999</v>
      </c>
      <c r="E34" s="223">
        <v>1706.3145500000001</v>
      </c>
      <c r="F34" s="223">
        <v>1023.7165600000001</v>
      </c>
      <c r="G34" s="223">
        <v>1348.37177</v>
      </c>
      <c r="H34" s="223">
        <f t="shared" si="17"/>
        <v>3550.9198170228665</v>
      </c>
      <c r="I34" s="223">
        <f>'Table A1'!P35</f>
        <v>3326.4330202753349</v>
      </c>
      <c r="J34" s="224">
        <f>'Table A1'!O35-'Table A4'!R34</f>
        <v>13527.099627298201</v>
      </c>
      <c r="K34" s="226">
        <f>'Table A3'!E34</f>
        <v>956.19819270179869</v>
      </c>
      <c r="L34" s="223">
        <v>1033.0553500000001</v>
      </c>
      <c r="M34" s="223">
        <v>799.05681000000004</v>
      </c>
      <c r="N34" s="223">
        <v>479.50529999999998</v>
      </c>
      <c r="O34" s="223">
        <v>304.81554999999997</v>
      </c>
      <c r="P34" s="223">
        <v>479.50529999999998</v>
      </c>
      <c r="Q34" s="223">
        <f t="shared" si="19"/>
        <v>678.91087000000016</v>
      </c>
      <c r="R34" s="422">
        <v>3774.8491800000002</v>
      </c>
    </row>
    <row r="35" spans="2:18" ht="18" customHeight="1" x14ac:dyDescent="0.35">
      <c r="B35" s="419">
        <f t="shared" si="18"/>
        <v>2006</v>
      </c>
      <c r="C35" s="223">
        <v>1643.394</v>
      </c>
      <c r="D35" s="223">
        <v>1774.0278799999999</v>
      </c>
      <c r="E35" s="223">
        <v>1833.0639699999999</v>
      </c>
      <c r="F35" s="223">
        <v>1382.13877</v>
      </c>
      <c r="G35" s="223">
        <v>1720.9360099999999</v>
      </c>
      <c r="H35" s="223">
        <f t="shared" si="17"/>
        <v>4347.4251179669736</v>
      </c>
      <c r="I35" s="223">
        <f>'Table A1'!P36</f>
        <v>3955.8463839503343</v>
      </c>
      <c r="J35" s="224">
        <f>'Table A1'!O36-'Table A4'!R35</f>
        <v>16656.832131917308</v>
      </c>
      <c r="K35" s="226">
        <f>'Table A3'!E35</f>
        <v>740.3699080826882</v>
      </c>
      <c r="L35" s="223">
        <v>1282.7063799999999</v>
      </c>
      <c r="M35" s="223">
        <v>1047.0189700000001</v>
      </c>
      <c r="N35" s="223">
        <v>716.45898999999997</v>
      </c>
      <c r="O35" s="223">
        <v>334.73879999999997</v>
      </c>
      <c r="P35" s="223">
        <v>716.45898999999997</v>
      </c>
      <c r="Q35" s="223">
        <f t="shared" si="19"/>
        <v>706.27483000000041</v>
      </c>
      <c r="R35" s="422">
        <v>4803.6569600000003</v>
      </c>
    </row>
    <row r="36" spans="2:18" ht="18" customHeight="1" x14ac:dyDescent="0.35">
      <c r="B36" s="419">
        <f t="shared" si="18"/>
        <v>2007</v>
      </c>
      <c r="C36" s="223">
        <v>1943.796</v>
      </c>
      <c r="D36" s="223">
        <v>1884.7006100000001</v>
      </c>
      <c r="E36" s="223">
        <v>1950.0972400000001</v>
      </c>
      <c r="F36" s="223">
        <v>1670.7804900000001</v>
      </c>
      <c r="G36" s="223">
        <v>2138.1369500000001</v>
      </c>
      <c r="H36" s="223">
        <f t="shared" si="17"/>
        <v>5173.724506600156</v>
      </c>
      <c r="I36" s="223">
        <f>'Table A1'!P37</f>
        <v>4960.8537472073713</v>
      </c>
      <c r="J36" s="224">
        <f>'Table A1'!O37-'Table A4'!R36</f>
        <v>19722.089543807528</v>
      </c>
      <c r="K36" s="226">
        <f>'Table A3'!E36</f>
        <v>1158.9183461924731</v>
      </c>
      <c r="L36" s="223">
        <v>1469.3712399999999</v>
      </c>
      <c r="M36" s="223">
        <v>1321.2951399999999</v>
      </c>
      <c r="N36" s="223">
        <v>858.05975000000001</v>
      </c>
      <c r="O36" s="223">
        <v>435.41283000000004</v>
      </c>
      <c r="P36" s="223">
        <v>858.05975000000001</v>
      </c>
      <c r="Q36" s="223">
        <f t="shared" si="19"/>
        <v>767.47239999999977</v>
      </c>
      <c r="R36" s="422">
        <v>5709.6711100000002</v>
      </c>
    </row>
    <row r="37" spans="2:18" ht="18" customHeight="1" thickBot="1" x14ac:dyDescent="0.4">
      <c r="B37" s="420">
        <f t="shared" si="18"/>
        <v>2008</v>
      </c>
      <c r="C37" s="227">
        <v>1519.4369999999999</v>
      </c>
      <c r="D37" s="227">
        <v>1602.23299</v>
      </c>
      <c r="E37" s="227">
        <v>1981.9283799999998</v>
      </c>
      <c r="F37" s="227">
        <v>1559.6336699999999</v>
      </c>
      <c r="G37" s="227">
        <v>2098.6763500000002</v>
      </c>
      <c r="H37" s="227">
        <f t="shared" si="17"/>
        <v>4875.8573628493759</v>
      </c>
      <c r="I37" s="227">
        <f>'Table A1'!P38</f>
        <v>5946.3622994384095</v>
      </c>
      <c r="J37" s="228">
        <f>'Table A1'!O38-'Table A4'!R37</f>
        <v>19584.128052287786</v>
      </c>
      <c r="K37" s="229">
        <f>'Table A3'!E37</f>
        <v>1673.8029377122148</v>
      </c>
      <c r="L37" s="227">
        <v>1362.4646200000002</v>
      </c>
      <c r="M37" s="227">
        <v>1195.77927</v>
      </c>
      <c r="N37" s="227">
        <v>793.85868999999991</v>
      </c>
      <c r="O37" s="227">
        <v>314.77100000000002</v>
      </c>
      <c r="P37" s="227">
        <v>793.85868999999991</v>
      </c>
      <c r="Q37" s="227">
        <f t="shared" si="19"/>
        <v>716.24373999999932</v>
      </c>
      <c r="R37" s="423">
        <v>5176.9760099999994</v>
      </c>
    </row>
    <row r="38" spans="2:18" ht="14.4" thickTop="1" x14ac:dyDescent="0.25">
      <c r="Q38" s="117"/>
    </row>
    <row r="42" spans="2:18" x14ac:dyDescent="0.25">
      <c r="Q42" s="12"/>
    </row>
  </sheetData>
  <mergeCells count="23">
    <mergeCell ref="C18:R19"/>
    <mergeCell ref="C28:R29"/>
    <mergeCell ref="C8:R9"/>
    <mergeCell ref="B2:R2"/>
    <mergeCell ref="C4:R4"/>
    <mergeCell ref="C6:C7"/>
    <mergeCell ref="D6:D7"/>
    <mergeCell ref="I6:I7"/>
    <mergeCell ref="H6:H7"/>
    <mergeCell ref="J6:J7"/>
    <mergeCell ref="C5:J5"/>
    <mergeCell ref="L6:L7"/>
    <mergeCell ref="E6:E7"/>
    <mergeCell ref="F6:F7"/>
    <mergeCell ref="G6:G7"/>
    <mergeCell ref="L5:R5"/>
    <mergeCell ref="K5:K7"/>
    <mergeCell ref="M6:M7"/>
    <mergeCell ref="N6:N7"/>
    <mergeCell ref="Q6:Q7"/>
    <mergeCell ref="R6:R7"/>
    <mergeCell ref="O6:O7"/>
    <mergeCell ref="P6:P7"/>
  </mergeCells>
  <phoneticPr fontId="13" type="noConversion"/>
  <pageMargins left="0.75000000000000011" right="0.75000000000000011" top="0.98" bottom="0.98" header="0.51" footer="0.51"/>
  <pageSetup paperSize="9" scale="51" orientation="landscape" horizontalDpi="4294967292" verticalDpi="4294967292"/>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55"/>
  <sheetViews>
    <sheetView zoomScale="70" zoomScaleNormal="70" zoomScalePageLayoutView="70" workbookViewId="0">
      <selection sqref="A1:E1"/>
    </sheetView>
  </sheetViews>
  <sheetFormatPr baseColWidth="10" defaultRowHeight="12.6" x14ac:dyDescent="0.2"/>
  <cols>
    <col min="1" max="1" width="25.453125" customWidth="1"/>
    <col min="2" max="5" width="16.54296875" customWidth="1"/>
  </cols>
  <sheetData>
    <row r="1" spans="1:10" ht="27" customHeight="1" x14ac:dyDescent="0.4">
      <c r="A1" s="721" t="s">
        <v>712</v>
      </c>
      <c r="B1" s="721"/>
      <c r="C1" s="721"/>
      <c r="D1" s="721"/>
      <c r="E1" s="721"/>
      <c r="F1" s="81"/>
      <c r="G1" s="81"/>
      <c r="H1" s="81"/>
      <c r="I1" s="81"/>
      <c r="J1" s="81"/>
    </row>
    <row r="2" spans="1:10" ht="13.2" thickBot="1" x14ac:dyDescent="0.25">
      <c r="A2" s="106"/>
      <c r="B2" s="106"/>
      <c r="C2" s="106"/>
      <c r="D2" s="106"/>
      <c r="E2" s="106"/>
    </row>
    <row r="3" spans="1:10" ht="39" customHeight="1" thickTop="1" x14ac:dyDescent="0.3">
      <c r="A3" s="59"/>
      <c r="B3" s="237" t="s">
        <v>631</v>
      </c>
      <c r="C3" s="719" t="s">
        <v>621</v>
      </c>
      <c r="D3" s="720"/>
      <c r="E3" s="720"/>
    </row>
    <row r="4" spans="1:10" ht="39" customHeight="1" x14ac:dyDescent="0.3">
      <c r="A4" s="232"/>
      <c r="B4" s="233"/>
      <c r="C4" s="234" t="s">
        <v>102</v>
      </c>
      <c r="D4" s="235" t="s">
        <v>613</v>
      </c>
      <c r="E4" s="235" t="s">
        <v>612</v>
      </c>
    </row>
    <row r="5" spans="1:10" ht="18" x14ac:dyDescent="0.35">
      <c r="A5" s="59" t="s">
        <v>552</v>
      </c>
      <c r="B5" s="425">
        <v>7.1298700000000007E-2</v>
      </c>
      <c r="C5" s="425">
        <f t="shared" ref="C5:C36" si="0">1-B5</f>
        <v>0.92870129999999995</v>
      </c>
      <c r="D5" s="426">
        <v>6.4269999999999996E-4</v>
      </c>
      <c r="E5" s="426">
        <v>0.92805870000000001</v>
      </c>
    </row>
    <row r="6" spans="1:10" ht="18" x14ac:dyDescent="0.35">
      <c r="A6" s="59" t="s">
        <v>549</v>
      </c>
      <c r="B6" s="425">
        <v>4.4951100000000001E-2</v>
      </c>
      <c r="C6" s="425">
        <f t="shared" si="0"/>
        <v>0.95504889999999998</v>
      </c>
      <c r="D6" s="426">
        <v>5.3614799999999997E-2</v>
      </c>
      <c r="E6" s="426">
        <v>0.90143410000000002</v>
      </c>
    </row>
    <row r="7" spans="1:10" ht="18" x14ac:dyDescent="0.35">
      <c r="A7" s="59" t="s">
        <v>548</v>
      </c>
      <c r="B7" s="425">
        <v>5.2088200000000001E-2</v>
      </c>
      <c r="C7" s="425">
        <f t="shared" si="0"/>
        <v>0.94791179999999997</v>
      </c>
      <c r="D7" s="426">
        <v>0.39092759999999999</v>
      </c>
      <c r="E7" s="426">
        <v>0.55698420000000004</v>
      </c>
    </row>
    <row r="8" spans="1:10" ht="18" x14ac:dyDescent="0.35">
      <c r="A8" s="59" t="s">
        <v>296</v>
      </c>
      <c r="B8" s="425">
        <v>2.1800799999999999E-2</v>
      </c>
      <c r="C8" s="425">
        <f t="shared" si="0"/>
        <v>0.97819920000000005</v>
      </c>
      <c r="D8" s="426">
        <v>0.95072420000000002</v>
      </c>
      <c r="E8" s="426">
        <v>2.7474999999999999E-2</v>
      </c>
    </row>
    <row r="9" spans="1:10" ht="18" x14ac:dyDescent="0.35">
      <c r="A9" s="59" t="s">
        <v>544</v>
      </c>
      <c r="B9" s="425">
        <v>0</v>
      </c>
      <c r="C9" s="425">
        <f t="shared" si="0"/>
        <v>1</v>
      </c>
      <c r="D9" s="426">
        <v>1</v>
      </c>
      <c r="E9" s="426">
        <v>0</v>
      </c>
    </row>
    <row r="10" spans="1:10" ht="18" x14ac:dyDescent="0.35">
      <c r="A10" s="59" t="s">
        <v>267</v>
      </c>
      <c r="B10" s="425">
        <v>3.2948999999999999E-3</v>
      </c>
      <c r="C10" s="425">
        <f t="shared" si="0"/>
        <v>0.99670510000000001</v>
      </c>
      <c r="D10" s="426">
        <v>1.20232E-2</v>
      </c>
      <c r="E10" s="426">
        <v>0.98468199999999995</v>
      </c>
    </row>
    <row r="11" spans="1:10" ht="18" x14ac:dyDescent="0.35">
      <c r="A11" s="59" t="s">
        <v>533</v>
      </c>
      <c r="B11" s="425">
        <v>0</v>
      </c>
      <c r="C11" s="425">
        <f t="shared" si="0"/>
        <v>1</v>
      </c>
      <c r="D11" s="426">
        <v>0.49581409999999998</v>
      </c>
      <c r="E11" s="426">
        <v>0.50418589999999996</v>
      </c>
    </row>
    <row r="12" spans="1:10" ht="18" x14ac:dyDescent="0.35">
      <c r="A12" s="59" t="s">
        <v>248</v>
      </c>
      <c r="B12" s="425">
        <v>0</v>
      </c>
      <c r="C12" s="425">
        <f t="shared" si="0"/>
        <v>1</v>
      </c>
      <c r="D12" s="426">
        <v>1</v>
      </c>
      <c r="E12" s="426">
        <v>0</v>
      </c>
    </row>
    <row r="13" spans="1:10" ht="18" x14ac:dyDescent="0.35">
      <c r="A13" s="59" t="s">
        <v>525</v>
      </c>
      <c r="B13" s="425">
        <v>0.33153880000000002</v>
      </c>
      <c r="C13" s="425">
        <f t="shared" si="0"/>
        <v>0.66846119999999998</v>
      </c>
      <c r="D13" s="426">
        <v>8.7065000000000007E-3</v>
      </c>
      <c r="E13" s="426">
        <v>0.65975459999999997</v>
      </c>
    </row>
    <row r="14" spans="1:10" ht="18" x14ac:dyDescent="0.35">
      <c r="A14" s="59" t="s">
        <v>522</v>
      </c>
      <c r="B14" s="425">
        <v>0.114978</v>
      </c>
      <c r="C14" s="425">
        <f t="shared" si="0"/>
        <v>0.88502199999999998</v>
      </c>
      <c r="D14" s="426">
        <v>9.1576999999999995E-3</v>
      </c>
      <c r="E14" s="426">
        <v>0.87586430000000004</v>
      </c>
    </row>
    <row r="15" spans="1:10" ht="18" x14ac:dyDescent="0.35">
      <c r="A15" s="59" t="s">
        <v>517</v>
      </c>
      <c r="B15" s="425">
        <v>0</v>
      </c>
      <c r="C15" s="425">
        <f t="shared" si="0"/>
        <v>1</v>
      </c>
      <c r="D15" s="426">
        <v>0.43633660000000002</v>
      </c>
      <c r="E15" s="426">
        <v>0.56366340000000004</v>
      </c>
    </row>
    <row r="16" spans="1:10" ht="18" x14ac:dyDescent="0.35">
      <c r="A16" s="59" t="s">
        <v>333</v>
      </c>
      <c r="B16" s="425">
        <v>1.0959999999999999E-4</v>
      </c>
      <c r="C16" s="425">
        <f t="shared" si="0"/>
        <v>0.99989039999999996</v>
      </c>
      <c r="D16" s="426">
        <v>0.9369113</v>
      </c>
      <c r="E16" s="426">
        <v>6.2979099999999996E-2</v>
      </c>
    </row>
    <row r="17" spans="1:5" ht="18" x14ac:dyDescent="0.35">
      <c r="A17" s="59" t="s">
        <v>514</v>
      </c>
      <c r="B17" s="425">
        <v>1.08761E-2</v>
      </c>
      <c r="C17" s="425">
        <f t="shared" si="0"/>
        <v>0.98912390000000006</v>
      </c>
      <c r="D17" s="426">
        <v>0.35349150000000001</v>
      </c>
      <c r="E17" s="426">
        <v>0.63563250000000004</v>
      </c>
    </row>
    <row r="18" spans="1:5" ht="18" x14ac:dyDescent="0.35">
      <c r="A18" s="59" t="s">
        <v>512</v>
      </c>
      <c r="B18" s="425">
        <v>5.1919699999999999E-2</v>
      </c>
      <c r="C18" s="425">
        <f t="shared" si="0"/>
        <v>0.94808029999999999</v>
      </c>
      <c r="D18" s="426">
        <v>0.158502</v>
      </c>
      <c r="E18" s="426">
        <v>0.78957829999999996</v>
      </c>
    </row>
    <row r="19" spans="1:5" ht="18" x14ac:dyDescent="0.35">
      <c r="A19" s="59" t="s">
        <v>334</v>
      </c>
      <c r="B19" s="425">
        <v>0</v>
      </c>
      <c r="C19" s="425">
        <f t="shared" si="0"/>
        <v>1</v>
      </c>
      <c r="D19" s="426">
        <v>0.99024190000000001</v>
      </c>
      <c r="E19" s="426">
        <v>9.7581000000000005E-3</v>
      </c>
    </row>
    <row r="20" spans="1:5" ht="18" x14ac:dyDescent="0.35">
      <c r="A20" s="59" t="s">
        <v>499</v>
      </c>
      <c r="B20" s="425">
        <v>0.5111755</v>
      </c>
      <c r="C20" s="425">
        <f t="shared" si="0"/>
        <v>0.4888245</v>
      </c>
      <c r="D20" s="426">
        <v>0.145868</v>
      </c>
      <c r="E20" s="426">
        <v>0.34295639999999999</v>
      </c>
    </row>
    <row r="21" spans="1:5" ht="18" x14ac:dyDescent="0.35">
      <c r="A21" s="59" t="s">
        <v>347</v>
      </c>
      <c r="B21" s="425">
        <v>7.9286700000000002E-2</v>
      </c>
      <c r="C21" s="425">
        <f t="shared" si="0"/>
        <v>0.92071329999999996</v>
      </c>
      <c r="D21" s="426">
        <v>0.31455650000000002</v>
      </c>
      <c r="E21" s="426">
        <v>0.60615680000000005</v>
      </c>
    </row>
    <row r="22" spans="1:5" ht="18" x14ac:dyDescent="0.35">
      <c r="A22" s="59" t="s">
        <v>327</v>
      </c>
      <c r="B22" s="425">
        <v>0.12810340000000001</v>
      </c>
      <c r="C22" s="425">
        <f t="shared" si="0"/>
        <v>0.87189660000000002</v>
      </c>
      <c r="D22" s="426">
        <v>0.50295880000000004</v>
      </c>
      <c r="E22" s="426">
        <v>0.36893779999999998</v>
      </c>
    </row>
    <row r="23" spans="1:5" ht="18" x14ac:dyDescent="0.35">
      <c r="A23" s="59" t="s">
        <v>262</v>
      </c>
      <c r="B23" s="425">
        <v>4.0055000000000004E-3</v>
      </c>
      <c r="C23" s="425">
        <f t="shared" si="0"/>
        <v>0.9959945</v>
      </c>
      <c r="D23" s="426">
        <v>0.27550540000000001</v>
      </c>
      <c r="E23" s="426">
        <v>0.72048909999999999</v>
      </c>
    </row>
    <row r="24" spans="1:5" ht="18" x14ac:dyDescent="0.35">
      <c r="A24" s="59" t="s">
        <v>479</v>
      </c>
      <c r="B24" s="425">
        <v>1.4420000000000001E-4</v>
      </c>
      <c r="C24" s="425">
        <f t="shared" si="0"/>
        <v>0.99985579999999996</v>
      </c>
      <c r="D24" s="426">
        <v>3.9989999999999998E-2</v>
      </c>
      <c r="E24" s="426">
        <v>0.95986570000000004</v>
      </c>
    </row>
    <row r="25" spans="1:5" ht="18" x14ac:dyDescent="0.35">
      <c r="A25" s="59" t="s">
        <v>335</v>
      </c>
      <c r="B25" s="425">
        <v>0</v>
      </c>
      <c r="C25" s="425">
        <f t="shared" si="0"/>
        <v>1</v>
      </c>
      <c r="D25" s="426">
        <v>2.9251699999999999E-2</v>
      </c>
      <c r="E25" s="426">
        <v>0.97074830000000001</v>
      </c>
    </row>
    <row r="26" spans="1:5" ht="18" x14ac:dyDescent="0.35">
      <c r="A26" s="59" t="s">
        <v>477</v>
      </c>
      <c r="B26" s="425">
        <v>0</v>
      </c>
      <c r="C26" s="425">
        <f t="shared" si="0"/>
        <v>1</v>
      </c>
      <c r="D26" s="426">
        <v>0.39910050000000002</v>
      </c>
      <c r="E26" s="426">
        <v>0.60089959999999998</v>
      </c>
    </row>
    <row r="27" spans="1:5" ht="18" x14ac:dyDescent="0.35">
      <c r="A27" s="59" t="s">
        <v>474</v>
      </c>
      <c r="B27" s="425">
        <v>0</v>
      </c>
      <c r="C27" s="425">
        <f t="shared" si="0"/>
        <v>1</v>
      </c>
      <c r="D27" s="426">
        <v>0.18475810000000001</v>
      </c>
      <c r="E27" s="426">
        <v>0.81524189999999996</v>
      </c>
    </row>
    <row r="28" spans="1:5" ht="18" x14ac:dyDescent="0.35">
      <c r="A28" s="59" t="s">
        <v>473</v>
      </c>
      <c r="B28" s="425">
        <v>4.5597899999999997E-2</v>
      </c>
      <c r="C28" s="425">
        <f t="shared" si="0"/>
        <v>0.95440210000000003</v>
      </c>
      <c r="D28" s="426">
        <v>0.13144810000000001</v>
      </c>
      <c r="E28" s="426">
        <v>0.82295410000000002</v>
      </c>
    </row>
    <row r="29" spans="1:5" ht="18" x14ac:dyDescent="0.35">
      <c r="A29" s="59" t="s">
        <v>348</v>
      </c>
      <c r="B29" s="425">
        <v>2.2626E-3</v>
      </c>
      <c r="C29" s="425">
        <f t="shared" si="0"/>
        <v>0.9977374</v>
      </c>
      <c r="D29" s="426">
        <v>0.26056089999999998</v>
      </c>
      <c r="E29" s="426">
        <v>0.73717639999999995</v>
      </c>
    </row>
    <row r="30" spans="1:5" ht="18" x14ac:dyDescent="0.35">
      <c r="A30" s="59" t="s">
        <v>264</v>
      </c>
      <c r="B30" s="425">
        <v>9.1339000000000004E-3</v>
      </c>
      <c r="C30" s="425">
        <f t="shared" si="0"/>
        <v>0.99086609999999997</v>
      </c>
      <c r="D30" s="426">
        <v>1.99025E-2</v>
      </c>
      <c r="E30" s="426">
        <v>0.97096349999999998</v>
      </c>
    </row>
    <row r="31" spans="1:5" ht="18" x14ac:dyDescent="0.35">
      <c r="A31" s="59" t="s">
        <v>470</v>
      </c>
      <c r="B31" s="425">
        <v>0.85015799999999997</v>
      </c>
      <c r="C31" s="425">
        <f t="shared" si="0"/>
        <v>0.14984200000000003</v>
      </c>
      <c r="D31" s="426">
        <v>7.2498800000000002E-2</v>
      </c>
      <c r="E31" s="426">
        <v>7.7343200000000001E-2</v>
      </c>
    </row>
    <row r="32" spans="1:5" ht="18" x14ac:dyDescent="0.35">
      <c r="A32" s="59" t="s">
        <v>295</v>
      </c>
      <c r="B32" s="425">
        <v>2.8052500000000001E-2</v>
      </c>
      <c r="C32" s="425">
        <f t="shared" si="0"/>
        <v>0.97194749999999996</v>
      </c>
      <c r="D32" s="426">
        <v>0.20617949999999999</v>
      </c>
      <c r="E32" s="426">
        <v>0.765768</v>
      </c>
    </row>
    <row r="33" spans="1:5" ht="18" x14ac:dyDescent="0.35">
      <c r="A33" s="59" t="s">
        <v>611</v>
      </c>
      <c r="B33" s="425">
        <v>0.13915749999999999</v>
      </c>
      <c r="C33" s="425">
        <f t="shared" si="0"/>
        <v>0.86084249999999995</v>
      </c>
      <c r="D33" s="426">
        <v>0.274891</v>
      </c>
      <c r="E33" s="426">
        <v>0.58595160000000002</v>
      </c>
    </row>
    <row r="34" spans="1:5" ht="18" x14ac:dyDescent="0.35">
      <c r="A34" s="59" t="s">
        <v>328</v>
      </c>
      <c r="B34" s="425">
        <v>0</v>
      </c>
      <c r="C34" s="425">
        <f t="shared" si="0"/>
        <v>1</v>
      </c>
      <c r="D34" s="426">
        <v>0.144454</v>
      </c>
      <c r="E34" s="426">
        <v>0.85554589999999997</v>
      </c>
    </row>
    <row r="35" spans="1:5" ht="18" x14ac:dyDescent="0.35">
      <c r="A35" s="59" t="s">
        <v>445</v>
      </c>
      <c r="B35" s="425">
        <v>0</v>
      </c>
      <c r="C35" s="425">
        <f t="shared" si="0"/>
        <v>1</v>
      </c>
      <c r="D35" s="426">
        <v>0.35388019999999998</v>
      </c>
      <c r="E35" s="426">
        <v>0.64611980000000002</v>
      </c>
    </row>
    <row r="36" spans="1:5" ht="18" x14ac:dyDescent="0.35">
      <c r="A36" s="59" t="s">
        <v>342</v>
      </c>
      <c r="B36" s="425">
        <v>2.1266699999999999E-2</v>
      </c>
      <c r="C36" s="425">
        <f t="shared" si="0"/>
        <v>0.97873330000000003</v>
      </c>
      <c r="D36" s="426">
        <v>0.1209191</v>
      </c>
      <c r="E36" s="426">
        <v>0.85781430000000003</v>
      </c>
    </row>
    <row r="37" spans="1:5" ht="18" x14ac:dyDescent="0.35">
      <c r="A37" s="59" t="s">
        <v>432</v>
      </c>
      <c r="B37" s="425">
        <v>0</v>
      </c>
      <c r="C37" s="425">
        <f t="shared" ref="C37:C53" si="1">1-B37</f>
        <v>1</v>
      </c>
      <c r="D37" s="426">
        <v>9.23147E-2</v>
      </c>
      <c r="E37" s="426">
        <v>0.90768530000000003</v>
      </c>
    </row>
    <row r="38" spans="1:5" ht="18" x14ac:dyDescent="0.35">
      <c r="A38" s="59" t="s">
        <v>424</v>
      </c>
      <c r="B38" s="425">
        <v>0.75463590000000003</v>
      </c>
      <c r="C38" s="425">
        <f t="shared" si="1"/>
        <v>0.24536409999999997</v>
      </c>
      <c r="D38" s="426">
        <v>3.91718E-2</v>
      </c>
      <c r="E38" s="426">
        <v>0.2061923</v>
      </c>
    </row>
    <row r="39" spans="1:5" ht="18" x14ac:dyDescent="0.35">
      <c r="A39" s="59" t="s">
        <v>422</v>
      </c>
      <c r="B39" s="425">
        <v>0</v>
      </c>
      <c r="C39" s="425">
        <f t="shared" si="1"/>
        <v>1</v>
      </c>
      <c r="D39" s="426">
        <v>0.97155150000000001</v>
      </c>
      <c r="E39" s="426">
        <v>2.8448500000000002E-2</v>
      </c>
    </row>
    <row r="40" spans="1:5" ht="18" x14ac:dyDescent="0.35">
      <c r="A40" s="59" t="s">
        <v>415</v>
      </c>
      <c r="B40" s="425">
        <v>2.0026599999999999E-2</v>
      </c>
      <c r="C40" s="425">
        <f t="shared" si="1"/>
        <v>0.97997339999999999</v>
      </c>
      <c r="D40" s="426">
        <v>0.1094712</v>
      </c>
      <c r="E40" s="426">
        <v>0.8705022</v>
      </c>
    </row>
    <row r="41" spans="1:5" ht="18" x14ac:dyDescent="0.35">
      <c r="A41" s="59" t="s">
        <v>414</v>
      </c>
      <c r="B41" s="425">
        <v>0.13134209999999999</v>
      </c>
      <c r="C41" s="425">
        <f t="shared" si="1"/>
        <v>0.86865789999999998</v>
      </c>
      <c r="D41" s="426">
        <v>0.29369410000000001</v>
      </c>
      <c r="E41" s="426">
        <v>0.57496380000000002</v>
      </c>
    </row>
    <row r="42" spans="1:5" ht="18" x14ac:dyDescent="0.35">
      <c r="A42" s="59" t="s">
        <v>411</v>
      </c>
      <c r="B42" s="425">
        <v>0</v>
      </c>
      <c r="C42" s="425">
        <f t="shared" si="1"/>
        <v>1</v>
      </c>
      <c r="D42" s="426">
        <v>0.1343385</v>
      </c>
      <c r="E42" s="426">
        <v>0.86566149999999997</v>
      </c>
    </row>
    <row r="43" spans="1:5" ht="18" x14ac:dyDescent="0.35">
      <c r="A43" s="59" t="s">
        <v>410</v>
      </c>
      <c r="B43" s="425">
        <v>2.3749699999999999E-2</v>
      </c>
      <c r="C43" s="425">
        <f t="shared" si="1"/>
        <v>0.97625030000000002</v>
      </c>
      <c r="D43" s="426">
        <v>0.63937750000000004</v>
      </c>
      <c r="E43" s="426">
        <v>0.33687279999999997</v>
      </c>
    </row>
    <row r="44" spans="1:5" ht="18" x14ac:dyDescent="0.35">
      <c r="A44" s="59" t="s">
        <v>396</v>
      </c>
      <c r="B44" s="425">
        <v>0</v>
      </c>
      <c r="C44" s="425">
        <f t="shared" si="1"/>
        <v>1</v>
      </c>
      <c r="D44" s="426">
        <v>3.4114499999999999E-2</v>
      </c>
      <c r="E44" s="426">
        <v>0.96588549999999995</v>
      </c>
    </row>
    <row r="45" spans="1:5" ht="18" x14ac:dyDescent="0.35">
      <c r="A45" s="59" t="s">
        <v>395</v>
      </c>
      <c r="B45" s="425">
        <v>0.21856600000000001</v>
      </c>
      <c r="C45" s="425">
        <f t="shared" si="1"/>
        <v>0.78143399999999996</v>
      </c>
      <c r="D45" s="426">
        <v>0.2263492</v>
      </c>
      <c r="E45" s="426">
        <v>0.55508480000000004</v>
      </c>
    </row>
    <row r="46" spans="1:5" ht="18" x14ac:dyDescent="0.35">
      <c r="A46" s="59" t="s">
        <v>385</v>
      </c>
      <c r="B46" s="425">
        <v>0.2029289</v>
      </c>
      <c r="C46" s="425">
        <f t="shared" si="1"/>
        <v>0.79707110000000003</v>
      </c>
      <c r="D46" s="426">
        <v>0.1954669</v>
      </c>
      <c r="E46" s="426">
        <v>0.60160420000000003</v>
      </c>
    </row>
    <row r="47" spans="1:5" ht="18" x14ac:dyDescent="0.35">
      <c r="A47" s="59" t="s">
        <v>379</v>
      </c>
      <c r="B47" s="425">
        <v>4.8163400000000002E-2</v>
      </c>
      <c r="C47" s="425">
        <f t="shared" si="1"/>
        <v>0.95183660000000003</v>
      </c>
      <c r="D47" s="426">
        <v>0.12819759999999999</v>
      </c>
      <c r="E47" s="426">
        <v>0.82363900000000001</v>
      </c>
    </row>
    <row r="48" spans="1:5" ht="18" x14ac:dyDescent="0.35">
      <c r="A48" s="59" t="s">
        <v>372</v>
      </c>
      <c r="B48" s="425">
        <v>8.1840000000000003E-3</v>
      </c>
      <c r="C48" s="425">
        <f t="shared" si="1"/>
        <v>0.99181600000000003</v>
      </c>
      <c r="D48" s="426">
        <v>0.77915100000000004</v>
      </c>
      <c r="E48" s="426">
        <v>0.2126651</v>
      </c>
    </row>
    <row r="49" spans="1:5" ht="18" x14ac:dyDescent="0.35">
      <c r="A49" s="59" t="s">
        <v>367</v>
      </c>
      <c r="B49" s="425">
        <v>0</v>
      </c>
      <c r="C49" s="425">
        <f t="shared" si="1"/>
        <v>1</v>
      </c>
      <c r="D49" s="426">
        <v>6.8965499999999999E-2</v>
      </c>
      <c r="E49" s="426">
        <v>0.93103449999999999</v>
      </c>
    </row>
    <row r="50" spans="1:5" ht="18" x14ac:dyDescent="0.35">
      <c r="A50" s="59" t="s">
        <v>330</v>
      </c>
      <c r="B50" s="425">
        <v>0</v>
      </c>
      <c r="C50" s="425">
        <f t="shared" si="1"/>
        <v>1</v>
      </c>
      <c r="D50" s="426">
        <v>0.39678269999999999</v>
      </c>
      <c r="E50" s="426">
        <v>0.60321720000000001</v>
      </c>
    </row>
    <row r="51" spans="1:5" ht="18" x14ac:dyDescent="0.35">
      <c r="A51" s="59" t="s">
        <v>364</v>
      </c>
      <c r="B51" s="425">
        <v>0</v>
      </c>
      <c r="C51" s="425">
        <f t="shared" si="1"/>
        <v>1</v>
      </c>
      <c r="D51" s="426">
        <v>0.35731839999999998</v>
      </c>
      <c r="E51" s="426">
        <v>0.64268159999999996</v>
      </c>
    </row>
    <row r="52" spans="1:5" ht="18" x14ac:dyDescent="0.35">
      <c r="A52" s="232" t="s">
        <v>610</v>
      </c>
      <c r="B52" s="427">
        <v>0.65039809999999998</v>
      </c>
      <c r="C52" s="427">
        <f t="shared" si="1"/>
        <v>0.34960190000000002</v>
      </c>
      <c r="D52" s="428">
        <v>0.13670360000000001</v>
      </c>
      <c r="E52" s="428">
        <v>0.21289830000000001</v>
      </c>
    </row>
    <row r="53" spans="1:5" s="21" customFormat="1" ht="18" thickBot="1" x14ac:dyDescent="0.35">
      <c r="A53" s="236" t="s">
        <v>609</v>
      </c>
      <c r="B53" s="429">
        <v>8.1367774897431661E-2</v>
      </c>
      <c r="C53" s="429">
        <f t="shared" si="1"/>
        <v>0.91863222510256837</v>
      </c>
      <c r="D53" s="430">
        <v>0.25378514661130663</v>
      </c>
      <c r="E53" s="430">
        <f>1-D53-B53</f>
        <v>0.66484707849126179</v>
      </c>
    </row>
    <row r="54" spans="1:5" ht="13.2" thickTop="1" x14ac:dyDescent="0.2"/>
    <row r="55" spans="1:5" ht="15" x14ac:dyDescent="0.25">
      <c r="A55" s="231"/>
    </row>
  </sheetData>
  <mergeCells count="2">
    <mergeCell ref="C3:E3"/>
    <mergeCell ref="A1:E1"/>
  </mergeCells>
  <phoneticPr fontId="13" type="noConversion"/>
  <pageMargins left="0.75" right="0.75" top="1" bottom="1" header="0.5" footer="0.5"/>
  <pageSetup paperSize="9" scale="73" orientation="portrait" horizontalDpi="4294967292" verticalDpi="4294967292"/>
  <extLst>
    <ext xmlns:mx="http://schemas.microsoft.com/office/mac/excel/2008/main" uri="{64002731-A6B0-56B0-2670-7721B7C09600}">
      <mx:PLV Mode="0" OnePage="0" WScale="10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2:L65"/>
  <sheetViews>
    <sheetView zoomScale="70" zoomScaleNormal="70" zoomScalePageLayoutView="70" workbookViewId="0">
      <selection activeCell="B2" sqref="B2:K2"/>
    </sheetView>
  </sheetViews>
  <sheetFormatPr baseColWidth="10" defaultColWidth="10.7265625" defaultRowHeight="17.399999999999999" x14ac:dyDescent="0.3"/>
  <cols>
    <col min="1" max="1" width="3.54296875" style="79" customWidth="1"/>
    <col min="2" max="2" width="5.1796875" style="80" customWidth="1"/>
    <col min="3" max="3" width="46.1796875" style="79" customWidth="1"/>
    <col min="4" max="11" width="12.54296875" style="79" customWidth="1"/>
    <col min="12" max="16384" width="10.7265625" style="79"/>
  </cols>
  <sheetData>
    <row r="2" spans="1:11" ht="28.2" x14ac:dyDescent="0.5">
      <c r="B2" s="722" t="s">
        <v>695</v>
      </c>
      <c r="C2" s="722"/>
      <c r="D2" s="722"/>
      <c r="E2" s="722"/>
      <c r="F2" s="722"/>
      <c r="G2" s="722"/>
      <c r="H2" s="722"/>
      <c r="I2" s="722"/>
      <c r="J2" s="722"/>
      <c r="K2" s="722"/>
    </row>
    <row r="3" spans="1:11" ht="18" thickBot="1" x14ac:dyDescent="0.35">
      <c r="C3" s="89"/>
    </row>
    <row r="4" spans="1:11" ht="22.05" customHeight="1" thickTop="1" x14ac:dyDescent="0.35">
      <c r="B4" s="327"/>
      <c r="C4" s="334"/>
      <c r="D4" s="335">
        <v>2001</v>
      </c>
      <c r="E4" s="335">
        <v>2002</v>
      </c>
      <c r="F4" s="335">
        <v>2003</v>
      </c>
      <c r="G4" s="335">
        <v>2004</v>
      </c>
      <c r="H4" s="335">
        <v>2005</v>
      </c>
      <c r="I4" s="335">
        <v>2006</v>
      </c>
      <c r="J4" s="335">
        <v>2007</v>
      </c>
      <c r="K4" s="335">
        <v>2008</v>
      </c>
    </row>
    <row r="5" spans="1:11" ht="22.05" customHeight="1" x14ac:dyDescent="0.4">
      <c r="B5" s="328"/>
      <c r="C5" s="336"/>
      <c r="D5" s="334"/>
      <c r="E5" s="334"/>
      <c r="F5" s="334"/>
      <c r="G5" s="334"/>
      <c r="H5" s="334"/>
      <c r="I5" s="334"/>
      <c r="J5" s="334"/>
      <c r="K5" s="334"/>
    </row>
    <row r="6" spans="1:11" ht="22.05" customHeight="1" x14ac:dyDescent="0.4">
      <c r="A6" s="329"/>
      <c r="B6" s="330" t="s">
        <v>85</v>
      </c>
      <c r="C6" s="336" t="s">
        <v>233</v>
      </c>
      <c r="D6" s="337">
        <f t="shared" ref="D6:K6" si="0">D7+D8+D9</f>
        <v>159.54661991281603</v>
      </c>
      <c r="E6" s="337">
        <f t="shared" si="0"/>
        <v>193.59020736530078</v>
      </c>
      <c r="F6" s="337">
        <f t="shared" si="0"/>
        <v>276.45699999999999</v>
      </c>
      <c r="G6" s="337">
        <f t="shared" si="0"/>
        <v>400.553</v>
      </c>
      <c r="H6" s="337">
        <f t="shared" si="0"/>
        <v>445.23299999999995</v>
      </c>
      <c r="I6" s="337">
        <f t="shared" si="0"/>
        <v>645.99300000000005</v>
      </c>
      <c r="J6" s="337">
        <f t="shared" si="0"/>
        <v>851.46800000000007</v>
      </c>
      <c r="K6" s="337">
        <f t="shared" si="0"/>
        <v>706.37599999999998</v>
      </c>
    </row>
    <row r="7" spans="1:11" ht="22.05" customHeight="1" x14ac:dyDescent="0.35">
      <c r="A7" s="329"/>
      <c r="B7" s="330" t="s">
        <v>86</v>
      </c>
      <c r="C7" s="338" t="s">
        <v>232</v>
      </c>
      <c r="D7" s="339">
        <v>57.128</v>
      </c>
      <c r="E7" s="339">
        <v>65.171000000000006</v>
      </c>
      <c r="F7" s="339">
        <v>116.663</v>
      </c>
      <c r="G7" s="339">
        <v>139.96600000000001</v>
      </c>
      <c r="H7" s="339">
        <v>165.42599999999999</v>
      </c>
      <c r="I7" s="339">
        <v>220.74100000000001</v>
      </c>
      <c r="J7" s="339">
        <v>329.20699999999999</v>
      </c>
      <c r="K7" s="339">
        <v>212.798</v>
      </c>
    </row>
    <row r="8" spans="1:11" ht="22.05" customHeight="1" x14ac:dyDescent="0.35">
      <c r="A8" s="329"/>
      <c r="B8" s="330" t="s">
        <v>87</v>
      </c>
      <c r="C8" s="338" t="s">
        <v>231</v>
      </c>
      <c r="D8" s="339">
        <v>91.894999999999996</v>
      </c>
      <c r="E8" s="339">
        <v>115.224</v>
      </c>
      <c r="F8" s="339">
        <v>143.375</v>
      </c>
      <c r="G8" s="339">
        <v>226.57900000000001</v>
      </c>
      <c r="H8" s="339">
        <v>255.17699999999999</v>
      </c>
      <c r="I8" s="339">
        <v>385.62799999999999</v>
      </c>
      <c r="J8" s="339">
        <v>468.733</v>
      </c>
      <c r="K8" s="339">
        <v>410.226</v>
      </c>
    </row>
    <row r="9" spans="1:11" ht="22.05" customHeight="1" x14ac:dyDescent="0.35">
      <c r="A9" s="329"/>
      <c r="B9" s="330" t="s">
        <v>88</v>
      </c>
      <c r="C9" s="338" t="s">
        <v>230</v>
      </c>
      <c r="D9" s="339">
        <v>10.523619912816041</v>
      </c>
      <c r="E9" s="339">
        <v>13.195207365300785</v>
      </c>
      <c r="F9" s="339">
        <v>16.419</v>
      </c>
      <c r="G9" s="339">
        <v>34.008000000000003</v>
      </c>
      <c r="H9" s="339">
        <v>24.63</v>
      </c>
      <c r="I9" s="339">
        <v>39.624000000000002</v>
      </c>
      <c r="J9" s="339">
        <v>53.527999999999999</v>
      </c>
      <c r="K9" s="339">
        <v>83.352000000000004</v>
      </c>
    </row>
    <row r="10" spans="1:11" ht="22.05" customHeight="1" x14ac:dyDescent="0.35">
      <c r="A10" s="329"/>
      <c r="B10" s="330" t="s">
        <v>89</v>
      </c>
      <c r="C10" s="334" t="s">
        <v>229</v>
      </c>
      <c r="D10" s="340"/>
      <c r="E10" s="340"/>
      <c r="F10" s="340"/>
      <c r="G10" s="340"/>
      <c r="H10" s="340"/>
      <c r="I10" s="340"/>
      <c r="J10" s="340"/>
      <c r="K10" s="340"/>
    </row>
    <row r="11" spans="1:11" ht="22.05" customHeight="1" x14ac:dyDescent="0.35">
      <c r="A11" s="329"/>
      <c r="B11" s="330" t="s">
        <v>90</v>
      </c>
      <c r="C11" s="334" t="s">
        <v>691</v>
      </c>
      <c r="D11" s="341">
        <v>0.34843790000000002</v>
      </c>
      <c r="E11" s="341">
        <v>0.3222583</v>
      </c>
      <c r="F11" s="341">
        <v>0.34363280000000002</v>
      </c>
      <c r="G11" s="341">
        <v>0.34657919999999998</v>
      </c>
      <c r="H11" s="341">
        <v>0.38301459999999998</v>
      </c>
      <c r="I11" s="341">
        <v>0.35716989999999998</v>
      </c>
      <c r="J11" s="341">
        <v>0.42440040000000001</v>
      </c>
      <c r="K11" s="341">
        <v>0.46376650000000003</v>
      </c>
    </row>
    <row r="12" spans="1:11" ht="22.05" customHeight="1" x14ac:dyDescent="0.35">
      <c r="A12" s="329"/>
      <c r="B12" s="330" t="s">
        <v>91</v>
      </c>
      <c r="C12" s="334" t="s">
        <v>692</v>
      </c>
      <c r="D12" s="341">
        <v>0.57371760000000005</v>
      </c>
      <c r="E12" s="341">
        <v>0.572967</v>
      </c>
      <c r="F12" s="341">
        <v>0.57337179999999999</v>
      </c>
      <c r="G12" s="341">
        <v>0.57410399999999995</v>
      </c>
      <c r="H12" s="341">
        <v>0.58353259999999996</v>
      </c>
      <c r="I12" s="341">
        <v>0.59354689999999999</v>
      </c>
      <c r="J12" s="341">
        <v>0.60865340000000001</v>
      </c>
      <c r="K12" s="341">
        <v>0.6217454</v>
      </c>
    </row>
    <row r="13" spans="1:11" ht="22.05" customHeight="1" x14ac:dyDescent="0.35">
      <c r="A13" s="329"/>
      <c r="B13" s="330"/>
      <c r="C13" s="334"/>
      <c r="D13" s="342"/>
      <c r="E13" s="342"/>
      <c r="F13" s="342"/>
      <c r="G13" s="342"/>
      <c r="H13" s="342"/>
      <c r="I13" s="342"/>
      <c r="J13" s="342"/>
      <c r="K13" s="342"/>
    </row>
    <row r="14" spans="1:11" ht="22.05" customHeight="1" x14ac:dyDescent="0.4">
      <c r="A14" s="329"/>
      <c r="B14" s="330" t="s">
        <v>92</v>
      </c>
      <c r="C14" s="336" t="s">
        <v>228</v>
      </c>
      <c r="D14" s="343">
        <f t="shared" ref="D14:K14" si="1">D15+D16</f>
        <v>342.47208951726168</v>
      </c>
      <c r="E14" s="343">
        <f t="shared" si="1"/>
        <v>426.36238291779466</v>
      </c>
      <c r="F14" s="343">
        <f t="shared" si="1"/>
        <v>618.19079021920049</v>
      </c>
      <c r="G14" s="343">
        <f t="shared" si="1"/>
        <v>857.75205183668334</v>
      </c>
      <c r="H14" s="343">
        <f t="shared" si="1"/>
        <v>911.41055057837798</v>
      </c>
      <c r="I14" s="343">
        <f t="shared" si="1"/>
        <v>1334.4869718738837</v>
      </c>
      <c r="J14" s="343">
        <f t="shared" si="1"/>
        <v>1633.7588562888777</v>
      </c>
      <c r="K14" s="343">
        <f t="shared" si="1"/>
        <v>1252.7059943781317</v>
      </c>
    </row>
    <row r="15" spans="1:11" ht="22.05" customHeight="1" x14ac:dyDescent="0.35">
      <c r="A15" s="329"/>
      <c r="B15" s="330" t="s">
        <v>93</v>
      </c>
      <c r="C15" s="338" t="s">
        <v>223</v>
      </c>
      <c r="D15" s="337">
        <f t="shared" ref="D15:K15" si="2">D7/D11</f>
        <v>163.95460998932663</v>
      </c>
      <c r="E15" s="337">
        <f t="shared" si="2"/>
        <v>202.23218455506034</v>
      </c>
      <c r="F15" s="337">
        <f t="shared" si="2"/>
        <v>339.49902337611542</v>
      </c>
      <c r="G15" s="337">
        <f t="shared" si="2"/>
        <v>403.84997137739373</v>
      </c>
      <c r="H15" s="337">
        <f t="shared" si="2"/>
        <v>431.90520674668795</v>
      </c>
      <c r="I15" s="337">
        <f t="shared" si="2"/>
        <v>618.02800291961898</v>
      </c>
      <c r="J15" s="337">
        <f t="shared" si="2"/>
        <v>775.69908039671964</v>
      </c>
      <c r="K15" s="337">
        <f t="shared" si="2"/>
        <v>458.84728629601318</v>
      </c>
    </row>
    <row r="16" spans="1:11" ht="22.05" customHeight="1" x14ac:dyDescent="0.35">
      <c r="A16" s="329"/>
      <c r="B16" s="330" t="s">
        <v>94</v>
      </c>
      <c r="C16" s="338" t="s">
        <v>225</v>
      </c>
      <c r="D16" s="339">
        <f t="shared" ref="D16:K16" si="3">(D8+D9)/D12</f>
        <v>178.51747952793505</v>
      </c>
      <c r="E16" s="339">
        <f t="shared" si="3"/>
        <v>224.13019836273432</v>
      </c>
      <c r="F16" s="339">
        <f t="shared" si="3"/>
        <v>278.69176684308508</v>
      </c>
      <c r="G16" s="339">
        <f t="shared" si="3"/>
        <v>453.90208045928961</v>
      </c>
      <c r="H16" s="339">
        <f t="shared" si="3"/>
        <v>479.50534383169003</v>
      </c>
      <c r="I16" s="339">
        <f t="shared" si="3"/>
        <v>716.45896895426461</v>
      </c>
      <c r="J16" s="339">
        <f t="shared" si="3"/>
        <v>858.05977589215797</v>
      </c>
      <c r="K16" s="339">
        <f t="shared" si="3"/>
        <v>793.85870808211848</v>
      </c>
    </row>
    <row r="17" spans="1:11" ht="22.05" customHeight="1" x14ac:dyDescent="0.35">
      <c r="A17" s="329"/>
      <c r="B17" s="330"/>
      <c r="C17" s="338"/>
      <c r="D17" s="344"/>
      <c r="E17" s="344"/>
      <c r="F17" s="344"/>
      <c r="G17" s="344"/>
      <c r="H17" s="344"/>
      <c r="I17" s="344"/>
      <c r="J17" s="344"/>
      <c r="K17" s="344"/>
    </row>
    <row r="18" spans="1:11" ht="22.05" customHeight="1" x14ac:dyDescent="0.4">
      <c r="A18" s="329"/>
      <c r="B18" s="330"/>
      <c r="C18" s="336" t="s">
        <v>227</v>
      </c>
      <c r="D18" s="339"/>
      <c r="E18" s="339"/>
      <c r="F18" s="339"/>
      <c r="G18" s="339"/>
      <c r="H18" s="339"/>
      <c r="I18" s="339"/>
      <c r="J18" s="339"/>
      <c r="K18" s="339"/>
    </row>
    <row r="19" spans="1:11" ht="22.05" customHeight="1" x14ac:dyDescent="0.35">
      <c r="A19" s="329"/>
      <c r="B19" s="330" t="s">
        <v>95</v>
      </c>
      <c r="C19" s="334" t="s">
        <v>226</v>
      </c>
      <c r="D19" s="337">
        <v>50.817</v>
      </c>
      <c r="E19" s="337">
        <v>55.194470000000003</v>
      </c>
      <c r="F19" s="337">
        <v>62.365886000000003</v>
      </c>
      <c r="G19" s="337">
        <v>57.986294999999998</v>
      </c>
      <c r="H19" s="337">
        <v>72.302120000000002</v>
      </c>
      <c r="I19" s="337">
        <v>82.194000000000003</v>
      </c>
      <c r="J19" s="337">
        <v>90.007999999999996</v>
      </c>
      <c r="K19" s="337">
        <v>50.055</v>
      </c>
    </row>
    <row r="20" spans="1:11" ht="22.05" customHeight="1" x14ac:dyDescent="0.35">
      <c r="A20" s="329"/>
      <c r="B20" s="330" t="s">
        <v>96</v>
      </c>
      <c r="C20" s="338" t="s">
        <v>223</v>
      </c>
      <c r="D20" s="339">
        <f t="shared" ref="D20:K20" si="4">D19-D21</f>
        <v>0</v>
      </c>
      <c r="E20" s="339">
        <f t="shared" si="4"/>
        <v>5.0686640000000054</v>
      </c>
      <c r="F20" s="339">
        <f t="shared" si="4"/>
        <v>5.282110000000003</v>
      </c>
      <c r="G20" s="339">
        <f t="shared" si="4"/>
        <v>2.0150799999999975</v>
      </c>
      <c r="H20" s="339">
        <f t="shared" si="4"/>
        <v>1.8142699999999934</v>
      </c>
      <c r="I20" s="339">
        <f t="shared" si="4"/>
        <v>1.9950000000000045</v>
      </c>
      <c r="J20" s="339">
        <f t="shared" si="4"/>
        <v>2.3129999999999882</v>
      </c>
      <c r="K20" s="339">
        <f t="shared" si="4"/>
        <v>0.61699999999999733</v>
      </c>
    </row>
    <row r="21" spans="1:11" ht="22.05" customHeight="1" x14ac:dyDescent="0.35">
      <c r="A21" s="329"/>
      <c r="B21" s="330" t="s">
        <v>97</v>
      </c>
      <c r="C21" s="338" t="s">
        <v>225</v>
      </c>
      <c r="D21" s="339">
        <v>50.817</v>
      </c>
      <c r="E21" s="339">
        <v>50.125805999999997</v>
      </c>
      <c r="F21" s="339">
        <v>57.083776</v>
      </c>
      <c r="G21" s="339">
        <v>55.971215000000001</v>
      </c>
      <c r="H21" s="339">
        <v>70.487850000000009</v>
      </c>
      <c r="I21" s="339">
        <v>80.198999999999998</v>
      </c>
      <c r="J21" s="339">
        <v>87.695000000000007</v>
      </c>
      <c r="K21" s="339">
        <v>49.438000000000002</v>
      </c>
    </row>
    <row r="22" spans="1:11" ht="22.05" customHeight="1" x14ac:dyDescent="0.35">
      <c r="A22" s="329"/>
      <c r="B22" s="330" t="s">
        <v>104</v>
      </c>
      <c r="C22" s="334" t="s">
        <v>224</v>
      </c>
      <c r="D22" s="345" t="s">
        <v>202</v>
      </c>
      <c r="E22" s="345" t="s">
        <v>202</v>
      </c>
      <c r="F22" s="345" t="s">
        <v>202</v>
      </c>
      <c r="G22" s="345" t="s">
        <v>202</v>
      </c>
      <c r="H22" s="337">
        <v>768.25120150023736</v>
      </c>
      <c r="I22" s="337">
        <v>1234.2360363087673</v>
      </c>
      <c r="J22" s="337">
        <v>1707.6144286147317</v>
      </c>
      <c r="K22" s="337">
        <v>1215.9485294117646</v>
      </c>
    </row>
    <row r="23" spans="1:11" ht="22.05" customHeight="1" x14ac:dyDescent="0.35">
      <c r="A23" s="329"/>
      <c r="B23" s="330" t="s">
        <v>134</v>
      </c>
      <c r="C23" s="346" t="s">
        <v>223</v>
      </c>
      <c r="D23" s="345" t="s">
        <v>202</v>
      </c>
      <c r="E23" s="345" t="s">
        <v>202</v>
      </c>
      <c r="F23" s="345" t="s">
        <v>202</v>
      </c>
      <c r="G23" s="345" t="s">
        <v>202</v>
      </c>
      <c r="H23" s="339">
        <v>607.99137514131917</v>
      </c>
      <c r="I23" s="339">
        <v>951.72790971788208</v>
      </c>
      <c r="J23" s="339">
        <v>1187.7841770233404</v>
      </c>
      <c r="K23" s="339">
        <v>824.88970588235293</v>
      </c>
    </row>
    <row r="24" spans="1:11" ht="22.05" customHeight="1" x14ac:dyDescent="0.35">
      <c r="A24" s="329"/>
      <c r="B24" s="330" t="s">
        <v>196</v>
      </c>
      <c r="C24" s="346" t="s">
        <v>222</v>
      </c>
      <c r="D24" s="345" t="s">
        <v>202</v>
      </c>
      <c r="E24" s="345" t="s">
        <v>202</v>
      </c>
      <c r="F24" s="345" t="s">
        <v>202</v>
      </c>
      <c r="G24" s="345" t="s">
        <v>202</v>
      </c>
      <c r="H24" s="339">
        <v>160.25982635891816</v>
      </c>
      <c r="I24" s="339">
        <v>282.50812659088535</v>
      </c>
      <c r="J24" s="339">
        <v>519.83025159139129</v>
      </c>
      <c r="K24" s="339">
        <v>391.05882352941177</v>
      </c>
    </row>
    <row r="25" spans="1:11" ht="22.05" customHeight="1" x14ac:dyDescent="0.35">
      <c r="A25" s="329"/>
      <c r="B25" s="330" t="s">
        <v>195</v>
      </c>
      <c r="C25" s="347" t="s">
        <v>221</v>
      </c>
      <c r="D25" s="345" t="s">
        <v>202</v>
      </c>
      <c r="E25" s="345" t="s">
        <v>202</v>
      </c>
      <c r="F25" s="345" t="s">
        <v>202</v>
      </c>
      <c r="G25" s="345" t="s">
        <v>202</v>
      </c>
      <c r="H25" s="348">
        <f>H22+H19</f>
        <v>840.55332150023742</v>
      </c>
      <c r="I25" s="348">
        <f>I22+I19</f>
        <v>1316.4300363087673</v>
      </c>
      <c r="J25" s="348">
        <f>J22+J19</f>
        <v>1797.6224286147317</v>
      </c>
      <c r="K25" s="348">
        <f>K22+K19</f>
        <v>1266.0035294117647</v>
      </c>
    </row>
    <row r="26" spans="1:11" ht="22.05" customHeight="1" x14ac:dyDescent="0.35">
      <c r="A26" s="329"/>
      <c r="B26" s="331"/>
      <c r="C26" s="334"/>
      <c r="D26" s="349"/>
      <c r="E26" s="349"/>
      <c r="F26" s="349"/>
      <c r="G26" s="349"/>
      <c r="H26" s="349"/>
      <c r="I26" s="349"/>
      <c r="J26" s="349"/>
      <c r="K26" s="349"/>
    </row>
    <row r="27" spans="1:11" ht="22.05" customHeight="1" x14ac:dyDescent="0.4">
      <c r="A27" s="329"/>
      <c r="B27" s="330" t="s">
        <v>193</v>
      </c>
      <c r="C27" s="336" t="s">
        <v>151</v>
      </c>
      <c r="D27" s="343">
        <f t="shared" ref="D27:K27" si="5">D28+D32</f>
        <v>677.87753213220878</v>
      </c>
      <c r="E27" s="343">
        <f t="shared" si="5"/>
        <v>811.14538580154135</v>
      </c>
      <c r="F27" s="343">
        <f t="shared" si="5"/>
        <v>1050.0304957592805</v>
      </c>
      <c r="G27" s="343">
        <f t="shared" si="5"/>
        <v>1395.8051754653793</v>
      </c>
      <c r="H27" s="343">
        <f t="shared" si="5"/>
        <v>1503.5473332375652</v>
      </c>
      <c r="I27" s="343">
        <f t="shared" si="5"/>
        <v>2012.3156486000823</v>
      </c>
      <c r="J27" s="343">
        <f t="shared" si="5"/>
        <v>2662.3876226129132</v>
      </c>
      <c r="K27" s="343">
        <f t="shared" si="5"/>
        <v>2180.622823529412</v>
      </c>
    </row>
    <row r="28" spans="1:11" ht="22.05" customHeight="1" x14ac:dyDescent="0.35">
      <c r="A28" s="329"/>
      <c r="B28" s="330" t="s">
        <v>190</v>
      </c>
      <c r="C28" s="334" t="s">
        <v>220</v>
      </c>
      <c r="D28" s="337">
        <f t="shared" ref="D28:K28" si="6">MAX(D29,D30)</f>
        <v>389.262</v>
      </c>
      <c r="E28" s="337">
        <f t="shared" si="6"/>
        <v>451.83199999999999</v>
      </c>
      <c r="F28" s="337">
        <f t="shared" si="6"/>
        <v>529.0553000000001</v>
      </c>
      <c r="G28" s="337">
        <f t="shared" si="6"/>
        <v>672.94169999999997</v>
      </c>
      <c r="H28" s="337">
        <f t="shared" si="6"/>
        <v>735.46359999999993</v>
      </c>
      <c r="I28" s="337">
        <f t="shared" si="6"/>
        <v>946.70280000000002</v>
      </c>
      <c r="J28" s="337">
        <f t="shared" si="6"/>
        <v>1177.133</v>
      </c>
      <c r="K28" s="337">
        <f t="shared" si="6"/>
        <v>1135.3140000000001</v>
      </c>
    </row>
    <row r="29" spans="1:11" ht="22.05" customHeight="1" x14ac:dyDescent="0.35">
      <c r="A29" s="329"/>
      <c r="B29" s="330" t="s">
        <v>188</v>
      </c>
      <c r="C29" s="338" t="s">
        <v>219</v>
      </c>
      <c r="D29" s="339">
        <v>389.262</v>
      </c>
      <c r="E29" s="339">
        <v>451.83199999999999</v>
      </c>
      <c r="F29" s="339">
        <v>493.02600000000001</v>
      </c>
      <c r="G29" s="339">
        <v>520.79200000000003</v>
      </c>
      <c r="H29" s="339">
        <v>535.51599999999996</v>
      </c>
      <c r="I29" s="339">
        <v>869.23299999999995</v>
      </c>
      <c r="J29" s="339">
        <v>1177.133</v>
      </c>
      <c r="K29" s="339">
        <v>1135.3140000000001</v>
      </c>
    </row>
    <row r="30" spans="1:11" ht="22.05" customHeight="1" x14ac:dyDescent="0.35">
      <c r="A30" s="329"/>
      <c r="B30" s="332" t="s">
        <v>186</v>
      </c>
      <c r="C30" s="338" t="s">
        <v>249</v>
      </c>
      <c r="D30" s="339">
        <f>'Table A11'!D31</f>
        <v>327.03280000000001</v>
      </c>
      <c r="E30" s="339">
        <f>'Table A11'!E31</f>
        <v>429.81920000000002</v>
      </c>
      <c r="F30" s="339">
        <f>'Table A11'!F31</f>
        <v>529.0553000000001</v>
      </c>
      <c r="G30" s="339">
        <f>'Table A11'!G31</f>
        <v>672.94169999999997</v>
      </c>
      <c r="H30" s="339">
        <f>'Table A11'!H31</f>
        <v>735.46359999999993</v>
      </c>
      <c r="I30" s="339">
        <f>'Table A11'!I31</f>
        <v>946.70280000000002</v>
      </c>
      <c r="J30" s="339">
        <f>'Table A11'!J31</f>
        <v>1118.502</v>
      </c>
      <c r="K30" s="339">
        <f>'Table A11'!K31</f>
        <v>894.14490000000001</v>
      </c>
    </row>
    <row r="31" spans="1:11" ht="22.05" customHeight="1" x14ac:dyDescent="0.35">
      <c r="A31" s="329"/>
      <c r="B31" s="332" t="s">
        <v>184</v>
      </c>
      <c r="C31" s="338" t="s">
        <v>218</v>
      </c>
      <c r="D31" s="337">
        <f t="shared" ref="D31:K31" si="7">MAX(D32+D33,D34)</f>
        <v>319.1125321322088</v>
      </c>
      <c r="E31" s="337">
        <f t="shared" si="7"/>
        <v>386.27653350894144</v>
      </c>
      <c r="F31" s="337">
        <f t="shared" si="7"/>
        <v>561.19219575928037</v>
      </c>
      <c r="G31" s="337">
        <f t="shared" si="7"/>
        <v>783.76226732537941</v>
      </c>
      <c r="H31" s="337">
        <f t="shared" si="7"/>
        <v>856.52873323756535</v>
      </c>
      <c r="I31" s="337">
        <f t="shared" si="7"/>
        <v>1195.0448486000823</v>
      </c>
      <c r="J31" s="337">
        <f t="shared" si="7"/>
        <v>1669.395622612913</v>
      </c>
      <c r="K31" s="337">
        <f t="shared" si="7"/>
        <v>1105.9018235294118</v>
      </c>
    </row>
    <row r="32" spans="1:11" ht="22.05" customHeight="1" x14ac:dyDescent="0.35">
      <c r="A32" s="329"/>
      <c r="B32" s="332" t="s">
        <v>182</v>
      </c>
      <c r="C32" s="334" t="s">
        <v>693</v>
      </c>
      <c r="D32" s="339">
        <f>E32*D14/E14</f>
        <v>288.61553213220878</v>
      </c>
      <c r="E32" s="339">
        <f>F32*E14/F14</f>
        <v>359.31338580154141</v>
      </c>
      <c r="F32" s="339">
        <f>G32*F14/G14</f>
        <v>520.97519575928038</v>
      </c>
      <c r="G32" s="339">
        <f>H32*G14/H14</f>
        <v>722.86347546537945</v>
      </c>
      <c r="H32" s="339">
        <v>768.0837332375653</v>
      </c>
      <c r="I32" s="339">
        <v>1065.6128486000823</v>
      </c>
      <c r="J32" s="339">
        <v>1485.254622612913</v>
      </c>
      <c r="K32" s="339">
        <v>1045.3088235294117</v>
      </c>
    </row>
    <row r="33" spans="1:12" ht="22.05" customHeight="1" x14ac:dyDescent="0.35">
      <c r="A33" s="329"/>
      <c r="B33" s="332" t="s">
        <v>215</v>
      </c>
      <c r="C33" s="338" t="s">
        <v>216</v>
      </c>
      <c r="D33" s="339">
        <v>30.497</v>
      </c>
      <c r="E33" s="339">
        <v>26.963147707400001</v>
      </c>
      <c r="F33" s="339">
        <v>40.216999999999999</v>
      </c>
      <c r="G33" s="339">
        <v>60.898791859999996</v>
      </c>
      <c r="H33" s="339">
        <v>88.444999999999993</v>
      </c>
      <c r="I33" s="339">
        <v>129.43199999999999</v>
      </c>
      <c r="J33" s="339">
        <v>184.14099999999999</v>
      </c>
      <c r="K33" s="339">
        <v>60.593000000000004</v>
      </c>
    </row>
    <row r="34" spans="1:12" ht="22.05" customHeight="1" x14ac:dyDescent="0.35">
      <c r="A34" s="329"/>
      <c r="B34" s="332" t="s">
        <v>217</v>
      </c>
      <c r="C34" s="338" t="s">
        <v>250</v>
      </c>
      <c r="D34" s="350">
        <f>'Table A10'!D42</f>
        <v>116.65349999999999</v>
      </c>
      <c r="E34" s="350">
        <f>'Table A10'!E42</f>
        <v>134.34379999999999</v>
      </c>
      <c r="F34" s="350">
        <f>'Table A10'!F42</f>
        <v>214.68700000000001</v>
      </c>
      <c r="G34" s="350">
        <f>'Table A10'!G42</f>
        <v>307.10490000000004</v>
      </c>
      <c r="H34" s="350">
        <f>'Table A10'!H42</f>
        <v>393.65249999999997</v>
      </c>
      <c r="I34" s="350">
        <f>'Table A10'!I42</f>
        <v>635.74559999999997</v>
      </c>
      <c r="J34" s="350">
        <f>'Table A10'!J42</f>
        <v>871.52240000000006</v>
      </c>
      <c r="K34" s="350">
        <f>'Table A10'!K42</f>
        <v>506.37359999999995</v>
      </c>
    </row>
    <row r="35" spans="1:12" ht="22.05" customHeight="1" x14ac:dyDescent="0.35">
      <c r="A35" s="329"/>
      <c r="B35" s="332"/>
      <c r="C35" s="338"/>
      <c r="D35" s="344"/>
      <c r="E35" s="344"/>
      <c r="F35" s="344"/>
      <c r="G35" s="344"/>
      <c r="H35" s="344"/>
      <c r="I35" s="344"/>
      <c r="J35" s="344"/>
      <c r="K35" s="344"/>
    </row>
    <row r="36" spans="1:12" ht="22.05" customHeight="1" x14ac:dyDescent="0.4">
      <c r="A36" s="329"/>
      <c r="B36" s="332" t="s">
        <v>214</v>
      </c>
      <c r="C36" s="336" t="s">
        <v>213</v>
      </c>
      <c r="D36" s="337">
        <f t="shared" ref="D36:K36" si="8">D14-D27</f>
        <v>-335.40544261494711</v>
      </c>
      <c r="E36" s="337">
        <f t="shared" si="8"/>
        <v>-384.78300288374669</v>
      </c>
      <c r="F36" s="337">
        <f t="shared" si="8"/>
        <v>-431.83970554007999</v>
      </c>
      <c r="G36" s="337">
        <f t="shared" si="8"/>
        <v>-538.05312362869597</v>
      </c>
      <c r="H36" s="337">
        <f t="shared" si="8"/>
        <v>-592.13678265918725</v>
      </c>
      <c r="I36" s="337">
        <f t="shared" si="8"/>
        <v>-677.82867672619864</v>
      </c>
      <c r="J36" s="337">
        <f t="shared" si="8"/>
        <v>-1028.6287663240355</v>
      </c>
      <c r="K36" s="337">
        <f t="shared" si="8"/>
        <v>-927.91682915128035</v>
      </c>
    </row>
    <row r="37" spans="1:12" ht="22.05" customHeight="1" x14ac:dyDescent="0.35">
      <c r="A37" s="329"/>
      <c r="B37" s="332" t="s">
        <v>212</v>
      </c>
      <c r="C37" s="334" t="s">
        <v>694</v>
      </c>
      <c r="D37" s="339">
        <f t="shared" ref="D37:K37" si="9">D15-D32</f>
        <v>-124.66092214288216</v>
      </c>
      <c r="E37" s="339">
        <f t="shared" si="9"/>
        <v>-157.08120124648107</v>
      </c>
      <c r="F37" s="339">
        <f t="shared" si="9"/>
        <v>-181.47617238316496</v>
      </c>
      <c r="G37" s="339">
        <f t="shared" si="9"/>
        <v>-319.01350408798572</v>
      </c>
      <c r="H37" s="339">
        <f t="shared" si="9"/>
        <v>-336.17852649087735</v>
      </c>
      <c r="I37" s="339">
        <f t="shared" si="9"/>
        <v>-447.58484568046333</v>
      </c>
      <c r="J37" s="339">
        <f t="shared" si="9"/>
        <v>-709.55554221619332</v>
      </c>
      <c r="K37" s="339">
        <f t="shared" si="9"/>
        <v>-586.46153723339853</v>
      </c>
    </row>
    <row r="38" spans="1:12" ht="22.05" customHeight="1" thickBot="1" x14ac:dyDescent="0.4">
      <c r="A38" s="329"/>
      <c r="B38" s="333" t="s">
        <v>211</v>
      </c>
      <c r="C38" s="351" t="s">
        <v>210</v>
      </c>
      <c r="D38" s="352">
        <f t="shared" ref="D38:K38" si="10">D16-D28</f>
        <v>-210.74452047206495</v>
      </c>
      <c r="E38" s="352">
        <f t="shared" si="10"/>
        <v>-227.70180163726567</v>
      </c>
      <c r="F38" s="352">
        <f t="shared" si="10"/>
        <v>-250.36353315691503</v>
      </c>
      <c r="G38" s="352">
        <f t="shared" si="10"/>
        <v>-219.03961954071036</v>
      </c>
      <c r="H38" s="352">
        <f t="shared" si="10"/>
        <v>-255.9582561683099</v>
      </c>
      <c r="I38" s="352">
        <f t="shared" si="10"/>
        <v>-230.24383104573542</v>
      </c>
      <c r="J38" s="352">
        <f t="shared" si="10"/>
        <v>-319.07322410784207</v>
      </c>
      <c r="K38" s="352">
        <f t="shared" si="10"/>
        <v>-341.4552919178816</v>
      </c>
    </row>
    <row r="39" spans="1:12" ht="16.05" customHeight="1" thickTop="1" x14ac:dyDescent="0.3">
      <c r="B39" s="87"/>
    </row>
    <row r="40" spans="1:12" ht="16.05" customHeight="1" x14ac:dyDescent="0.3"/>
    <row r="41" spans="1:12" ht="16.05" customHeight="1" x14ac:dyDescent="0.3">
      <c r="D41" s="83"/>
      <c r="E41" s="83"/>
      <c r="F41" s="83"/>
      <c r="G41" s="83"/>
      <c r="H41" s="83"/>
      <c r="I41" s="83"/>
      <c r="J41" s="83"/>
      <c r="K41" s="83"/>
    </row>
    <row r="42" spans="1:12" ht="16.05" customHeight="1" x14ac:dyDescent="0.35">
      <c r="B42" s="84"/>
      <c r="D42" s="83"/>
      <c r="E42" s="83"/>
      <c r="F42" s="83"/>
      <c r="G42" s="83"/>
      <c r="H42" s="83"/>
      <c r="I42" s="83"/>
      <c r="J42" s="86"/>
      <c r="K42" s="83"/>
    </row>
    <row r="43" spans="1:12" ht="16.05" customHeight="1" x14ac:dyDescent="0.35">
      <c r="B43" s="84"/>
      <c r="D43" s="85"/>
      <c r="E43" s="85"/>
      <c r="F43" s="85"/>
      <c r="G43" s="85"/>
      <c r="H43" s="85"/>
      <c r="I43" s="85"/>
      <c r="J43" s="85"/>
      <c r="K43" s="85"/>
    </row>
    <row r="44" spans="1:12" ht="16.05" customHeight="1" x14ac:dyDescent="0.3">
      <c r="B44" s="84"/>
      <c r="D44" s="83"/>
      <c r="E44" s="83"/>
      <c r="F44" s="83"/>
      <c r="G44" s="83"/>
      <c r="H44" s="83"/>
      <c r="I44" s="83"/>
      <c r="J44" s="83"/>
      <c r="K44" s="83"/>
    </row>
    <row r="45" spans="1:12" ht="16.05" customHeight="1" x14ac:dyDescent="0.3">
      <c r="B45" s="84"/>
      <c r="D45" s="83"/>
      <c r="E45" s="83"/>
      <c r="F45" s="83"/>
      <c r="G45" s="83"/>
      <c r="H45" s="83"/>
      <c r="I45" s="83"/>
      <c r="J45" s="83"/>
      <c r="K45" s="83"/>
      <c r="L45" s="83"/>
    </row>
    <row r="46" spans="1:12" ht="16.05" customHeight="1" x14ac:dyDescent="0.3">
      <c r="D46" s="83"/>
      <c r="E46" s="83"/>
      <c r="F46" s="83"/>
      <c r="G46" s="83"/>
      <c r="H46" s="83"/>
      <c r="I46" s="83"/>
      <c r="J46" s="83"/>
      <c r="K46" s="83"/>
    </row>
    <row r="47" spans="1:12" ht="16.05" customHeight="1" x14ac:dyDescent="0.3"/>
    <row r="48" spans="1:12" ht="16.05" customHeight="1" x14ac:dyDescent="0.3"/>
    <row r="49" spans="2:12" ht="16.05" customHeight="1" x14ac:dyDescent="0.3"/>
    <row r="50" spans="2:12" ht="16.05" customHeight="1" x14ac:dyDescent="0.3"/>
    <row r="51" spans="2:12" ht="16.05" customHeight="1" x14ac:dyDescent="0.3"/>
    <row r="52" spans="2:12" ht="16.05" customHeight="1" x14ac:dyDescent="0.3">
      <c r="B52" s="82"/>
    </row>
    <row r="53" spans="2:12" ht="16.05" customHeight="1" x14ac:dyDescent="0.3">
      <c r="B53" s="82"/>
      <c r="L53" s="83"/>
    </row>
    <row r="54" spans="2:12" ht="16.05" customHeight="1" x14ac:dyDescent="0.3">
      <c r="B54" s="82"/>
    </row>
    <row r="55" spans="2:12" ht="16.05" customHeight="1" x14ac:dyDescent="0.3">
      <c r="B55" s="82"/>
    </row>
    <row r="56" spans="2:12" ht="16.05" customHeight="1" x14ac:dyDescent="0.3">
      <c r="B56" s="82"/>
    </row>
    <row r="57" spans="2:12" ht="16.05" customHeight="1" x14ac:dyDescent="0.3">
      <c r="B57" s="82"/>
    </row>
    <row r="58" spans="2:12" ht="16.05" customHeight="1" x14ac:dyDescent="0.3">
      <c r="B58" s="82"/>
    </row>
    <row r="59" spans="2:12" x14ac:dyDescent="0.3">
      <c r="B59" s="82"/>
    </row>
    <row r="63" spans="2:12" x14ac:dyDescent="0.3">
      <c r="C63" s="81"/>
    </row>
    <row r="65" spans="3:3" x14ac:dyDescent="0.3">
      <c r="C65" s="81"/>
    </row>
  </sheetData>
  <mergeCells count="1">
    <mergeCell ref="B2:K2"/>
  </mergeCells>
  <phoneticPr fontId="13" type="noConversion"/>
  <pageMargins left="0.75000000000000011" right="0.75000000000000011" top="1" bottom="1" header="0.5" footer="0.5"/>
  <pageSetup paperSize="9" scale="54" orientation="landscape" horizontalDpi="4294967292" verticalDpi="4294967292"/>
  <extLst>
    <ext xmlns:mx="http://schemas.microsoft.com/office/mac/excel/2008/main" uri="{64002731-A6B0-56B0-2670-7721B7C09600}">
      <mx:PLV Mode="0" OnePage="0" WScale="10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2:L63"/>
  <sheetViews>
    <sheetView zoomScale="70" zoomScaleNormal="70" zoomScalePageLayoutView="70" workbookViewId="0">
      <pane xSplit="3" ySplit="4" topLeftCell="D5" activePane="bottomRight" state="frozen"/>
      <selection pane="topRight" activeCell="B1" sqref="B1"/>
      <selection pane="bottomLeft" activeCell="A2" sqref="A2"/>
      <selection pane="bottomRight" activeCell="B2" sqref="B2:K35"/>
    </sheetView>
  </sheetViews>
  <sheetFormatPr baseColWidth="10" defaultColWidth="10.7265625" defaultRowHeight="17.399999999999999" x14ac:dyDescent="0.3"/>
  <cols>
    <col min="1" max="1" width="2.81640625" style="59" customWidth="1"/>
    <col min="2" max="2" width="5.1796875" style="59" customWidth="1"/>
    <col min="3" max="3" width="47.453125" style="59" customWidth="1"/>
    <col min="4" max="11" width="11.1796875" style="59" customWidth="1"/>
    <col min="12" max="16384" width="10.7265625" style="59"/>
  </cols>
  <sheetData>
    <row r="2" spans="2:11" ht="24.6" x14ac:dyDescent="0.4">
      <c r="B2" s="723" t="s">
        <v>632</v>
      </c>
      <c r="C2" s="723"/>
      <c r="D2" s="723"/>
      <c r="E2" s="723"/>
      <c r="F2" s="723"/>
      <c r="G2" s="723"/>
      <c r="H2" s="723"/>
      <c r="I2" s="723"/>
      <c r="J2" s="723"/>
      <c r="K2" s="723"/>
    </row>
    <row r="3" spans="2:11" ht="18" thickBot="1" x14ac:dyDescent="0.35"/>
    <row r="4" spans="2:11" ht="16.05" customHeight="1" thickTop="1" x14ac:dyDescent="0.3">
      <c r="B4" s="78"/>
      <c r="C4" s="78"/>
      <c r="D4" s="77">
        <v>2001</v>
      </c>
      <c r="E4" s="77">
        <v>2002</v>
      </c>
      <c r="F4" s="77">
        <v>2003</v>
      </c>
      <c r="G4" s="77">
        <v>2004</v>
      </c>
      <c r="H4" s="77">
        <v>2005</v>
      </c>
      <c r="I4" s="77">
        <v>2006</v>
      </c>
      <c r="J4" s="77">
        <v>2007</v>
      </c>
      <c r="K4" s="77">
        <v>2008</v>
      </c>
    </row>
    <row r="5" spans="2:11" ht="18" customHeight="1" x14ac:dyDescent="0.3">
      <c r="B5" s="65"/>
      <c r="C5" s="67" t="s">
        <v>209</v>
      </c>
      <c r="D5" s="76"/>
      <c r="E5" s="76"/>
      <c r="F5" s="76"/>
      <c r="G5" s="76"/>
      <c r="H5" s="76"/>
      <c r="I5" s="76"/>
      <c r="J5" s="76"/>
      <c r="K5" s="76"/>
    </row>
    <row r="6" spans="2:11" ht="18" customHeight="1" x14ac:dyDescent="0.3">
      <c r="B6" s="65" t="s">
        <v>85</v>
      </c>
      <c r="C6" s="66" t="s">
        <v>208</v>
      </c>
      <c r="D6" s="73">
        <v>215.60499999999999</v>
      </c>
      <c r="E6" s="73">
        <v>291.12799999999999</v>
      </c>
      <c r="F6" s="73">
        <v>408.15100000000001</v>
      </c>
      <c r="G6" s="73">
        <v>614.5</v>
      </c>
      <c r="H6" s="73">
        <v>821.51400000000001</v>
      </c>
      <c r="I6" s="73">
        <v>1068.49</v>
      </c>
      <c r="J6" s="73">
        <v>1530.28</v>
      </c>
      <c r="K6" s="73">
        <v>1949.26</v>
      </c>
    </row>
    <row r="7" spans="2:11" ht="18" customHeight="1" x14ac:dyDescent="0.3">
      <c r="B7" s="65" t="s">
        <v>86</v>
      </c>
      <c r="C7" s="65" t="s">
        <v>207</v>
      </c>
      <c r="D7" s="64">
        <v>212.16499999999999</v>
      </c>
      <c r="E7" s="64">
        <v>286.40699999999998</v>
      </c>
      <c r="F7" s="64">
        <v>403.25099999999998</v>
      </c>
      <c r="G7" s="64">
        <v>609.93200000000002</v>
      </c>
      <c r="H7" s="64">
        <v>818.87199999999996</v>
      </c>
      <c r="I7" s="64">
        <v>1066.3399999999999</v>
      </c>
      <c r="J7" s="64">
        <v>1528.25</v>
      </c>
      <c r="K7" s="64">
        <v>1946.03</v>
      </c>
    </row>
    <row r="8" spans="2:11" s="90" customFormat="1" ht="18" customHeight="1" x14ac:dyDescent="0.3">
      <c r="B8" s="65" t="s">
        <v>87</v>
      </c>
      <c r="C8" s="72" t="s">
        <v>206</v>
      </c>
      <c r="D8" s="70">
        <f>0.85*D7</f>
        <v>180.34025</v>
      </c>
      <c r="E8" s="70">
        <f t="shared" ref="E8:K8" si="0">0.85*E7</f>
        <v>243.44594999999998</v>
      </c>
      <c r="F8" s="70">
        <f t="shared" si="0"/>
        <v>342.76334999999995</v>
      </c>
      <c r="G8" s="70">
        <f t="shared" si="0"/>
        <v>518.44219999999996</v>
      </c>
      <c r="H8" s="70">
        <f t="shared" si="0"/>
        <v>696.04119999999989</v>
      </c>
      <c r="I8" s="70">
        <f t="shared" si="0"/>
        <v>906.3889999999999</v>
      </c>
      <c r="J8" s="70">
        <f t="shared" si="0"/>
        <v>1299.0125</v>
      </c>
      <c r="K8" s="70">
        <f t="shared" si="0"/>
        <v>1654.1254999999999</v>
      </c>
    </row>
    <row r="9" spans="2:11" s="90" customFormat="1" ht="18" customHeight="1" x14ac:dyDescent="0.3">
      <c r="B9" s="65" t="s">
        <v>88</v>
      </c>
      <c r="C9" s="72" t="s">
        <v>200</v>
      </c>
      <c r="D9" s="73">
        <v>4.3428278401859215</v>
      </c>
      <c r="E9" s="73">
        <v>2.8582829065927733</v>
      </c>
      <c r="F9" s="73">
        <v>2.6290851262425523</v>
      </c>
      <c r="G9" s="73">
        <v>3.1629462614137549</v>
      </c>
      <c r="H9" s="73">
        <v>3.4282846086679721</v>
      </c>
      <c r="I9" s="73">
        <v>16.305991868679691</v>
      </c>
      <c r="J9" s="73">
        <v>83.373269278590215</v>
      </c>
      <c r="K9" s="73">
        <v>73.915426516070767</v>
      </c>
    </row>
    <row r="10" spans="2:11" s="90" customFormat="1" ht="18" customHeight="1" x14ac:dyDescent="0.3">
      <c r="B10" s="65" t="s">
        <v>89</v>
      </c>
      <c r="C10" s="72" t="s">
        <v>199</v>
      </c>
      <c r="D10" s="73">
        <v>175.99742215981408</v>
      </c>
      <c r="E10" s="73">
        <v>240.58766709340722</v>
      </c>
      <c r="F10" s="73">
        <v>340.13426487375745</v>
      </c>
      <c r="G10" s="73">
        <v>515.27925373858625</v>
      </c>
      <c r="H10" s="73">
        <v>692.61291539133197</v>
      </c>
      <c r="I10" s="73">
        <v>890.08300813132041</v>
      </c>
      <c r="J10" s="73">
        <v>1215.6392307214098</v>
      </c>
      <c r="K10" s="73">
        <v>1580.2100734839294</v>
      </c>
    </row>
    <row r="11" spans="2:11" s="90" customFormat="1" ht="18" customHeight="1" x14ac:dyDescent="0.3">
      <c r="B11" s="72"/>
      <c r="C11" s="72"/>
      <c r="D11" s="75"/>
      <c r="E11" s="75"/>
      <c r="F11" s="75"/>
      <c r="G11" s="75"/>
      <c r="H11" s="75"/>
      <c r="I11" s="75"/>
      <c r="J11" s="75"/>
      <c r="K11" s="75"/>
    </row>
    <row r="12" spans="2:11" ht="18" customHeight="1" x14ac:dyDescent="0.3">
      <c r="C12" s="67" t="s">
        <v>205</v>
      </c>
      <c r="D12" s="71"/>
      <c r="E12" s="71"/>
      <c r="F12" s="71"/>
      <c r="G12" s="71"/>
      <c r="H12" s="71"/>
      <c r="I12" s="71"/>
      <c r="J12" s="71"/>
      <c r="K12" s="71"/>
    </row>
    <row r="13" spans="2:11" ht="18" customHeight="1" x14ac:dyDescent="0.3">
      <c r="B13" s="65" t="s">
        <v>90</v>
      </c>
      <c r="C13" s="65" t="s">
        <v>204</v>
      </c>
      <c r="D13" s="64">
        <f t="shared" ref="D13:J13" si="1">D14+D15</f>
        <v>7.6360000000000001</v>
      </c>
      <c r="E13" s="64">
        <f t="shared" si="1"/>
        <v>5.61</v>
      </c>
      <c r="F13" s="64">
        <f t="shared" si="1"/>
        <v>4.83</v>
      </c>
      <c r="G13" s="64">
        <f t="shared" si="1"/>
        <v>97.706000000000003</v>
      </c>
      <c r="H13" s="64">
        <f t="shared" si="1"/>
        <v>122.91851393405057</v>
      </c>
      <c r="I13" s="64">
        <f t="shared" si="1"/>
        <v>272.64949398084246</v>
      </c>
      <c r="J13" s="64">
        <f t="shared" si="1"/>
        <v>290.25765491459907</v>
      </c>
      <c r="K13" s="74" t="s">
        <v>202</v>
      </c>
    </row>
    <row r="14" spans="2:11" ht="18" customHeight="1" x14ac:dyDescent="0.3">
      <c r="B14" s="65" t="s">
        <v>91</v>
      </c>
      <c r="C14" s="72" t="s">
        <v>200</v>
      </c>
      <c r="D14" s="73">
        <v>7.6360000000000001</v>
      </c>
      <c r="E14" s="73">
        <v>5.61</v>
      </c>
      <c r="F14" s="73">
        <v>4.83</v>
      </c>
      <c r="G14" s="73">
        <v>5.6779999999999999</v>
      </c>
      <c r="H14" s="73">
        <v>6.1790839340505626</v>
      </c>
      <c r="I14" s="73">
        <v>8.92490398084243</v>
      </c>
      <c r="J14" s="73">
        <v>25.280064030183073</v>
      </c>
      <c r="K14" s="74" t="s">
        <v>202</v>
      </c>
    </row>
    <row r="15" spans="2:11" ht="18" customHeight="1" x14ac:dyDescent="0.3">
      <c r="B15" s="65" t="s">
        <v>92</v>
      </c>
      <c r="C15" s="72" t="s">
        <v>199</v>
      </c>
      <c r="D15" s="73">
        <v>0</v>
      </c>
      <c r="E15" s="73">
        <v>0</v>
      </c>
      <c r="F15" s="73">
        <v>0</v>
      </c>
      <c r="G15" s="73">
        <v>92.028000000000006</v>
      </c>
      <c r="H15" s="73">
        <v>116.73943</v>
      </c>
      <c r="I15" s="73">
        <v>263.72459000000003</v>
      </c>
      <c r="J15" s="73">
        <v>264.97759088441597</v>
      </c>
      <c r="K15" s="74" t="s">
        <v>202</v>
      </c>
    </row>
    <row r="16" spans="2:11" ht="18" customHeight="1" x14ac:dyDescent="0.3">
      <c r="B16" s="65" t="s">
        <v>93</v>
      </c>
      <c r="C16" s="65" t="s">
        <v>203</v>
      </c>
      <c r="D16" s="74" t="s">
        <v>202</v>
      </c>
      <c r="E16" s="74" t="s">
        <v>202</v>
      </c>
      <c r="F16" s="74" t="s">
        <v>202</v>
      </c>
      <c r="G16" s="64">
        <f>G17+G18</f>
        <v>92.028000000000006</v>
      </c>
      <c r="H16" s="64">
        <f>H17+H18</f>
        <v>116.739</v>
      </c>
      <c r="I16" s="64">
        <f>I17+I18</f>
        <v>265.17900000000003</v>
      </c>
      <c r="J16" s="64">
        <f>J17+J18</f>
        <v>284.62060000000002</v>
      </c>
      <c r="K16" s="64">
        <f>K17+K18</f>
        <v>251.8802</v>
      </c>
    </row>
    <row r="17" spans="2:11" ht="18" customHeight="1" x14ac:dyDescent="0.3">
      <c r="B17" s="65" t="s">
        <v>94</v>
      </c>
      <c r="C17" s="72" t="s">
        <v>200</v>
      </c>
      <c r="D17" s="74" t="s">
        <v>202</v>
      </c>
      <c r="E17" s="74" t="s">
        <v>202</v>
      </c>
      <c r="F17" s="74" t="s">
        <v>202</v>
      </c>
      <c r="G17" s="73">
        <v>0</v>
      </c>
      <c r="H17" s="73">
        <v>0</v>
      </c>
      <c r="I17" s="73">
        <v>1.454</v>
      </c>
      <c r="J17" s="73">
        <v>19.642599999999998</v>
      </c>
      <c r="K17" s="73">
        <v>20.760200000000001</v>
      </c>
    </row>
    <row r="18" spans="2:11" ht="18" customHeight="1" x14ac:dyDescent="0.3">
      <c r="B18" s="65" t="s">
        <v>95</v>
      </c>
      <c r="C18" s="72" t="s">
        <v>199</v>
      </c>
      <c r="D18" s="74" t="s">
        <v>202</v>
      </c>
      <c r="E18" s="74" t="s">
        <v>202</v>
      </c>
      <c r="F18" s="74" t="s">
        <v>202</v>
      </c>
      <c r="G18" s="73">
        <v>92.028000000000006</v>
      </c>
      <c r="H18" s="73">
        <v>116.739</v>
      </c>
      <c r="I18" s="73">
        <v>263.72500000000002</v>
      </c>
      <c r="J18" s="73">
        <v>264.97800000000001</v>
      </c>
      <c r="K18" s="73">
        <v>231.12</v>
      </c>
    </row>
    <row r="19" spans="2:11" ht="18" customHeight="1" x14ac:dyDescent="0.3">
      <c r="B19" s="65" t="s">
        <v>96</v>
      </c>
      <c r="C19" s="65" t="s">
        <v>201</v>
      </c>
      <c r="D19" s="70">
        <f t="shared" ref="D19:K19" si="2">D21+D20</f>
        <v>33.437349772924058</v>
      </c>
      <c r="E19" s="70">
        <f t="shared" si="2"/>
        <v>46.777998102225276</v>
      </c>
      <c r="F19" s="70">
        <f t="shared" si="2"/>
        <v>64.482566947156627</v>
      </c>
      <c r="G19" s="70">
        <f t="shared" si="2"/>
        <v>92.827782941996659</v>
      </c>
      <c r="H19" s="70">
        <f t="shared" si="2"/>
        <v>117.68496114891244</v>
      </c>
      <c r="I19" s="70">
        <f t="shared" si="2"/>
        <v>267.8113321723369</v>
      </c>
      <c r="J19" s="70">
        <f t="shared" si="2"/>
        <v>285.84095893753488</v>
      </c>
      <c r="K19" s="70">
        <f t="shared" si="2"/>
        <v>251.8802</v>
      </c>
    </row>
    <row r="20" spans="2:11" ht="18" customHeight="1" x14ac:dyDescent="0.3">
      <c r="B20" s="65" t="s">
        <v>97</v>
      </c>
      <c r="C20" s="72" t="s">
        <v>200</v>
      </c>
      <c r="D20" s="64">
        <v>1.1306377746793086</v>
      </c>
      <c r="E20" s="64">
        <v>0.77720492191857238</v>
      </c>
      <c r="F20" s="64">
        <v>0.70020808421639724</v>
      </c>
      <c r="G20" s="64">
        <v>0.79978294199665367</v>
      </c>
      <c r="H20" s="64">
        <v>0.94596114891243732</v>
      </c>
      <c r="I20" s="64">
        <v>4.0863321723368662</v>
      </c>
      <c r="J20" s="64">
        <v>20.862958937534859</v>
      </c>
      <c r="K20" s="64">
        <v>20.760200000000001</v>
      </c>
    </row>
    <row r="21" spans="2:11" ht="18" customHeight="1" x14ac:dyDescent="0.3">
      <c r="B21" s="65" t="s">
        <v>104</v>
      </c>
      <c r="C21" s="72" t="s">
        <v>199</v>
      </c>
      <c r="D21" s="64">
        <f>E21*(D33-D31)/(E33-E31)</f>
        <v>32.306711998244751</v>
      </c>
      <c r="E21" s="64">
        <f>F21*(E33-E31)/(F33-F31)</f>
        <v>46.000793180306701</v>
      </c>
      <c r="F21" s="64">
        <f>G21*(F33-F31)/(G33-G31)</f>
        <v>63.782358862940228</v>
      </c>
      <c r="G21" s="64">
        <f>G18</f>
        <v>92.028000000000006</v>
      </c>
      <c r="H21" s="64">
        <f>H18</f>
        <v>116.739</v>
      </c>
      <c r="I21" s="64">
        <f>I18</f>
        <v>263.72500000000002</v>
      </c>
      <c r="J21" s="64">
        <f>J18</f>
        <v>264.97800000000001</v>
      </c>
      <c r="K21" s="64">
        <f>K18</f>
        <v>231.12</v>
      </c>
    </row>
    <row r="22" spans="2:11" ht="18" customHeight="1" x14ac:dyDescent="0.3">
      <c r="B22" s="65"/>
      <c r="C22" s="65"/>
      <c r="D22" s="65"/>
      <c r="E22" s="65"/>
      <c r="F22" s="65"/>
      <c r="G22" s="65"/>
      <c r="H22" s="65"/>
      <c r="I22" s="65"/>
      <c r="J22" s="65"/>
      <c r="K22" s="65"/>
    </row>
    <row r="23" spans="2:11" ht="18" customHeight="1" x14ac:dyDescent="0.3">
      <c r="B23" s="65"/>
      <c r="C23" s="67" t="s">
        <v>198</v>
      </c>
      <c r="D23" s="71"/>
      <c r="E23" s="71"/>
      <c r="F23" s="71"/>
      <c r="G23" s="71"/>
      <c r="H23" s="71"/>
      <c r="I23" s="71"/>
      <c r="J23" s="71"/>
      <c r="K23" s="71"/>
    </row>
    <row r="24" spans="2:11" ht="18" customHeight="1" x14ac:dyDescent="0.3">
      <c r="B24" s="65" t="s">
        <v>134</v>
      </c>
      <c r="C24" s="65" t="s">
        <v>197</v>
      </c>
      <c r="D24" s="70">
        <f t="shared" ref="D24:K24" si="3">D8+D19</f>
        <v>213.77759977292405</v>
      </c>
      <c r="E24" s="70">
        <f t="shared" si="3"/>
        <v>290.22394810222528</v>
      </c>
      <c r="F24" s="70">
        <f t="shared" si="3"/>
        <v>407.24591694715656</v>
      </c>
      <c r="G24" s="70">
        <f t="shared" si="3"/>
        <v>611.26998294199666</v>
      </c>
      <c r="H24" s="70">
        <f t="shared" si="3"/>
        <v>813.7261611489123</v>
      </c>
      <c r="I24" s="70">
        <f t="shared" si="3"/>
        <v>1174.2003321723369</v>
      </c>
      <c r="J24" s="70">
        <f t="shared" si="3"/>
        <v>1584.8534589375349</v>
      </c>
      <c r="K24" s="70">
        <f t="shared" si="3"/>
        <v>1906.0056999999999</v>
      </c>
    </row>
    <row r="25" spans="2:11" ht="18" customHeight="1" x14ac:dyDescent="0.3">
      <c r="B25" s="65" t="s">
        <v>196</v>
      </c>
      <c r="C25" s="66" t="s">
        <v>187</v>
      </c>
      <c r="D25" s="64">
        <f t="shared" ref="D25:K25" si="4">D31/D33*D24</f>
        <v>5.4734656148652299</v>
      </c>
      <c r="E25" s="64">
        <f t="shared" si="4"/>
        <v>3.6354878285113457</v>
      </c>
      <c r="F25" s="64">
        <f t="shared" si="4"/>
        <v>3.3292932104589492</v>
      </c>
      <c r="G25" s="64">
        <f t="shared" si="4"/>
        <v>3.9627292034104085</v>
      </c>
      <c r="H25" s="64">
        <f t="shared" si="4"/>
        <v>4.3742457575804083</v>
      </c>
      <c r="I25" s="64">
        <f t="shared" si="4"/>
        <v>20.392324041016554</v>
      </c>
      <c r="J25" s="64">
        <f t="shared" si="4"/>
        <v>104.23622821612508</v>
      </c>
      <c r="K25" s="64">
        <f t="shared" si="4"/>
        <v>94.675626516070764</v>
      </c>
    </row>
    <row r="26" spans="2:11" ht="18" customHeight="1" x14ac:dyDescent="0.3">
      <c r="B26" s="65" t="s">
        <v>195</v>
      </c>
      <c r="C26" s="66" t="s">
        <v>194</v>
      </c>
      <c r="D26" s="64">
        <f t="shared" ref="D26:K26" si="5">D24*((D33-D31)/D33)</f>
        <v>208.30413415805882</v>
      </c>
      <c r="E26" s="64">
        <f t="shared" si="5"/>
        <v>286.58846027371396</v>
      </c>
      <c r="F26" s="64">
        <f t="shared" si="5"/>
        <v>403.91662373669766</v>
      </c>
      <c r="G26" s="64">
        <f t="shared" si="5"/>
        <v>607.30725373858627</v>
      </c>
      <c r="H26" s="64">
        <f t="shared" si="5"/>
        <v>809.35191539133189</v>
      </c>
      <c r="I26" s="64">
        <f t="shared" si="5"/>
        <v>1153.8080081313203</v>
      </c>
      <c r="J26" s="64">
        <f t="shared" si="5"/>
        <v>1480.6172307214097</v>
      </c>
      <c r="K26" s="64">
        <f t="shared" si="5"/>
        <v>1811.3300734839293</v>
      </c>
    </row>
    <row r="27" spans="2:11" ht="18" customHeight="1" x14ac:dyDescent="0.3">
      <c r="B27" s="65" t="s">
        <v>193</v>
      </c>
      <c r="C27" s="65" t="s">
        <v>192</v>
      </c>
      <c r="D27" s="69">
        <f t="shared" ref="D27:K27" si="6">D8/D24</f>
        <v>0.84358815044961954</v>
      </c>
      <c r="E27" s="69">
        <f t="shared" si="6"/>
        <v>0.83882102628640165</v>
      </c>
      <c r="F27" s="69">
        <f t="shared" si="6"/>
        <v>0.84166184542612921</v>
      </c>
      <c r="G27" s="69">
        <f t="shared" si="6"/>
        <v>0.84813947104808984</v>
      </c>
      <c r="H27" s="69">
        <f t="shared" si="6"/>
        <v>0.85537522723522708</v>
      </c>
      <c r="I27" s="69">
        <f t="shared" si="6"/>
        <v>0.77192023811058641</v>
      </c>
      <c r="J27" s="69">
        <f t="shared" si="6"/>
        <v>0.8196420260021019</v>
      </c>
      <c r="K27" s="69">
        <f t="shared" si="6"/>
        <v>0.86784918848878567</v>
      </c>
    </row>
    <row r="28" spans="2:11" ht="18" customHeight="1" x14ac:dyDescent="0.3">
      <c r="B28" s="65"/>
      <c r="C28" s="65"/>
      <c r="D28" s="68"/>
      <c r="E28" s="68"/>
      <c r="F28" s="68"/>
      <c r="G28" s="68"/>
      <c r="H28" s="68"/>
      <c r="I28" s="68"/>
      <c r="J28" s="68"/>
      <c r="K28" s="68"/>
    </row>
    <row r="29" spans="2:11" ht="18" customHeight="1" x14ac:dyDescent="0.3">
      <c r="B29" s="65"/>
      <c r="C29" s="67" t="s">
        <v>191</v>
      </c>
      <c r="D29" s="65"/>
      <c r="E29" s="65"/>
      <c r="F29" s="65"/>
      <c r="G29" s="65"/>
      <c r="H29" s="65"/>
      <c r="I29" s="65"/>
      <c r="J29" s="65"/>
      <c r="K29" s="65"/>
    </row>
    <row r="30" spans="2:11" ht="18" customHeight="1" x14ac:dyDescent="0.3">
      <c r="B30" s="65" t="s">
        <v>190</v>
      </c>
      <c r="C30" s="65" t="s">
        <v>189</v>
      </c>
      <c r="D30" s="64">
        <v>151.565</v>
      </c>
      <c r="E30" s="64">
        <v>212.952</v>
      </c>
      <c r="F30" s="64">
        <v>293.97300000000001</v>
      </c>
      <c r="G30" s="64">
        <v>404.78199999999998</v>
      </c>
      <c r="H30" s="64">
        <v>580.52300000000002</v>
      </c>
      <c r="I30" s="64">
        <v>788.18200000000002</v>
      </c>
      <c r="J30" s="64">
        <v>1030.2339999999999</v>
      </c>
      <c r="K30" s="64">
        <v>1274.769</v>
      </c>
    </row>
    <row r="31" spans="2:11" ht="18" customHeight="1" x14ac:dyDescent="0.3">
      <c r="B31" s="65" t="s">
        <v>188</v>
      </c>
      <c r="C31" s="66" t="s">
        <v>187</v>
      </c>
      <c r="D31" s="64">
        <v>3.9060000000000001</v>
      </c>
      <c r="E31" s="64">
        <v>2.6850000000000001</v>
      </c>
      <c r="F31" s="64">
        <v>2.419</v>
      </c>
      <c r="G31" s="64">
        <v>2.7629999999999999</v>
      </c>
      <c r="H31" s="64">
        <v>3.2679999999999998</v>
      </c>
      <c r="I31" s="64">
        <v>14.117000000000001</v>
      </c>
      <c r="J31" s="64">
        <v>72.075000000000003</v>
      </c>
      <c r="K31" s="64">
        <v>71.72</v>
      </c>
    </row>
    <row r="32" spans="2:11" ht="18" customHeight="1" x14ac:dyDescent="0.3">
      <c r="B32" s="65" t="s">
        <v>186</v>
      </c>
      <c r="C32" s="65" t="s">
        <v>185</v>
      </c>
      <c r="D32" s="64">
        <v>0.99196545260959323</v>
      </c>
      <c r="E32" s="64">
        <v>1.393732240715984</v>
      </c>
      <c r="F32" s="64">
        <v>1.9239999999999999</v>
      </c>
      <c r="G32" s="64">
        <v>21.423999999999999</v>
      </c>
      <c r="H32" s="64">
        <v>27.411999999999999</v>
      </c>
      <c r="I32" s="64">
        <v>24.681999999999999</v>
      </c>
      <c r="J32" s="64">
        <v>65.626000000000005</v>
      </c>
      <c r="K32" s="64">
        <v>169.095</v>
      </c>
    </row>
    <row r="33" spans="2:12" ht="18" customHeight="1" x14ac:dyDescent="0.3">
      <c r="B33" s="65" t="s">
        <v>184</v>
      </c>
      <c r="C33" s="65" t="s">
        <v>183</v>
      </c>
      <c r="D33" s="64">
        <v>152.55696545260957</v>
      </c>
      <c r="E33" s="64">
        <v>214.34573224071599</v>
      </c>
      <c r="F33" s="64">
        <v>295.89699999999999</v>
      </c>
      <c r="G33" s="64">
        <v>426.20600000000002</v>
      </c>
      <c r="H33" s="64">
        <v>607.93499999999995</v>
      </c>
      <c r="I33" s="64">
        <v>812.86400000000003</v>
      </c>
      <c r="J33" s="64">
        <v>1095.8599999999999</v>
      </c>
      <c r="K33" s="64">
        <v>1443.864</v>
      </c>
    </row>
    <row r="34" spans="2:12" ht="18" customHeight="1" thickBot="1" x14ac:dyDescent="0.35">
      <c r="B34" s="63" t="s">
        <v>182</v>
      </c>
      <c r="C34" s="63" t="s">
        <v>181</v>
      </c>
      <c r="D34" s="62">
        <f t="shared" ref="D34:K34" si="7">D33/D24</f>
        <v>0.71362465297887412</v>
      </c>
      <c r="E34" s="62">
        <f t="shared" si="7"/>
        <v>0.73855287836280559</v>
      </c>
      <c r="F34" s="62">
        <f t="shared" si="7"/>
        <v>0.72658064252218157</v>
      </c>
      <c r="G34" s="62">
        <f t="shared" si="7"/>
        <v>0.69724673531113446</v>
      </c>
      <c r="H34" s="62">
        <f t="shared" si="7"/>
        <v>0.74710022735615056</v>
      </c>
      <c r="I34" s="62">
        <f t="shared" si="7"/>
        <v>0.69227028619226816</v>
      </c>
      <c r="J34" s="62">
        <f t="shared" si="7"/>
        <v>0.69145825049001697</v>
      </c>
      <c r="K34" s="62">
        <f t="shared" si="7"/>
        <v>0.75753393602128272</v>
      </c>
    </row>
    <row r="35" spans="2:12" ht="16.05" customHeight="1" thickTop="1" x14ac:dyDescent="0.35">
      <c r="C35" s="61"/>
      <c r="D35" s="60"/>
      <c r="E35" s="60"/>
      <c r="F35" s="60"/>
      <c r="G35" s="60"/>
      <c r="H35" s="60"/>
      <c r="I35" s="60"/>
      <c r="J35" s="60"/>
      <c r="K35" s="60"/>
    </row>
    <row r="36" spans="2:12" ht="16.05" customHeight="1" x14ac:dyDescent="0.35">
      <c r="C36" s="61"/>
      <c r="D36" s="60"/>
      <c r="E36" s="60"/>
      <c r="F36" s="60"/>
      <c r="G36" s="60"/>
      <c r="H36" s="60"/>
      <c r="I36" s="60"/>
      <c r="J36" s="60"/>
      <c r="K36" s="60"/>
    </row>
    <row r="37" spans="2:12" ht="16.05" customHeight="1" x14ac:dyDescent="0.3">
      <c r="C37" s="60"/>
    </row>
    <row r="38" spans="2:12" ht="16.05" customHeight="1" x14ac:dyDescent="0.3">
      <c r="C38" s="91"/>
    </row>
    <row r="39" spans="2:12" ht="16.05" customHeight="1" x14ac:dyDescent="0.3">
      <c r="C39" s="91"/>
    </row>
    <row r="40" spans="2:12" ht="16.05" customHeight="1" x14ac:dyDescent="0.3">
      <c r="E40" s="60"/>
      <c r="F40" s="60"/>
      <c r="G40" s="60"/>
      <c r="H40" s="60"/>
      <c r="I40" s="60"/>
      <c r="J40" s="60"/>
      <c r="K40" s="60"/>
      <c r="L40" s="91"/>
    </row>
    <row r="41" spans="2:12" ht="16.05" customHeight="1" x14ac:dyDescent="0.3">
      <c r="D41" s="90"/>
      <c r="E41" s="91"/>
      <c r="F41" s="91"/>
      <c r="G41" s="91"/>
      <c r="H41" s="91"/>
      <c r="I41" s="91"/>
      <c r="J41" s="91"/>
      <c r="K41" s="91"/>
      <c r="L41" s="91"/>
    </row>
    <row r="42" spans="2:12" ht="16.05" customHeight="1" x14ac:dyDescent="0.35">
      <c r="C42" s="61"/>
      <c r="L42" s="91"/>
    </row>
    <row r="43" spans="2:12" ht="16.05" customHeight="1" x14ac:dyDescent="0.35">
      <c r="D43" s="61"/>
      <c r="E43" s="61"/>
      <c r="F43" s="61"/>
      <c r="G43" s="61"/>
      <c r="H43" s="61"/>
      <c r="I43" s="61"/>
      <c r="J43" s="61"/>
      <c r="K43" s="61"/>
      <c r="L43" s="60"/>
    </row>
    <row r="44" spans="2:12" ht="16.05" customHeight="1" x14ac:dyDescent="0.3">
      <c r="L44" s="91"/>
    </row>
    <row r="45" spans="2:12" ht="16.05" customHeight="1" x14ac:dyDescent="0.3">
      <c r="L45" s="91"/>
    </row>
    <row r="46" spans="2:12" ht="16.05" customHeight="1" x14ac:dyDescent="0.3">
      <c r="L46" s="91"/>
    </row>
    <row r="47" spans="2:12" ht="16.05" customHeight="1" x14ac:dyDescent="0.3"/>
    <row r="48" spans="2:12" ht="16.05" customHeight="1" x14ac:dyDescent="0.3"/>
    <row r="49" ht="16.05" customHeight="1" x14ac:dyDescent="0.3"/>
    <row r="50" ht="16.05" customHeight="1" x14ac:dyDescent="0.3"/>
    <row r="51" ht="16.05" customHeight="1" x14ac:dyDescent="0.3"/>
    <row r="52" ht="16.05" customHeight="1" x14ac:dyDescent="0.3"/>
    <row r="53" ht="16.05" customHeight="1" x14ac:dyDescent="0.3"/>
    <row r="54" ht="16.05" customHeight="1" x14ac:dyDescent="0.3"/>
    <row r="55" ht="16.05" customHeight="1" x14ac:dyDescent="0.3"/>
    <row r="56" ht="16.05" customHeight="1" x14ac:dyDescent="0.3"/>
    <row r="57" ht="16.05" customHeight="1" x14ac:dyDescent="0.3"/>
    <row r="58" ht="16.05" customHeight="1" x14ac:dyDescent="0.3"/>
    <row r="59" ht="16.05" customHeight="1" x14ac:dyDescent="0.3"/>
    <row r="60" ht="16.05" customHeight="1" x14ac:dyDescent="0.3"/>
    <row r="61" ht="16.05" customHeight="1" x14ac:dyDescent="0.3"/>
    <row r="62" ht="16.05" customHeight="1" x14ac:dyDescent="0.3"/>
    <row r="63" ht="16.05" customHeight="1" x14ac:dyDescent="0.3"/>
  </sheetData>
  <mergeCells count="1">
    <mergeCell ref="B2:K2"/>
  </mergeCells>
  <phoneticPr fontId="13" type="noConversion"/>
  <pageMargins left="0.75000000000000011" right="0.75000000000000011" top="0.98" bottom="0.98" header="0.51" footer="0.51"/>
  <pageSetup paperSize="9" scale="73" orientation="landscape" horizontalDpi="4294967292" verticalDpi="4294967292"/>
  <extLst>
    <ext xmlns:mx="http://schemas.microsoft.com/office/mac/excel/2008/main" uri="{64002731-A6B0-56B0-2670-7721B7C09600}">
      <mx:PLV Mode="0" OnePage="0" WScale="10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B1:L60"/>
  <sheetViews>
    <sheetView zoomScale="70" zoomScaleNormal="70" zoomScalePageLayoutView="70" workbookViewId="0">
      <pane xSplit="3" ySplit="4" topLeftCell="D15" activePane="bottomRight" state="frozen"/>
      <selection pane="topRight" activeCell="B1" sqref="B1"/>
      <selection pane="bottomLeft" activeCell="A2" sqref="A2"/>
      <selection pane="bottomRight"/>
    </sheetView>
  </sheetViews>
  <sheetFormatPr baseColWidth="10" defaultColWidth="10.7265625" defaultRowHeight="12.6" x14ac:dyDescent="0.2"/>
  <cols>
    <col min="1" max="1" width="2.7265625" customWidth="1"/>
    <col min="2" max="2" width="5.1796875" customWidth="1"/>
    <col min="3" max="3" width="77" style="2" customWidth="1"/>
    <col min="4" max="11" width="11" customWidth="1"/>
  </cols>
  <sheetData>
    <row r="1" spans="2:12" ht="30" customHeight="1" x14ac:dyDescent="0.2"/>
    <row r="2" spans="2:12" ht="36" customHeight="1" x14ac:dyDescent="0.6">
      <c r="B2" s="724" t="s">
        <v>810</v>
      </c>
      <c r="C2" s="724"/>
      <c r="D2" s="724"/>
      <c r="E2" s="724"/>
      <c r="F2" s="724"/>
      <c r="G2" s="724"/>
      <c r="H2" s="724"/>
      <c r="I2" s="724"/>
      <c r="J2" s="724"/>
      <c r="K2" s="724"/>
    </row>
    <row r="3" spans="2:12" ht="30" customHeight="1" thickBot="1" x14ac:dyDescent="0.25">
      <c r="B3" s="106"/>
    </row>
    <row r="4" spans="2:12" ht="31.95" customHeight="1" thickTop="1" x14ac:dyDescent="0.35">
      <c r="B4" s="59"/>
      <c r="C4" s="459"/>
      <c r="D4" s="483">
        <v>2001</v>
      </c>
      <c r="E4" s="483">
        <v>2002</v>
      </c>
      <c r="F4" s="483">
        <v>2003</v>
      </c>
      <c r="G4" s="483">
        <v>2004</v>
      </c>
      <c r="H4" s="483">
        <v>2005</v>
      </c>
      <c r="I4" s="483">
        <v>2006</v>
      </c>
      <c r="J4" s="483">
        <v>2007</v>
      </c>
      <c r="K4" s="483">
        <v>2008</v>
      </c>
    </row>
    <row r="5" spans="2:12" ht="31.95" customHeight="1" x14ac:dyDescent="0.2">
      <c r="B5" s="65"/>
      <c r="C5" s="482" t="s">
        <v>679</v>
      </c>
      <c r="D5" s="461"/>
      <c r="E5" s="461"/>
      <c r="F5" s="461"/>
      <c r="G5" s="461"/>
      <c r="H5" s="461"/>
      <c r="I5" s="461"/>
      <c r="J5" s="461"/>
      <c r="K5" s="461"/>
    </row>
    <row r="6" spans="2:12" ht="31.95" customHeight="1" x14ac:dyDescent="0.2">
      <c r="B6" s="65" t="s">
        <v>85</v>
      </c>
      <c r="C6" s="462" t="s">
        <v>296</v>
      </c>
      <c r="D6" s="463">
        <v>15.28027</v>
      </c>
      <c r="E6" s="463">
        <v>14.26434179693203</v>
      </c>
      <c r="F6" s="463">
        <v>19.245976228030688</v>
      </c>
      <c r="G6" s="463">
        <v>23.5136</v>
      </c>
      <c r="H6" s="463">
        <v>30.547599999999999</v>
      </c>
      <c r="I6" s="463">
        <v>39.572000000000003</v>
      </c>
      <c r="J6" s="463">
        <v>47.084000000000003</v>
      </c>
      <c r="K6" s="463">
        <v>33.484999999999999</v>
      </c>
    </row>
    <row r="7" spans="2:12" ht="31.95" customHeight="1" x14ac:dyDescent="0.2">
      <c r="B7" s="65" t="s">
        <v>86</v>
      </c>
      <c r="C7" s="464" t="s">
        <v>187</v>
      </c>
      <c r="D7" s="465">
        <v>3.1635999999999997</v>
      </c>
      <c r="E7" s="465">
        <v>2.4426861641075095</v>
      </c>
      <c r="F7" s="465">
        <v>3.5394838864550664</v>
      </c>
      <c r="G7" s="465">
        <v>4.4333999999999998</v>
      </c>
      <c r="H7" s="465">
        <v>6.8144999999999998</v>
      </c>
      <c r="I7" s="465">
        <v>8.5495999999999999</v>
      </c>
      <c r="J7" s="465">
        <v>9.5079999999999991</v>
      </c>
      <c r="K7" s="465">
        <v>6.1289999999999996</v>
      </c>
    </row>
    <row r="8" spans="2:12" ht="31.95" customHeight="1" x14ac:dyDescent="0.2">
      <c r="B8" s="65" t="s">
        <v>87</v>
      </c>
      <c r="C8" s="462" t="s">
        <v>295</v>
      </c>
      <c r="D8" s="463">
        <v>6.4006627637108773</v>
      </c>
      <c r="E8" s="463">
        <v>7.1081638570430945</v>
      </c>
      <c r="F8" s="463">
        <v>9.5905969280000001</v>
      </c>
      <c r="G8" s="463">
        <v>11.797655774999999</v>
      </c>
      <c r="H8" s="463">
        <v>15.273093188400001</v>
      </c>
      <c r="I8" s="463">
        <v>23.156797965650004</v>
      </c>
      <c r="J8" s="463">
        <v>32.130443917143005</v>
      </c>
      <c r="K8" s="463">
        <v>40.112697437818099</v>
      </c>
    </row>
    <row r="9" spans="2:12" ht="31.95" customHeight="1" x14ac:dyDescent="0.2">
      <c r="B9" s="65" t="s">
        <v>88</v>
      </c>
      <c r="C9" s="464" t="s">
        <v>187</v>
      </c>
      <c r="D9" s="465">
        <v>3.1846285837782475</v>
      </c>
      <c r="E9" s="465">
        <v>2.9373505373725872</v>
      </c>
      <c r="F9" s="465">
        <v>4.2562589695999993</v>
      </c>
      <c r="G9" s="465">
        <v>6.3048192660000009</v>
      </c>
      <c r="H9" s="465">
        <v>8.9370269825999991</v>
      </c>
      <c r="I9" s="465">
        <v>16.000933550500001</v>
      </c>
      <c r="J9" s="465">
        <v>23.888630550905997</v>
      </c>
      <c r="K9" s="465">
        <v>32.977083729218101</v>
      </c>
    </row>
    <row r="10" spans="2:12" ht="31.95" customHeight="1" x14ac:dyDescent="0.2">
      <c r="B10" s="65" t="s">
        <v>89</v>
      </c>
      <c r="C10" s="462" t="s">
        <v>311</v>
      </c>
      <c r="D10" s="463">
        <v>21.680932763710882</v>
      </c>
      <c r="E10" s="463">
        <v>21.372505653975125</v>
      </c>
      <c r="F10" s="463">
        <v>28.836573156030688</v>
      </c>
      <c r="G10" s="463">
        <v>35.311255774999999</v>
      </c>
      <c r="H10" s="463">
        <v>45.8206931884</v>
      </c>
      <c r="I10" s="463">
        <v>62.728797965650003</v>
      </c>
      <c r="J10" s="463">
        <v>79.214443917143001</v>
      </c>
      <c r="K10" s="463">
        <v>73.597697437818098</v>
      </c>
    </row>
    <row r="11" spans="2:12" ht="31.95" customHeight="1" x14ac:dyDescent="0.2">
      <c r="B11" s="65" t="s">
        <v>90</v>
      </c>
      <c r="C11" s="464" t="s">
        <v>187</v>
      </c>
      <c r="D11" s="465">
        <v>6.3482285837782477</v>
      </c>
      <c r="E11" s="465">
        <v>5.3800367014800958</v>
      </c>
      <c r="F11" s="465">
        <v>7.7957428560550657</v>
      </c>
      <c r="G11" s="465">
        <v>10.738219266</v>
      </c>
      <c r="H11" s="465">
        <v>15.751526982599998</v>
      </c>
      <c r="I11" s="465">
        <v>24.550533550499999</v>
      </c>
      <c r="J11" s="465">
        <v>33.396630550905996</v>
      </c>
      <c r="K11" s="465">
        <v>39.106083729218099</v>
      </c>
      <c r="L11" s="1"/>
    </row>
    <row r="12" spans="2:12" ht="31.95" customHeight="1" x14ac:dyDescent="0.2">
      <c r="B12" s="65"/>
      <c r="C12" s="462"/>
      <c r="D12" s="466"/>
      <c r="E12" s="466"/>
      <c r="F12" s="466"/>
      <c r="G12" s="466"/>
      <c r="H12" s="466"/>
      <c r="I12" s="466"/>
      <c r="J12" s="466"/>
      <c r="K12" s="466"/>
    </row>
    <row r="13" spans="2:12" ht="31.95" customHeight="1" x14ac:dyDescent="0.2">
      <c r="B13" s="65"/>
      <c r="C13" s="482" t="s">
        <v>680</v>
      </c>
      <c r="D13" s="467"/>
      <c r="E13" s="467"/>
      <c r="F13" s="467"/>
      <c r="G13" s="467"/>
      <c r="H13" s="467"/>
      <c r="I13" s="467"/>
      <c r="J13" s="467"/>
      <c r="K13" s="467"/>
    </row>
    <row r="14" spans="2:12" ht="31.95" customHeight="1" x14ac:dyDescent="0.2">
      <c r="B14" s="65" t="s">
        <v>91</v>
      </c>
      <c r="C14" s="462" t="s">
        <v>809</v>
      </c>
      <c r="D14" s="463">
        <v>81.513000000000005</v>
      </c>
      <c r="E14" s="463">
        <v>72.831999999999994</v>
      </c>
      <c r="F14" s="463">
        <v>87.424999999999997</v>
      </c>
      <c r="G14" s="463">
        <v>127.041</v>
      </c>
      <c r="H14" s="463">
        <v>162.92699999999999</v>
      </c>
      <c r="I14" s="463">
        <v>230.86199999999999</v>
      </c>
      <c r="J14" s="463">
        <v>302.48399999999998</v>
      </c>
      <c r="K14" s="463">
        <v>283.37099999999998</v>
      </c>
    </row>
    <row r="15" spans="2:12" ht="31.95" customHeight="1" x14ac:dyDescent="0.2">
      <c r="B15" s="65" t="s">
        <v>92</v>
      </c>
      <c r="C15" s="464" t="s">
        <v>187</v>
      </c>
      <c r="D15" s="465">
        <v>45.185000000000002</v>
      </c>
      <c r="E15" s="465">
        <v>37.866999999999997</v>
      </c>
      <c r="F15" s="465">
        <v>57.595999999999997</v>
      </c>
      <c r="G15" s="465">
        <v>78.807000000000002</v>
      </c>
      <c r="H15" s="465">
        <v>94.873999999999995</v>
      </c>
      <c r="I15" s="465">
        <v>127.899</v>
      </c>
      <c r="J15" s="465">
        <v>150.06299999999999</v>
      </c>
      <c r="K15" s="465">
        <v>102.251</v>
      </c>
    </row>
    <row r="16" spans="2:12" ht="31.95" customHeight="1" x14ac:dyDescent="0.2">
      <c r="B16" s="65" t="s">
        <v>93</v>
      </c>
      <c r="C16" s="464" t="s">
        <v>310</v>
      </c>
      <c r="D16" s="465">
        <v>36.328000000000003</v>
      </c>
      <c r="E16" s="465">
        <v>34.965000000000003</v>
      </c>
      <c r="F16" s="465">
        <v>29.829000000000001</v>
      </c>
      <c r="G16" s="465">
        <v>48.234000000000002</v>
      </c>
      <c r="H16" s="465">
        <v>68.052999999999997</v>
      </c>
      <c r="I16" s="465">
        <v>102.96299999999999</v>
      </c>
      <c r="J16" s="465">
        <v>152.42099999999999</v>
      </c>
      <c r="K16" s="465">
        <v>181.12</v>
      </c>
    </row>
    <row r="17" spans="2:11" ht="31.95" customHeight="1" x14ac:dyDescent="0.2">
      <c r="B17" s="65" t="s">
        <v>94</v>
      </c>
      <c r="C17" s="462" t="s">
        <v>309</v>
      </c>
      <c r="D17" s="463">
        <v>21.007042151832621</v>
      </c>
      <c r="E17" s="463">
        <v>20.272494621893927</v>
      </c>
      <c r="F17" s="463">
        <v>22.564797622616485</v>
      </c>
      <c r="G17" s="463">
        <v>31.498542368611641</v>
      </c>
      <c r="H17" s="463">
        <v>29.253338575192334</v>
      </c>
      <c r="I17" s="463">
        <v>27.993612986021454</v>
      </c>
      <c r="J17" s="463">
        <v>39.985875449541233</v>
      </c>
      <c r="K17" s="463">
        <v>45.3646157736109</v>
      </c>
    </row>
    <row r="18" spans="2:11" s="2" customFormat="1" ht="31.95" customHeight="1" x14ac:dyDescent="0.2">
      <c r="B18" s="72" t="s">
        <v>95</v>
      </c>
      <c r="C18" s="464" t="s">
        <v>308</v>
      </c>
      <c r="D18" s="468" t="s">
        <v>202</v>
      </c>
      <c r="E18" s="468" t="s">
        <v>202</v>
      </c>
      <c r="F18" s="469">
        <v>24.786999999999999</v>
      </c>
      <c r="G18" s="469">
        <v>41.262999999999998</v>
      </c>
      <c r="H18" s="469">
        <v>50.658999999999999</v>
      </c>
      <c r="I18" s="469">
        <v>70.313999999999993</v>
      </c>
      <c r="J18" s="469">
        <v>80.593000000000004</v>
      </c>
      <c r="K18" s="469">
        <v>118.69199999999999</v>
      </c>
    </row>
    <row r="19" spans="2:11" ht="31.95" customHeight="1" x14ac:dyDescent="0.2">
      <c r="B19" s="65" t="s">
        <v>96</v>
      </c>
      <c r="C19" s="462" t="s">
        <v>307</v>
      </c>
      <c r="D19" s="463">
        <f t="shared" ref="D19:K19" si="0">D17+D16</f>
        <v>57.335042151832624</v>
      </c>
      <c r="E19" s="463">
        <f t="shared" si="0"/>
        <v>55.23749462189393</v>
      </c>
      <c r="F19" s="463">
        <f t="shared" si="0"/>
        <v>52.393797622616489</v>
      </c>
      <c r="G19" s="463">
        <f t="shared" si="0"/>
        <v>79.732542368611647</v>
      </c>
      <c r="H19" s="463">
        <f t="shared" si="0"/>
        <v>97.306338575192328</v>
      </c>
      <c r="I19" s="463">
        <f t="shared" si="0"/>
        <v>130.95661298602144</v>
      </c>
      <c r="J19" s="463">
        <f t="shared" si="0"/>
        <v>192.40687544954122</v>
      </c>
      <c r="K19" s="463">
        <f t="shared" si="0"/>
        <v>226.4846157736109</v>
      </c>
    </row>
    <row r="20" spans="2:11" ht="31.95" customHeight="1" x14ac:dyDescent="0.2">
      <c r="B20" s="67" t="s">
        <v>97</v>
      </c>
      <c r="C20" s="460" t="s">
        <v>306</v>
      </c>
      <c r="D20" s="470">
        <f t="shared" ref="D20:K20" si="1">D19+D15</f>
        <v>102.52004215183263</v>
      </c>
      <c r="E20" s="470">
        <f t="shared" si="1"/>
        <v>93.104494621893934</v>
      </c>
      <c r="F20" s="470">
        <f t="shared" si="1"/>
        <v>109.98979762261649</v>
      </c>
      <c r="G20" s="470">
        <f t="shared" si="1"/>
        <v>158.53954236861165</v>
      </c>
      <c r="H20" s="470">
        <f t="shared" si="1"/>
        <v>192.18033857519231</v>
      </c>
      <c r="I20" s="470">
        <f t="shared" si="1"/>
        <v>258.85561298602147</v>
      </c>
      <c r="J20" s="470">
        <f t="shared" si="1"/>
        <v>342.46987544954118</v>
      </c>
      <c r="K20" s="470">
        <f t="shared" si="1"/>
        <v>328.7356157736109</v>
      </c>
    </row>
    <row r="21" spans="2:11" ht="31.95" customHeight="1" x14ac:dyDescent="0.2">
      <c r="B21" s="67" t="s">
        <v>104</v>
      </c>
      <c r="C21" s="460" t="s">
        <v>305</v>
      </c>
      <c r="D21" s="471">
        <v>0.7</v>
      </c>
      <c r="E21" s="471">
        <f t="shared" ref="E21:K21" si="2">D21-0.02</f>
        <v>0.67999999999999994</v>
      </c>
      <c r="F21" s="471">
        <f t="shared" si="2"/>
        <v>0.65999999999999992</v>
      </c>
      <c r="G21" s="471">
        <f t="shared" si="2"/>
        <v>0.6399999999999999</v>
      </c>
      <c r="H21" s="471">
        <f t="shared" si="2"/>
        <v>0.61999999999999988</v>
      </c>
      <c r="I21" s="471">
        <f t="shared" si="2"/>
        <v>0.59999999999999987</v>
      </c>
      <c r="J21" s="471">
        <f t="shared" si="2"/>
        <v>0.57999999999999985</v>
      </c>
      <c r="K21" s="471">
        <f t="shared" si="2"/>
        <v>0.55999999999999983</v>
      </c>
    </row>
    <row r="22" spans="2:11" s="2" customFormat="1" ht="31.95" customHeight="1" x14ac:dyDescent="0.2">
      <c r="B22" s="67" t="s">
        <v>134</v>
      </c>
      <c r="C22" s="460" t="s">
        <v>304</v>
      </c>
      <c r="D22" s="472">
        <f t="shared" ref="D22:K22" si="3">D20/D21</f>
        <v>146.45720307404662</v>
      </c>
      <c r="E22" s="472">
        <f t="shared" si="3"/>
        <v>136.91837444396168</v>
      </c>
      <c r="F22" s="472">
        <f t="shared" si="3"/>
        <v>166.65120851911593</v>
      </c>
      <c r="G22" s="472">
        <f t="shared" si="3"/>
        <v>247.71803495095574</v>
      </c>
      <c r="H22" s="472">
        <f t="shared" si="3"/>
        <v>309.96828802450381</v>
      </c>
      <c r="I22" s="472">
        <f t="shared" si="3"/>
        <v>431.42602164336921</v>
      </c>
      <c r="J22" s="472">
        <f t="shared" si="3"/>
        <v>590.46530249920909</v>
      </c>
      <c r="K22" s="472">
        <f t="shared" si="3"/>
        <v>587.02788531001966</v>
      </c>
    </row>
    <row r="23" spans="2:11" ht="31.95" customHeight="1" x14ac:dyDescent="0.2">
      <c r="B23" s="65" t="s">
        <v>196</v>
      </c>
      <c r="C23" s="464" t="s">
        <v>187</v>
      </c>
      <c r="D23" s="465">
        <f t="shared" ref="D23:K23" si="4">D15/D21</f>
        <v>64.550000000000011</v>
      </c>
      <c r="E23" s="465">
        <f t="shared" si="4"/>
        <v>55.686764705882354</v>
      </c>
      <c r="F23" s="465">
        <f t="shared" si="4"/>
        <v>87.266666666666666</v>
      </c>
      <c r="G23" s="465">
        <f t="shared" si="4"/>
        <v>123.13593750000003</v>
      </c>
      <c r="H23" s="465">
        <f t="shared" si="4"/>
        <v>153.0225806451613</v>
      </c>
      <c r="I23" s="465">
        <f t="shared" si="4"/>
        <v>213.16500000000005</v>
      </c>
      <c r="J23" s="465">
        <f t="shared" si="4"/>
        <v>258.72931034482764</v>
      </c>
      <c r="K23" s="465">
        <f t="shared" si="4"/>
        <v>182.5910714285715</v>
      </c>
    </row>
    <row r="24" spans="2:11" ht="31.95" customHeight="1" x14ac:dyDescent="0.2">
      <c r="B24" s="65" t="s">
        <v>195</v>
      </c>
      <c r="C24" s="464" t="s">
        <v>682</v>
      </c>
      <c r="D24" s="465">
        <v>65.597003419999993</v>
      </c>
      <c r="E24" s="465">
        <v>73.526259159999995</v>
      </c>
      <c r="F24" s="465">
        <v>77.677754640000003</v>
      </c>
      <c r="G24" s="465">
        <v>103.76098690000001</v>
      </c>
      <c r="H24" s="465">
        <v>128.64650220000001</v>
      </c>
      <c r="I24" s="465">
        <v>164.72434909999998</v>
      </c>
      <c r="J24" s="465">
        <v>268.60831739999998</v>
      </c>
      <c r="K24" s="465">
        <v>240.25569920000001</v>
      </c>
    </row>
    <row r="25" spans="2:11" ht="31.95" customHeight="1" x14ac:dyDescent="0.2">
      <c r="B25" s="65" t="s">
        <v>193</v>
      </c>
      <c r="C25" s="464" t="s">
        <v>314</v>
      </c>
      <c r="D25" s="465">
        <v>11.693001115794733</v>
      </c>
      <c r="E25" s="465">
        <v>11.054638850251681</v>
      </c>
      <c r="F25" s="465">
        <v>9.4874529616110994</v>
      </c>
      <c r="G25" s="465">
        <v>10.3204168540806</v>
      </c>
      <c r="H25" s="465">
        <v>11.790497379684931</v>
      </c>
      <c r="I25" s="465">
        <v>15.629425960204721</v>
      </c>
      <c r="J25" s="465">
        <v>20.8946632156525</v>
      </c>
      <c r="K25" s="465">
        <f>J25</f>
        <v>20.8946632156525</v>
      </c>
    </row>
    <row r="26" spans="2:11" ht="31.95" customHeight="1" x14ac:dyDescent="0.2">
      <c r="B26" s="65" t="s">
        <v>190</v>
      </c>
      <c r="C26" s="462" t="s">
        <v>303</v>
      </c>
      <c r="D26" s="463">
        <f t="shared" ref="D26:K26" si="5">0.75*D24</f>
        <v>49.197752564999995</v>
      </c>
      <c r="E26" s="463">
        <f t="shared" si="5"/>
        <v>55.144694369999996</v>
      </c>
      <c r="F26" s="463">
        <f t="shared" si="5"/>
        <v>58.258315980000006</v>
      </c>
      <c r="G26" s="463">
        <f t="shared" si="5"/>
        <v>77.820740174999997</v>
      </c>
      <c r="H26" s="463">
        <f t="shared" si="5"/>
        <v>96.484876650000018</v>
      </c>
      <c r="I26" s="463">
        <f t="shared" si="5"/>
        <v>123.54326182499999</v>
      </c>
      <c r="J26" s="463">
        <f t="shared" si="5"/>
        <v>201.45623804999997</v>
      </c>
      <c r="K26" s="463">
        <f t="shared" si="5"/>
        <v>180.19177440000001</v>
      </c>
    </row>
    <row r="27" spans="2:11" ht="31.95" customHeight="1" x14ac:dyDescent="0.2">
      <c r="B27" s="65" t="s">
        <v>188</v>
      </c>
      <c r="C27" s="462" t="s">
        <v>683</v>
      </c>
      <c r="D27" s="463">
        <f t="shared" ref="D27:K27" si="6">D22-D26</f>
        <v>97.259450509046616</v>
      </c>
      <c r="E27" s="463">
        <f t="shared" si="6"/>
        <v>81.773680073961685</v>
      </c>
      <c r="F27" s="463">
        <f t="shared" si="6"/>
        <v>108.39289253911592</v>
      </c>
      <c r="G27" s="463">
        <f t="shared" si="6"/>
        <v>169.89729477595574</v>
      </c>
      <c r="H27" s="463">
        <f t="shared" si="6"/>
        <v>213.48341137450379</v>
      </c>
      <c r="I27" s="463">
        <f t="shared" si="6"/>
        <v>307.88275981836921</v>
      </c>
      <c r="J27" s="463">
        <f t="shared" si="6"/>
        <v>389.00906444920912</v>
      </c>
      <c r="K27" s="463">
        <f t="shared" si="6"/>
        <v>406.83611091001967</v>
      </c>
    </row>
    <row r="28" spans="2:11" ht="31.95" customHeight="1" x14ac:dyDescent="0.2">
      <c r="B28" s="65" t="s">
        <v>186</v>
      </c>
      <c r="C28" s="462" t="s">
        <v>684</v>
      </c>
      <c r="D28" s="463">
        <f t="shared" ref="D28:K29" si="7">D22-D10</f>
        <v>124.77627031033573</v>
      </c>
      <c r="E28" s="463">
        <f t="shared" si="7"/>
        <v>115.54586878998656</v>
      </c>
      <c r="F28" s="463">
        <f t="shared" si="7"/>
        <v>137.81463536308524</v>
      </c>
      <c r="G28" s="463">
        <f t="shared" si="7"/>
        <v>212.40677917595573</v>
      </c>
      <c r="H28" s="463">
        <f t="shared" si="7"/>
        <v>264.14759483610379</v>
      </c>
      <c r="I28" s="463">
        <f t="shared" si="7"/>
        <v>368.69722367771919</v>
      </c>
      <c r="J28" s="463">
        <f t="shared" si="7"/>
        <v>511.25085858206609</v>
      </c>
      <c r="K28" s="463">
        <f t="shared" si="7"/>
        <v>513.4301878722016</v>
      </c>
    </row>
    <row r="29" spans="2:11" ht="31.95" customHeight="1" x14ac:dyDescent="0.2">
      <c r="B29" s="65" t="s">
        <v>184</v>
      </c>
      <c r="C29" s="464" t="s">
        <v>187</v>
      </c>
      <c r="D29" s="463">
        <f t="shared" si="7"/>
        <v>58.20177141622176</v>
      </c>
      <c r="E29" s="463">
        <f t="shared" si="7"/>
        <v>50.30672800440226</v>
      </c>
      <c r="F29" s="463">
        <f t="shared" si="7"/>
        <v>79.470923810611595</v>
      </c>
      <c r="G29" s="463">
        <f t="shared" si="7"/>
        <v>112.39771823400002</v>
      </c>
      <c r="H29" s="463">
        <f t="shared" si="7"/>
        <v>137.27105366256131</v>
      </c>
      <c r="I29" s="463">
        <f t="shared" si="7"/>
        <v>188.61446644950004</v>
      </c>
      <c r="J29" s="463">
        <f t="shared" si="7"/>
        <v>225.33267979392164</v>
      </c>
      <c r="K29" s="463">
        <f t="shared" si="7"/>
        <v>143.48498769935338</v>
      </c>
    </row>
    <row r="30" spans="2:11" ht="31.95" customHeight="1" x14ac:dyDescent="0.2">
      <c r="B30" s="65" t="s">
        <v>182</v>
      </c>
      <c r="C30" s="464" t="s">
        <v>194</v>
      </c>
      <c r="D30" s="463">
        <f t="shared" ref="D30:K30" si="8">D22-D23-(D10-D11)</f>
        <v>66.574498894113972</v>
      </c>
      <c r="E30" s="463">
        <f t="shared" si="8"/>
        <v>65.239140785584297</v>
      </c>
      <c r="F30" s="463">
        <f t="shared" si="8"/>
        <v>58.343711552473636</v>
      </c>
      <c r="G30" s="463">
        <f t="shared" si="8"/>
        <v>100.00906094195571</v>
      </c>
      <c r="H30" s="463">
        <f t="shared" si="8"/>
        <v>126.87654117354251</v>
      </c>
      <c r="I30" s="463">
        <f t="shared" si="8"/>
        <v>180.08275722821915</v>
      </c>
      <c r="J30" s="463">
        <f t="shared" si="8"/>
        <v>285.91817878814447</v>
      </c>
      <c r="K30" s="463">
        <f t="shared" si="8"/>
        <v>369.94520017284822</v>
      </c>
    </row>
    <row r="31" spans="2:11" ht="31.95" customHeight="1" x14ac:dyDescent="0.2">
      <c r="B31" s="65"/>
      <c r="C31" s="462"/>
      <c r="D31" s="473"/>
      <c r="E31" s="473"/>
      <c r="F31" s="473"/>
      <c r="G31" s="473"/>
      <c r="H31" s="473"/>
      <c r="I31" s="473"/>
      <c r="J31" s="473"/>
      <c r="K31" s="473"/>
    </row>
    <row r="32" spans="2:11" ht="31.95" customHeight="1" x14ac:dyDescent="0.2">
      <c r="B32" s="65"/>
      <c r="C32" s="482" t="s">
        <v>227</v>
      </c>
      <c r="D32" s="474"/>
      <c r="E32" s="474"/>
      <c r="F32" s="474"/>
      <c r="G32" s="474"/>
      <c r="H32" s="474"/>
      <c r="I32" s="474"/>
      <c r="J32" s="474"/>
      <c r="K32" s="474"/>
    </row>
    <row r="33" spans="2:11" s="2" customFormat="1" ht="31.95" customHeight="1" x14ac:dyDescent="0.2">
      <c r="B33" s="72" t="s">
        <v>215</v>
      </c>
      <c r="C33" s="475" t="s">
        <v>299</v>
      </c>
      <c r="D33" s="468">
        <v>280</v>
      </c>
      <c r="E33" s="468">
        <v>270</v>
      </c>
      <c r="F33" s="468">
        <v>380</v>
      </c>
      <c r="G33" s="468">
        <v>500</v>
      </c>
      <c r="H33" s="468">
        <v>690</v>
      </c>
      <c r="I33" s="468">
        <v>900</v>
      </c>
      <c r="J33" s="468">
        <v>1280</v>
      </c>
      <c r="K33" s="468">
        <v>1200</v>
      </c>
    </row>
    <row r="34" spans="2:11" s="2" customFormat="1" ht="31.95" customHeight="1" x14ac:dyDescent="0.2">
      <c r="B34" s="72" t="s">
        <v>217</v>
      </c>
      <c r="C34" s="464" t="s">
        <v>804</v>
      </c>
      <c r="D34" s="468">
        <f>0.85*D33</f>
        <v>238</v>
      </c>
      <c r="E34" s="468">
        <f t="shared" ref="E34:K34" si="9">0.85*E33</f>
        <v>229.5</v>
      </c>
      <c r="F34" s="468">
        <f t="shared" si="9"/>
        <v>323</v>
      </c>
      <c r="G34" s="468">
        <f t="shared" si="9"/>
        <v>425</v>
      </c>
      <c r="H34" s="468">
        <f t="shared" si="9"/>
        <v>586.5</v>
      </c>
      <c r="I34" s="468">
        <f t="shared" si="9"/>
        <v>765</v>
      </c>
      <c r="J34" s="468">
        <f t="shared" si="9"/>
        <v>1088</v>
      </c>
      <c r="K34" s="468">
        <f t="shared" si="9"/>
        <v>1020</v>
      </c>
    </row>
    <row r="35" spans="2:11" ht="31.95" customHeight="1" x14ac:dyDescent="0.2">
      <c r="B35" s="65" t="s">
        <v>214</v>
      </c>
      <c r="C35" s="464" t="s">
        <v>805</v>
      </c>
      <c r="D35" s="463">
        <f t="shared" ref="D35:K35" si="10">D34-D22</f>
        <v>91.542796925953382</v>
      </c>
      <c r="E35" s="463">
        <f t="shared" si="10"/>
        <v>92.581625556038318</v>
      </c>
      <c r="F35" s="463">
        <f t="shared" si="10"/>
        <v>156.34879148088407</v>
      </c>
      <c r="G35" s="463">
        <f t="shared" si="10"/>
        <v>177.28196504904426</v>
      </c>
      <c r="H35" s="463">
        <f t="shared" si="10"/>
        <v>276.53171197549619</v>
      </c>
      <c r="I35" s="463">
        <f t="shared" si="10"/>
        <v>333.57397835663079</v>
      </c>
      <c r="J35" s="463">
        <f t="shared" si="10"/>
        <v>497.53469750079091</v>
      </c>
      <c r="K35" s="463">
        <f t="shared" si="10"/>
        <v>432.97211468998034</v>
      </c>
    </row>
    <row r="36" spans="2:11" ht="31.95" customHeight="1" x14ac:dyDescent="0.2">
      <c r="B36" s="65" t="s">
        <v>212</v>
      </c>
      <c r="C36" s="464" t="s">
        <v>808</v>
      </c>
      <c r="D36" s="474">
        <f t="shared" ref="D36:K36" si="11">D35/D34</f>
        <v>0.38463360052921591</v>
      </c>
      <c r="E36" s="474">
        <f t="shared" si="11"/>
        <v>0.40340577584330423</v>
      </c>
      <c r="F36" s="474">
        <f t="shared" si="11"/>
        <v>0.48405198600892901</v>
      </c>
      <c r="G36" s="474">
        <f t="shared" si="11"/>
        <v>0.41713403540951588</v>
      </c>
      <c r="H36" s="474">
        <f t="shared" si="11"/>
        <v>0.47149482007757237</v>
      </c>
      <c r="I36" s="474">
        <f t="shared" si="11"/>
        <v>0.43604441615245854</v>
      </c>
      <c r="J36" s="474">
        <f t="shared" si="11"/>
        <v>0.45729292049705045</v>
      </c>
      <c r="K36" s="474">
        <f t="shared" si="11"/>
        <v>0.4244824653823337</v>
      </c>
    </row>
    <row r="37" spans="2:11" ht="31.95" customHeight="1" x14ac:dyDescent="0.2">
      <c r="B37" s="65" t="s">
        <v>211</v>
      </c>
      <c r="C37" s="464" t="s">
        <v>796</v>
      </c>
      <c r="D37" s="474">
        <f t="array" ref="D37:K37">D35:K35/TRANSPOSE('Table A3'!E10:E17)</f>
        <v>3.6154759260970573E-2</v>
      </c>
      <c r="E37" s="474">
        <v>3.8704467149802295E-2</v>
      </c>
      <c r="F37" s="474">
        <v>5.4711761703660947E-2</v>
      </c>
      <c r="G37" s="474">
        <v>5.3462183225877258E-2</v>
      </c>
      <c r="H37" s="474">
        <v>7.5233673427457418E-2</v>
      </c>
      <c r="I37" s="474">
        <v>8.8716409275528582E-2</v>
      </c>
      <c r="J37" s="474">
        <v>9.6960270965972192E-2</v>
      </c>
      <c r="K37" s="474">
        <v>9.6430796959793355E-2</v>
      </c>
    </row>
    <row r="38" spans="2:11" ht="31.95" customHeight="1" x14ac:dyDescent="0.2">
      <c r="B38" s="65" t="s">
        <v>270</v>
      </c>
      <c r="C38" s="475" t="s">
        <v>806</v>
      </c>
      <c r="D38" s="463">
        <f>D39+D40</f>
        <v>334.17273600000004</v>
      </c>
      <c r="E38" s="463">
        <f t="shared" ref="E38:J38" si="12">E39+E40</f>
        <v>346.21675400000004</v>
      </c>
      <c r="F38" s="463">
        <f t="shared" si="12"/>
        <v>430.09203200000002</v>
      </c>
      <c r="G38" s="463">
        <f t="shared" si="12"/>
        <v>535.15316000000007</v>
      </c>
      <c r="H38" s="463">
        <f t="shared" si="12"/>
        <v>678.84464000000003</v>
      </c>
      <c r="I38" s="463">
        <f t="shared" si="12"/>
        <v>883.72846000000004</v>
      </c>
      <c r="J38" s="463">
        <f t="shared" si="12"/>
        <v>1160.4326000000001</v>
      </c>
      <c r="K38" s="463" t="s">
        <v>202</v>
      </c>
    </row>
    <row r="39" spans="2:11" ht="31.95" customHeight="1" x14ac:dyDescent="0.2">
      <c r="B39" s="65" t="s">
        <v>268</v>
      </c>
      <c r="C39" s="464" t="s">
        <v>795</v>
      </c>
      <c r="D39" s="463">
        <v>100.2466</v>
      </c>
      <c r="E39" s="463">
        <v>85.045469999999995</v>
      </c>
      <c r="F39" s="463">
        <v>117.28280000000001</v>
      </c>
      <c r="G39" s="463">
        <v>144.89060000000001</v>
      </c>
      <c r="H39" s="463">
        <v>175.97800000000001</v>
      </c>
      <c r="I39" s="463">
        <v>238.6816</v>
      </c>
      <c r="J39" s="463">
        <v>311.85550000000001</v>
      </c>
      <c r="K39" s="463" t="s">
        <v>202</v>
      </c>
    </row>
    <row r="40" spans="2:11" ht="31.95" customHeight="1" x14ac:dyDescent="0.2">
      <c r="B40" s="65" t="s">
        <v>266</v>
      </c>
      <c r="C40" s="464" t="s">
        <v>791</v>
      </c>
      <c r="D40" s="463">
        <f>0.8*(D41+D42-D43)+D44</f>
        <v>233.92613600000004</v>
      </c>
      <c r="E40" s="463">
        <f t="shared" ref="E40:J40" si="13">0.8*(E41+E42-E43)+E44</f>
        <v>261.17128400000007</v>
      </c>
      <c r="F40" s="463">
        <f t="shared" si="13"/>
        <v>312.80923200000001</v>
      </c>
      <c r="G40" s="463">
        <f t="shared" si="13"/>
        <v>390.26256000000001</v>
      </c>
      <c r="H40" s="463">
        <f t="shared" si="13"/>
        <v>502.86664000000002</v>
      </c>
      <c r="I40" s="463">
        <f t="shared" si="13"/>
        <v>645.04686000000004</v>
      </c>
      <c r="J40" s="463">
        <f t="shared" si="13"/>
        <v>848.57709999999997</v>
      </c>
      <c r="K40" s="463" t="s">
        <v>202</v>
      </c>
    </row>
    <row r="41" spans="2:11" ht="31.95" customHeight="1" x14ac:dyDescent="0.2">
      <c r="B41" s="65" t="s">
        <v>265</v>
      </c>
      <c r="C41" s="464" t="s">
        <v>807</v>
      </c>
      <c r="D41" s="463">
        <v>360.71300000000002</v>
      </c>
      <c r="E41" s="463">
        <v>378.57140000000004</v>
      </c>
      <c r="F41" s="463">
        <v>431.41230000000002</v>
      </c>
      <c r="G41" s="463">
        <v>530.42009999999993</v>
      </c>
      <c r="H41" s="463">
        <v>695.30060000000003</v>
      </c>
      <c r="I41" s="463">
        <v>905.02359999999999</v>
      </c>
      <c r="J41" s="463">
        <v>1164.107</v>
      </c>
      <c r="K41" s="476" t="s">
        <v>202</v>
      </c>
    </row>
    <row r="42" spans="2:11" ht="31.95" customHeight="1" x14ac:dyDescent="0.2">
      <c r="B42" s="65" t="s">
        <v>263</v>
      </c>
      <c r="C42" s="477" t="s">
        <v>793</v>
      </c>
      <c r="D42" s="478">
        <v>68.054169999999999</v>
      </c>
      <c r="E42" s="478">
        <v>77.355580000000003</v>
      </c>
      <c r="F42" s="478">
        <v>82.699740000000006</v>
      </c>
      <c r="G42" s="478">
        <v>100.4876</v>
      </c>
      <c r="H42" s="478">
        <v>119.1087</v>
      </c>
      <c r="I42" s="478">
        <v>144.59059999999999</v>
      </c>
      <c r="J42" s="478">
        <v>235.49950000000001</v>
      </c>
      <c r="K42" s="478" t="s">
        <v>202</v>
      </c>
    </row>
    <row r="43" spans="2:11" ht="31.95" customHeight="1" x14ac:dyDescent="0.2">
      <c r="B43" s="65" t="s">
        <v>261</v>
      </c>
      <c r="C43" s="464" t="s">
        <v>792</v>
      </c>
      <c r="D43" s="468">
        <v>151.28200000000001</v>
      </c>
      <c r="E43" s="468">
        <v>149.381</v>
      </c>
      <c r="F43" s="468">
        <v>146.27699999999999</v>
      </c>
      <c r="G43" s="468">
        <v>168.62299999999999</v>
      </c>
      <c r="H43" s="468">
        <v>217.39</v>
      </c>
      <c r="I43" s="468">
        <v>285.27800000000002</v>
      </c>
      <c r="J43" s="468">
        <v>389.01</v>
      </c>
      <c r="K43" s="468">
        <v>377.601</v>
      </c>
    </row>
    <row r="44" spans="2:11" ht="31.95" customHeight="1" x14ac:dyDescent="0.2">
      <c r="B44" s="65" t="s">
        <v>259</v>
      </c>
      <c r="C44" s="464" t="s">
        <v>794</v>
      </c>
      <c r="D44" s="478">
        <v>11.938000000000001</v>
      </c>
      <c r="E44" s="478">
        <v>15.9345</v>
      </c>
      <c r="F44" s="478">
        <v>18.5412</v>
      </c>
      <c r="G44" s="478">
        <v>20.434799999999999</v>
      </c>
      <c r="H44" s="478">
        <v>25.251200000000001</v>
      </c>
      <c r="I44" s="478">
        <v>33.5779</v>
      </c>
      <c r="J44" s="478">
        <v>40.099899999999998</v>
      </c>
      <c r="K44" s="478" t="s">
        <v>202</v>
      </c>
    </row>
    <row r="45" spans="2:11" ht="31.95" customHeight="1" x14ac:dyDescent="0.2">
      <c r="B45" s="65" t="s">
        <v>257</v>
      </c>
      <c r="C45" s="464" t="s">
        <v>805</v>
      </c>
      <c r="D45" s="478">
        <f t="shared" ref="D45:J45" si="14">D38-D22</f>
        <v>187.71553292595343</v>
      </c>
      <c r="E45" s="478">
        <f t="shared" si="14"/>
        <v>209.29837955603836</v>
      </c>
      <c r="F45" s="478">
        <f t="shared" si="14"/>
        <v>263.44082348088409</v>
      </c>
      <c r="G45" s="478">
        <f t="shared" si="14"/>
        <v>287.43512504904436</v>
      </c>
      <c r="H45" s="478">
        <f t="shared" si="14"/>
        <v>368.87635197549622</v>
      </c>
      <c r="I45" s="478">
        <f t="shared" si="14"/>
        <v>452.30243835663083</v>
      </c>
      <c r="J45" s="478">
        <f t="shared" si="14"/>
        <v>569.96729750079101</v>
      </c>
      <c r="K45" s="478" t="s">
        <v>202</v>
      </c>
    </row>
    <row r="46" spans="2:11" ht="31.95" customHeight="1" x14ac:dyDescent="0.2">
      <c r="B46" s="65" t="s">
        <v>255</v>
      </c>
      <c r="C46" s="464" t="s">
        <v>808</v>
      </c>
      <c r="D46" s="479">
        <f t="shared" ref="D46:J46" si="15">D45/(D45+D22)</f>
        <v>0.56173204065921589</v>
      </c>
      <c r="E46" s="479">
        <f t="shared" si="15"/>
        <v>0.60452989965944381</v>
      </c>
      <c r="F46" s="479">
        <f t="shared" si="15"/>
        <v>0.61252198106493649</v>
      </c>
      <c r="G46" s="479">
        <f t="shared" si="15"/>
        <v>0.53710815245684862</v>
      </c>
      <c r="H46" s="479">
        <f t="shared" si="15"/>
        <v>0.54338847247213473</v>
      </c>
      <c r="I46" s="479">
        <f t="shared" si="15"/>
        <v>0.51181155618393326</v>
      </c>
      <c r="J46" s="479">
        <f t="shared" si="15"/>
        <v>0.4911679467646729</v>
      </c>
      <c r="K46" s="478" t="s">
        <v>202</v>
      </c>
    </row>
    <row r="47" spans="2:11" ht="31.95" customHeight="1" x14ac:dyDescent="0.2">
      <c r="B47" s="65" t="s">
        <v>315</v>
      </c>
      <c r="C47" s="464" t="s">
        <v>797</v>
      </c>
      <c r="D47" s="479">
        <f t="array" ref="D47:J47">D45:J45/TRANSPOSE('Table A3'!E10:E16)</f>
        <v>7.4138109500546695E-2</v>
      </c>
      <c r="E47" s="479">
        <v>8.7498812074003313E-2</v>
      </c>
      <c r="F47" s="479">
        <v>9.2186907367714288E-2</v>
      </c>
      <c r="G47" s="479">
        <v>8.6680612529727807E-2</v>
      </c>
      <c r="H47" s="479">
        <v>0.100357108417625</v>
      </c>
      <c r="I47" s="479">
        <v>0.12029310090449014</v>
      </c>
      <c r="J47" s="479">
        <v>0.1110760392893638</v>
      </c>
      <c r="K47" s="478" t="s">
        <v>202</v>
      </c>
    </row>
    <row r="48" spans="2:11" ht="31.95" customHeight="1" x14ac:dyDescent="0.2">
      <c r="B48" s="65" t="s">
        <v>798</v>
      </c>
      <c r="C48" s="475" t="s">
        <v>302</v>
      </c>
      <c r="D48" s="463">
        <v>11.203338391502276</v>
      </c>
      <c r="E48" s="463">
        <v>13.604670558798999</v>
      </c>
      <c r="F48" s="463">
        <v>20.162464985994401</v>
      </c>
      <c r="G48" s="463">
        <v>30.220413369189394</v>
      </c>
      <c r="H48" s="463">
        <v>48.202932949054848</v>
      </c>
      <c r="I48" s="463">
        <v>58.465741908364862</v>
      </c>
      <c r="J48" s="463">
        <v>81.169298245614044</v>
      </c>
      <c r="K48" s="463">
        <v>100.19834710743801</v>
      </c>
    </row>
    <row r="49" spans="2:11" ht="31.95" customHeight="1" x14ac:dyDescent="0.2">
      <c r="B49" s="65" t="s">
        <v>799</v>
      </c>
      <c r="C49" s="464" t="s">
        <v>301</v>
      </c>
      <c r="D49" s="463">
        <v>8.9210925644916532</v>
      </c>
      <c r="E49" s="463">
        <v>10.880733944954128</v>
      </c>
      <c r="F49" s="463">
        <v>16.968253968253968</v>
      </c>
      <c r="G49" s="463">
        <v>21.968882059162503</v>
      </c>
      <c r="H49" s="463">
        <v>34.053572942273462</v>
      </c>
      <c r="I49" s="463">
        <v>40.480033627574606</v>
      </c>
      <c r="J49" s="463">
        <v>43.116666666666674</v>
      </c>
      <c r="K49" s="463">
        <v>34.027548209366401</v>
      </c>
    </row>
    <row r="50" spans="2:11" ht="31.95" customHeight="1" x14ac:dyDescent="0.2">
      <c r="B50" s="65" t="s">
        <v>800</v>
      </c>
      <c r="C50" s="462" t="s">
        <v>300</v>
      </c>
      <c r="D50" s="474">
        <f t="shared" ref="D50:K50" si="16">D48/D20</f>
        <v>0.10927949458809316</v>
      </c>
      <c r="E50" s="474">
        <f t="shared" si="16"/>
        <v>0.14612259713184458</v>
      </c>
      <c r="F50" s="474">
        <f t="shared" si="16"/>
        <v>0.18331213823279663</v>
      </c>
      <c r="G50" s="474">
        <f t="shared" si="16"/>
        <v>0.19061751357226425</v>
      </c>
      <c r="H50" s="474">
        <f t="shared" si="16"/>
        <v>0.25082135512106518</v>
      </c>
      <c r="I50" s="474">
        <f t="shared" si="16"/>
        <v>0.22586236873110449</v>
      </c>
      <c r="J50" s="474">
        <f t="shared" si="16"/>
        <v>0.23701149813269742</v>
      </c>
      <c r="K50" s="474">
        <f t="shared" si="16"/>
        <v>0.30479918298977748</v>
      </c>
    </row>
    <row r="51" spans="2:11" ht="31.95" customHeight="1" x14ac:dyDescent="0.2">
      <c r="B51" s="65" t="s">
        <v>801</v>
      </c>
      <c r="C51" s="475" t="s">
        <v>298</v>
      </c>
      <c r="D51" s="468">
        <v>75.069957904651076</v>
      </c>
      <c r="E51" s="468">
        <v>77.833314467262667</v>
      </c>
      <c r="F51" s="468">
        <v>91.300708235829759</v>
      </c>
      <c r="G51" s="468">
        <v>117.4627192263397</v>
      </c>
      <c r="H51" s="468">
        <v>159.39648798397863</v>
      </c>
      <c r="I51" s="468">
        <v>235.14180140186917</v>
      </c>
      <c r="J51" s="468">
        <v>289.98166666666668</v>
      </c>
      <c r="K51" s="468">
        <v>389.67258333333331</v>
      </c>
    </row>
    <row r="52" spans="2:11" ht="31.95" customHeight="1" x14ac:dyDescent="0.2">
      <c r="B52" s="65" t="s">
        <v>802</v>
      </c>
      <c r="C52" s="464" t="s">
        <v>681</v>
      </c>
      <c r="D52" s="476">
        <f t="shared" ref="D52:K52" si="17">D51/D22</f>
        <v>0.51257265828500631</v>
      </c>
      <c r="E52" s="476">
        <f t="shared" si="17"/>
        <v>0.5684650784334172</v>
      </c>
      <c r="F52" s="476">
        <f t="shared" si="17"/>
        <v>0.54785506236132098</v>
      </c>
      <c r="G52" s="476">
        <f t="shared" si="17"/>
        <v>0.47417911759874676</v>
      </c>
      <c r="H52" s="476">
        <f t="shared" si="17"/>
        <v>0.51423482382616481</v>
      </c>
      <c r="I52" s="476">
        <f t="shared" si="17"/>
        <v>0.54503388670478725</v>
      </c>
      <c r="J52" s="476">
        <f t="shared" si="17"/>
        <v>0.49110703954878893</v>
      </c>
      <c r="K52" s="476">
        <f t="shared" si="17"/>
        <v>0.66380591635359953</v>
      </c>
    </row>
    <row r="53" spans="2:11" ht="31.95" customHeight="1" thickBot="1" x14ac:dyDescent="0.25">
      <c r="B53" s="63" t="s">
        <v>803</v>
      </c>
      <c r="C53" s="480" t="s">
        <v>297</v>
      </c>
      <c r="D53" s="481">
        <v>0.43654284884069589</v>
      </c>
      <c r="E53" s="481">
        <v>0.44336541034611882</v>
      </c>
      <c r="F53" s="481">
        <v>0.45369013877971864</v>
      </c>
      <c r="G53" s="481">
        <v>0.46162700956885605</v>
      </c>
      <c r="H53" s="481">
        <v>0.43234568184681749</v>
      </c>
      <c r="I53" s="481">
        <v>0.41799139819837206</v>
      </c>
      <c r="J53" s="481">
        <v>0.40287541782485908</v>
      </c>
      <c r="K53" s="481">
        <v>0.40625847926531095</v>
      </c>
    </row>
    <row r="54" spans="2:11" ht="18" thickTop="1" x14ac:dyDescent="0.2">
      <c r="B54" s="65"/>
    </row>
    <row r="60" spans="2:11" x14ac:dyDescent="0.2">
      <c r="C60"/>
    </row>
  </sheetData>
  <mergeCells count="1">
    <mergeCell ref="B2:K2"/>
  </mergeCells>
  <phoneticPr fontId="13" type="noConversion"/>
  <pageMargins left="0.75000000000000011" right="0.75000000000000011" top="0.98" bottom="0.98" header="0.51" footer="0.51"/>
  <pageSetup paperSize="9" scale="41" orientation="portrait" horizontalDpi="4294967292" verticalDpi="4294967292"/>
  <extLst>
    <ext xmlns:mx="http://schemas.microsoft.com/office/mac/excel/2008/main" uri="{64002731-A6B0-56B0-2670-7721B7C09600}">
      <mx:PLV Mode="0" OnePage="0" WScale="10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B2:O54"/>
  <sheetViews>
    <sheetView zoomScale="70" zoomScaleNormal="70" zoomScalePageLayoutView="70" workbookViewId="0">
      <pane xSplit="3" ySplit="4" topLeftCell="D5" activePane="bottomRight" state="frozen"/>
      <selection pane="topRight" activeCell="B1" sqref="B1"/>
      <selection pane="bottomLeft" activeCell="A2" sqref="A2"/>
      <selection pane="bottomRight"/>
    </sheetView>
  </sheetViews>
  <sheetFormatPr baseColWidth="10" defaultColWidth="10.7265625" defaultRowHeight="17.399999999999999" x14ac:dyDescent="0.3"/>
  <cols>
    <col min="1" max="1" width="2.81640625" style="59" customWidth="1"/>
    <col min="2" max="2" width="5.1796875" style="59" customWidth="1"/>
    <col min="3" max="3" width="45" style="59" customWidth="1"/>
    <col min="4" max="11" width="11.1796875" style="59" customWidth="1"/>
    <col min="12" max="16384" width="10.7265625" style="59"/>
  </cols>
  <sheetData>
    <row r="2" spans="2:15" ht="24.6" x14ac:dyDescent="0.4">
      <c r="B2" s="723" t="s">
        <v>633</v>
      </c>
      <c r="C2" s="723"/>
      <c r="D2" s="723"/>
      <c r="E2" s="723"/>
      <c r="F2" s="723"/>
      <c r="G2" s="723"/>
      <c r="H2" s="723"/>
      <c r="I2" s="723"/>
      <c r="J2" s="723"/>
      <c r="K2" s="723"/>
    </row>
    <row r="3" spans="2:15" ht="18" thickBot="1" x14ac:dyDescent="0.35"/>
    <row r="4" spans="2:15" ht="22.05" customHeight="1" thickTop="1" x14ac:dyDescent="0.3">
      <c r="B4" s="78"/>
      <c r="C4" s="78"/>
      <c r="D4" s="77">
        <v>2001</v>
      </c>
      <c r="E4" s="77">
        <v>2002</v>
      </c>
      <c r="F4" s="77">
        <v>2003</v>
      </c>
      <c r="G4" s="77">
        <v>2004</v>
      </c>
      <c r="H4" s="77">
        <v>2005</v>
      </c>
      <c r="I4" s="77">
        <v>2006</v>
      </c>
      <c r="J4" s="77">
        <v>2007</v>
      </c>
      <c r="K4" s="77">
        <v>2008</v>
      </c>
    </row>
    <row r="5" spans="2:15" ht="22.05" customHeight="1" x14ac:dyDescent="0.3">
      <c r="B5" s="65"/>
      <c r="C5" s="109" t="s">
        <v>209</v>
      </c>
      <c r="D5" s="76"/>
      <c r="E5" s="76"/>
      <c r="F5" s="76"/>
      <c r="G5" s="76"/>
      <c r="H5" s="76"/>
      <c r="I5" s="76"/>
      <c r="J5" s="76"/>
      <c r="K5" s="76"/>
    </row>
    <row r="6" spans="2:15" ht="22.05" customHeight="1" x14ac:dyDescent="0.3">
      <c r="B6" s="65" t="s">
        <v>85</v>
      </c>
      <c r="C6" s="66" t="s">
        <v>208</v>
      </c>
      <c r="D6" s="73">
        <v>252.03836009199998</v>
      </c>
      <c r="E6" s="73">
        <v>307.20123922266669</v>
      </c>
      <c r="F6" s="73">
        <v>389.17150960800001</v>
      </c>
      <c r="G6" s="73">
        <v>473.07590622799995</v>
      </c>
      <c r="H6" s="73">
        <v>539.62880348933334</v>
      </c>
      <c r="I6" s="73">
        <v>659.55593322933328</v>
      </c>
      <c r="J6" s="73">
        <v>779.87252080666667</v>
      </c>
      <c r="K6" s="73">
        <v>862.67010494266663</v>
      </c>
    </row>
    <row r="7" spans="2:15" ht="22.05" customHeight="1" x14ac:dyDescent="0.3">
      <c r="B7" s="65" t="s">
        <v>86</v>
      </c>
      <c r="C7" s="72" t="s">
        <v>317</v>
      </c>
      <c r="D7" s="70">
        <f>D8+D9</f>
        <v>189.02877006899999</v>
      </c>
      <c r="E7" s="70">
        <f t="shared" ref="E7:K7" si="0">E8+E9</f>
        <v>230.40092941700001</v>
      </c>
      <c r="F7" s="70">
        <f t="shared" si="0"/>
        <v>291.87863220600002</v>
      </c>
      <c r="G7" s="70">
        <f t="shared" si="0"/>
        <v>354.80692967099998</v>
      </c>
      <c r="H7" s="70">
        <f t="shared" si="0"/>
        <v>404.72160261700003</v>
      </c>
      <c r="I7" s="70">
        <f t="shared" si="0"/>
        <v>494.66694992199996</v>
      </c>
      <c r="J7" s="70">
        <f t="shared" si="0"/>
        <v>584.904390605</v>
      </c>
      <c r="K7" s="70">
        <f t="shared" si="0"/>
        <v>647.002578707</v>
      </c>
    </row>
    <row r="8" spans="2:15" s="90" customFormat="1" ht="22.05" customHeight="1" x14ac:dyDescent="0.3">
      <c r="B8" s="65" t="s">
        <v>87</v>
      </c>
      <c r="C8" s="72" t="s">
        <v>318</v>
      </c>
      <c r="D8" s="73">
        <v>2.520383469</v>
      </c>
      <c r="E8" s="73">
        <v>3.0720125170000001</v>
      </c>
      <c r="F8" s="73">
        <v>3.8917147060000001</v>
      </c>
      <c r="G8" s="73">
        <v>4.7307591709999999</v>
      </c>
      <c r="H8" s="73">
        <v>5.3962885170000003</v>
      </c>
      <c r="I8" s="73">
        <v>6.5955590220000007</v>
      </c>
      <c r="J8" s="73">
        <v>7.7987255050000002</v>
      </c>
      <c r="K8" s="73">
        <v>8.626700907</v>
      </c>
      <c r="M8" s="59"/>
      <c r="N8" s="59"/>
      <c r="O8" s="59"/>
    </row>
    <row r="9" spans="2:15" s="90" customFormat="1" ht="22.05" customHeight="1" x14ac:dyDescent="0.3">
      <c r="B9" s="65" t="s">
        <v>88</v>
      </c>
      <c r="C9" s="72" t="s">
        <v>319</v>
      </c>
      <c r="D9" s="73">
        <v>186.50838659999999</v>
      </c>
      <c r="E9" s="73">
        <v>227.32891690000002</v>
      </c>
      <c r="F9" s="73">
        <v>287.9869175</v>
      </c>
      <c r="G9" s="73">
        <v>350.07617049999999</v>
      </c>
      <c r="H9" s="73">
        <v>399.32531410000001</v>
      </c>
      <c r="I9" s="73">
        <v>488.07139089999998</v>
      </c>
      <c r="J9" s="73">
        <v>577.10566510000001</v>
      </c>
      <c r="K9" s="73">
        <v>638.37587780000001</v>
      </c>
      <c r="M9" s="59"/>
      <c r="N9" s="59"/>
      <c r="O9" s="59"/>
    </row>
    <row r="10" spans="2:15" s="90" customFormat="1" ht="22.05" customHeight="1" x14ac:dyDescent="0.3">
      <c r="B10" s="65"/>
      <c r="D10" s="73"/>
      <c r="E10" s="73"/>
      <c r="F10" s="73"/>
      <c r="G10" s="73"/>
      <c r="H10" s="73"/>
      <c r="I10" s="73"/>
      <c r="J10" s="73"/>
      <c r="K10" s="73"/>
      <c r="M10" s="59"/>
      <c r="N10" s="59"/>
      <c r="O10" s="59"/>
    </row>
    <row r="11" spans="2:15" ht="22.05" customHeight="1" x14ac:dyDescent="0.3">
      <c r="C11" s="109" t="s">
        <v>205</v>
      </c>
      <c r="D11" s="108"/>
      <c r="E11" s="108"/>
      <c r="F11" s="108"/>
      <c r="G11" s="108"/>
      <c r="H11" s="108"/>
      <c r="I11" s="108"/>
      <c r="J11" s="108"/>
      <c r="K11" s="108"/>
    </row>
    <row r="12" spans="2:15" ht="22.05" customHeight="1" x14ac:dyDescent="0.3">
      <c r="B12" s="59" t="s">
        <v>89</v>
      </c>
      <c r="C12" s="72" t="s">
        <v>200</v>
      </c>
      <c r="D12" s="64">
        <f>D15+D21</f>
        <v>115.99681389</v>
      </c>
      <c r="E12" s="64">
        <f t="shared" ref="E12:K13" si="1">E15+E21</f>
        <v>114.47638687</v>
      </c>
      <c r="F12" s="64">
        <f t="shared" si="1"/>
        <v>166.28778548000003</v>
      </c>
      <c r="G12" s="64">
        <f t="shared" si="1"/>
        <v>193.52614918</v>
      </c>
      <c r="H12" s="64">
        <f t="shared" si="1"/>
        <v>252.70444899999998</v>
      </c>
      <c r="I12" s="64">
        <f t="shared" si="1"/>
        <v>420.90660220000001</v>
      </c>
      <c r="J12" s="64">
        <f t="shared" si="1"/>
        <v>509.16276070000004</v>
      </c>
      <c r="K12" s="64">
        <f t="shared" si="1"/>
        <v>283.19614490000004</v>
      </c>
    </row>
    <row r="13" spans="2:15" ht="22.05" customHeight="1" x14ac:dyDescent="0.3">
      <c r="B13" s="65" t="s">
        <v>90</v>
      </c>
      <c r="C13" s="72" t="s">
        <v>199</v>
      </c>
      <c r="D13" s="64">
        <f>D16+D22</f>
        <v>58.013933799</v>
      </c>
      <c r="E13" s="64">
        <f t="shared" si="1"/>
        <v>77.562612810000005</v>
      </c>
      <c r="F13" s="64">
        <f t="shared" si="1"/>
        <v>115.23014937000001</v>
      </c>
      <c r="G13" s="64">
        <f t="shared" si="1"/>
        <v>146.55228627999998</v>
      </c>
      <c r="H13" s="64">
        <f t="shared" si="1"/>
        <v>191.51535910000001</v>
      </c>
      <c r="I13" s="64">
        <f t="shared" si="1"/>
        <v>238.84800863999999</v>
      </c>
      <c r="J13" s="64">
        <f t="shared" si="1"/>
        <v>280.67473985000004</v>
      </c>
      <c r="K13" s="64">
        <f t="shared" si="1"/>
        <v>252.85165011000004</v>
      </c>
    </row>
    <row r="14" spans="2:15" ht="22.05" customHeight="1" x14ac:dyDescent="0.3">
      <c r="B14" s="65" t="s">
        <v>91</v>
      </c>
      <c r="C14" s="67" t="s">
        <v>320</v>
      </c>
      <c r="D14" s="70">
        <f t="shared" ref="D14:K14" si="2">D15+D16</f>
        <v>112.28903706</v>
      </c>
      <c r="E14" s="70">
        <f t="shared" si="2"/>
        <v>127.12267487000001</v>
      </c>
      <c r="F14" s="70">
        <f t="shared" si="2"/>
        <v>191.94928163</v>
      </c>
      <c r="G14" s="70">
        <f t="shared" si="2"/>
        <v>240.59226749999999</v>
      </c>
      <c r="H14" s="70">
        <f t="shared" si="2"/>
        <v>296.47605090000002</v>
      </c>
      <c r="I14" s="70">
        <f t="shared" si="2"/>
        <v>376.21220789999995</v>
      </c>
      <c r="J14" s="70">
        <f t="shared" si="2"/>
        <v>465.90062650000004</v>
      </c>
      <c r="K14" s="70">
        <f t="shared" si="2"/>
        <v>335.44096730000001</v>
      </c>
    </row>
    <row r="15" spans="2:15" ht="22.05" customHeight="1" x14ac:dyDescent="0.3">
      <c r="B15" s="65" t="s">
        <v>92</v>
      </c>
      <c r="C15" s="72" t="s">
        <v>321</v>
      </c>
      <c r="D15" s="73">
        <v>64.270600999999999</v>
      </c>
      <c r="E15" s="73">
        <v>61.038056650000001</v>
      </c>
      <c r="F15" s="73">
        <v>94.13695104</v>
      </c>
      <c r="G15" s="73">
        <v>117.008702</v>
      </c>
      <c r="H15" s="73">
        <v>145.33698709999999</v>
      </c>
      <c r="I15" s="73">
        <v>199.41455189999999</v>
      </c>
      <c r="J15" s="73">
        <v>266.05411050000004</v>
      </c>
      <c r="K15" s="73">
        <v>152.98110200000002</v>
      </c>
    </row>
    <row r="16" spans="2:15" ht="22.05" customHeight="1" x14ac:dyDescent="0.3">
      <c r="B16" s="65" t="s">
        <v>93</v>
      </c>
      <c r="C16" s="72" t="s">
        <v>322</v>
      </c>
      <c r="D16" s="73">
        <v>48.018436059999999</v>
      </c>
      <c r="E16" s="73">
        <v>66.08461822000001</v>
      </c>
      <c r="F16" s="73">
        <v>97.812330590000002</v>
      </c>
      <c r="G16" s="73">
        <v>123.58356549999999</v>
      </c>
      <c r="H16" s="73">
        <v>151.1390638</v>
      </c>
      <c r="I16" s="73">
        <v>176.79765599999999</v>
      </c>
      <c r="J16" s="73">
        <v>199.84651600000001</v>
      </c>
      <c r="K16" s="111">
        <v>182.45986530000002</v>
      </c>
    </row>
    <row r="17" spans="2:12" ht="22.05" customHeight="1" x14ac:dyDescent="0.3">
      <c r="B17" s="65" t="s">
        <v>94</v>
      </c>
      <c r="C17" s="65" t="s">
        <v>323</v>
      </c>
      <c r="D17" s="64">
        <f>D18+D19</f>
        <v>63.338085190000001</v>
      </c>
      <c r="E17" s="64">
        <f t="shared" ref="E17:K17" si="3">E18+E19</f>
        <v>77.897681500000004</v>
      </c>
      <c r="F17" s="64">
        <f t="shared" si="3"/>
        <v>130.87978889999999</v>
      </c>
      <c r="G17" s="64">
        <f t="shared" si="3"/>
        <v>167.57777191</v>
      </c>
      <c r="H17" s="64">
        <f t="shared" si="3"/>
        <v>207.5896874</v>
      </c>
      <c r="I17" s="64">
        <f t="shared" si="3"/>
        <v>255.35678050000001</v>
      </c>
      <c r="J17" s="64">
        <f t="shared" si="3"/>
        <v>307.3236086</v>
      </c>
      <c r="K17" s="64">
        <f t="shared" si="3"/>
        <v>214.00259969999999</v>
      </c>
    </row>
    <row r="18" spans="2:12" ht="22.05" customHeight="1" x14ac:dyDescent="0.3">
      <c r="B18" s="65" t="s">
        <v>95</v>
      </c>
      <c r="C18" s="72" t="s">
        <v>321</v>
      </c>
      <c r="D18" s="73">
        <v>43.253085200000001</v>
      </c>
      <c r="E18" s="73">
        <v>42.592680110000003</v>
      </c>
      <c r="F18" s="73">
        <v>67.777790859999996</v>
      </c>
      <c r="G18" s="73">
        <v>85.773774110000005</v>
      </c>
      <c r="H18" s="73">
        <v>106.703689</v>
      </c>
      <c r="I18" s="73">
        <v>146.87777679999999</v>
      </c>
      <c r="J18" s="73">
        <v>196.9936089</v>
      </c>
      <c r="K18" s="73">
        <v>113.2713146</v>
      </c>
    </row>
    <row r="19" spans="2:12" ht="22.05" customHeight="1" x14ac:dyDescent="0.3">
      <c r="B19" s="65" t="s">
        <v>96</v>
      </c>
      <c r="C19" s="72" t="s">
        <v>322</v>
      </c>
      <c r="D19" s="73">
        <v>20.08499999</v>
      </c>
      <c r="E19" s="73">
        <v>35.305001390000001</v>
      </c>
      <c r="F19" s="73">
        <v>63.101998039999998</v>
      </c>
      <c r="G19" s="73">
        <v>81.803997799999991</v>
      </c>
      <c r="H19" s="73">
        <v>100.88599839999999</v>
      </c>
      <c r="I19" s="73">
        <v>108.47900370000001</v>
      </c>
      <c r="J19" s="73">
        <v>110.3299997</v>
      </c>
      <c r="K19" s="73">
        <v>100.73128509999999</v>
      </c>
    </row>
    <row r="20" spans="2:12" ht="22.05" customHeight="1" x14ac:dyDescent="0.3">
      <c r="B20" s="65" t="s">
        <v>97</v>
      </c>
      <c r="C20" s="67" t="s">
        <v>316</v>
      </c>
      <c r="D20" s="110">
        <f>D21+D22</f>
        <v>61.721710629</v>
      </c>
      <c r="E20" s="110">
        <f t="shared" ref="E20:K20" si="4">E21+E22</f>
        <v>64.916324810000006</v>
      </c>
      <c r="F20" s="110">
        <f t="shared" si="4"/>
        <v>89.568653220000016</v>
      </c>
      <c r="G20" s="110">
        <f t="shared" si="4"/>
        <v>99.486167960000003</v>
      </c>
      <c r="H20" s="110">
        <f t="shared" si="4"/>
        <v>147.7437572</v>
      </c>
      <c r="I20" s="110">
        <f t="shared" si="4"/>
        <v>283.54240293999999</v>
      </c>
      <c r="J20" s="110">
        <f t="shared" si="4"/>
        <v>323.93687405000003</v>
      </c>
      <c r="K20" s="110">
        <f t="shared" si="4"/>
        <v>200.60682771</v>
      </c>
    </row>
    <row r="21" spans="2:12" ht="22.05" customHeight="1" x14ac:dyDescent="0.3">
      <c r="B21" s="65" t="s">
        <v>104</v>
      </c>
      <c r="C21" s="72" t="s">
        <v>321</v>
      </c>
      <c r="D21" s="73">
        <v>51.726212889999999</v>
      </c>
      <c r="E21" s="73">
        <v>53.438330220000005</v>
      </c>
      <c r="F21" s="73">
        <v>72.150834440000011</v>
      </c>
      <c r="G21" s="73">
        <v>76.517447180000005</v>
      </c>
      <c r="H21" s="73">
        <v>107.3674619</v>
      </c>
      <c r="I21" s="73">
        <v>221.49205030000002</v>
      </c>
      <c r="J21" s="73">
        <v>243.1086502</v>
      </c>
      <c r="K21" s="73">
        <v>130.21504290000001</v>
      </c>
    </row>
    <row r="22" spans="2:12" ht="22.05" customHeight="1" x14ac:dyDescent="0.3">
      <c r="B22" s="59" t="s">
        <v>134</v>
      </c>
      <c r="C22" s="72" t="s">
        <v>322</v>
      </c>
      <c r="D22" s="73">
        <v>9.995497739000001</v>
      </c>
      <c r="E22" s="73">
        <v>11.47799459</v>
      </c>
      <c r="F22" s="73">
        <v>17.417818780000001</v>
      </c>
      <c r="G22" s="73">
        <v>22.968720779999998</v>
      </c>
      <c r="H22" s="73">
        <v>40.376295299999995</v>
      </c>
      <c r="I22" s="73">
        <v>62.05035264</v>
      </c>
      <c r="J22" s="73">
        <v>80.828223850000001</v>
      </c>
      <c r="K22" s="73">
        <v>70.391784810000004</v>
      </c>
    </row>
    <row r="23" spans="2:12" ht="22.05" customHeight="1" x14ac:dyDescent="0.3">
      <c r="B23" s="65" t="s">
        <v>196</v>
      </c>
      <c r="C23" s="65" t="s">
        <v>324</v>
      </c>
      <c r="D23" s="64">
        <f>D24+D25</f>
        <v>49.510999095999999</v>
      </c>
      <c r="E23" s="64">
        <f t="shared" ref="E23:K23" si="5">E24+E25</f>
        <v>49.628044066999998</v>
      </c>
      <c r="F23" s="64">
        <f t="shared" si="5"/>
        <v>76.895713000000001</v>
      </c>
      <c r="G23" s="64">
        <f t="shared" si="5"/>
        <v>79.262970170000003</v>
      </c>
      <c r="H23" s="64">
        <f t="shared" si="5"/>
        <v>115.12246723000001</v>
      </c>
      <c r="I23" s="64">
        <f t="shared" si="5"/>
        <v>235.28121857000002</v>
      </c>
      <c r="J23" s="64">
        <f t="shared" si="5"/>
        <v>230.53998926</v>
      </c>
      <c r="K23" s="64">
        <f t="shared" si="5"/>
        <v>135.81808839000001</v>
      </c>
    </row>
    <row r="24" spans="2:12" ht="22.05" customHeight="1" x14ac:dyDescent="0.3">
      <c r="B24" s="65" t="s">
        <v>195</v>
      </c>
      <c r="C24" s="72" t="s">
        <v>321</v>
      </c>
      <c r="D24" s="73">
        <v>42.123050550000002</v>
      </c>
      <c r="E24" s="73">
        <v>41.273493299999998</v>
      </c>
      <c r="F24" s="73">
        <v>64.237625640000005</v>
      </c>
      <c r="G24" s="73">
        <v>65.209554560000001</v>
      </c>
      <c r="H24" s="73">
        <v>91.061638200000004</v>
      </c>
      <c r="I24" s="73">
        <v>196.44552770000001</v>
      </c>
      <c r="J24" s="73">
        <v>199.08872339999999</v>
      </c>
      <c r="K24" s="73">
        <v>107.3662963</v>
      </c>
    </row>
    <row r="25" spans="2:12" ht="22.05" customHeight="1" thickBot="1" x14ac:dyDescent="0.35">
      <c r="B25" s="63" t="s">
        <v>193</v>
      </c>
      <c r="C25" s="115" t="s">
        <v>322</v>
      </c>
      <c r="D25" s="116">
        <v>7.3879485459999996</v>
      </c>
      <c r="E25" s="116">
        <v>8.354550767000001</v>
      </c>
      <c r="F25" s="116">
        <v>12.65808736</v>
      </c>
      <c r="G25" s="116">
        <v>14.05341561</v>
      </c>
      <c r="H25" s="116">
        <v>24.060829030000001</v>
      </c>
      <c r="I25" s="116">
        <v>38.835690870000001</v>
      </c>
      <c r="J25" s="116">
        <v>31.451265859999999</v>
      </c>
      <c r="K25" s="116">
        <v>28.451792089999998</v>
      </c>
    </row>
    <row r="26" spans="2:12" ht="16.05" customHeight="1" thickTop="1" x14ac:dyDescent="0.35">
      <c r="C26" s="61"/>
      <c r="D26" s="60"/>
      <c r="E26" s="60"/>
      <c r="F26" s="60"/>
      <c r="G26" s="60"/>
      <c r="H26" s="60"/>
      <c r="I26" s="60"/>
      <c r="J26" s="60"/>
      <c r="K26" s="60"/>
    </row>
    <row r="27" spans="2:12" ht="16.05" customHeight="1" x14ac:dyDescent="0.35">
      <c r="C27" s="61"/>
      <c r="D27" s="60"/>
      <c r="E27" s="60"/>
      <c r="F27" s="60"/>
      <c r="G27" s="60"/>
      <c r="H27" s="60"/>
      <c r="I27" s="60"/>
      <c r="J27" s="60"/>
      <c r="K27" s="60"/>
    </row>
    <row r="28" spans="2:12" ht="16.05" customHeight="1" x14ac:dyDescent="0.3">
      <c r="C28" s="60"/>
    </row>
    <row r="29" spans="2:12" ht="16.05" customHeight="1" x14ac:dyDescent="0.3">
      <c r="C29" s="91"/>
    </row>
    <row r="30" spans="2:12" ht="16.05" customHeight="1" x14ac:dyDescent="0.3">
      <c r="C30" s="91"/>
    </row>
    <row r="31" spans="2:12" ht="16.05" customHeight="1" x14ac:dyDescent="0.3">
      <c r="E31" s="60"/>
      <c r="F31" s="60"/>
      <c r="G31" s="60"/>
      <c r="H31" s="60"/>
      <c r="I31" s="60"/>
      <c r="J31" s="60"/>
      <c r="K31" s="60"/>
      <c r="L31" s="91"/>
    </row>
    <row r="32" spans="2:12" ht="16.05" customHeight="1" x14ac:dyDescent="0.3">
      <c r="D32" s="90"/>
      <c r="E32" s="91"/>
      <c r="F32" s="91"/>
      <c r="G32" s="91"/>
      <c r="H32" s="91"/>
      <c r="I32" s="91"/>
      <c r="J32" s="91"/>
      <c r="K32" s="91"/>
      <c r="L32" s="91"/>
    </row>
    <row r="33" spans="3:12" ht="16.05" customHeight="1" x14ac:dyDescent="0.35">
      <c r="C33" s="61"/>
      <c r="L33" s="91"/>
    </row>
    <row r="34" spans="3:12" ht="16.05" customHeight="1" x14ac:dyDescent="0.35">
      <c r="D34" s="61"/>
      <c r="F34" s="61"/>
      <c r="G34" s="61"/>
      <c r="H34" s="61"/>
      <c r="I34" s="61"/>
      <c r="J34" s="61"/>
      <c r="K34" s="61"/>
      <c r="L34" s="60"/>
    </row>
    <row r="35" spans="3:12" ht="16.05" customHeight="1" x14ac:dyDescent="0.3">
      <c r="L35" s="91"/>
    </row>
    <row r="36" spans="3:12" ht="16.05" customHeight="1" x14ac:dyDescent="0.3">
      <c r="L36" s="91"/>
    </row>
    <row r="37" spans="3:12" ht="16.05" customHeight="1" x14ac:dyDescent="0.3">
      <c r="L37" s="91"/>
    </row>
    <row r="38" spans="3:12" ht="16.05" customHeight="1" x14ac:dyDescent="0.3"/>
    <row r="39" spans="3:12" ht="16.05" customHeight="1" x14ac:dyDescent="0.3"/>
    <row r="40" spans="3:12" ht="16.05" customHeight="1" x14ac:dyDescent="0.3"/>
    <row r="41" spans="3:12" ht="16.05" customHeight="1" x14ac:dyDescent="0.3"/>
    <row r="42" spans="3:12" ht="16.05" customHeight="1" x14ac:dyDescent="0.3"/>
    <row r="43" spans="3:12" ht="16.05" customHeight="1" x14ac:dyDescent="0.3"/>
    <row r="44" spans="3:12" ht="16.05" customHeight="1" x14ac:dyDescent="0.3"/>
    <row r="45" spans="3:12" ht="16.05" customHeight="1" x14ac:dyDescent="0.3"/>
    <row r="46" spans="3:12" ht="16.05" customHeight="1" x14ac:dyDescent="0.3"/>
    <row r="47" spans="3:12" ht="16.05" customHeight="1" x14ac:dyDescent="0.3"/>
    <row r="48" spans="3:12" ht="16.05" customHeight="1" x14ac:dyDescent="0.3"/>
    <row r="49" ht="16.05" customHeight="1" x14ac:dyDescent="0.3"/>
    <row r="50" ht="16.05" customHeight="1" x14ac:dyDescent="0.3"/>
    <row r="51" ht="16.05" customHeight="1" x14ac:dyDescent="0.3"/>
    <row r="52" ht="16.05" customHeight="1" x14ac:dyDescent="0.3"/>
    <row r="53" ht="16.05" customHeight="1" x14ac:dyDescent="0.3"/>
    <row r="54" ht="16.05" customHeight="1" x14ac:dyDescent="0.3"/>
  </sheetData>
  <mergeCells count="1">
    <mergeCell ref="B2:K2"/>
  </mergeCells>
  <phoneticPr fontId="13" type="noConversion"/>
  <pageMargins left="0.75000000000000011" right="0.75000000000000011" top="0.98" bottom="0.98" header="0.51" footer="0.51"/>
  <pageSetup paperSize="9" scale="73" orientation="landscape" horizontalDpi="4294967292" verticalDpi="4294967292"/>
  <extLst>
    <ext xmlns:mx="http://schemas.microsoft.com/office/mac/excel/2008/main" uri="{64002731-A6B0-56B0-2670-7721B7C09600}">
      <mx:PLV Mode="0" OnePage="0" WScale="10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2:G44"/>
  <sheetViews>
    <sheetView workbookViewId="0">
      <selection activeCell="A2" sqref="A2:F2"/>
    </sheetView>
  </sheetViews>
  <sheetFormatPr baseColWidth="10" defaultColWidth="10.7265625" defaultRowHeight="17.399999999999999" x14ac:dyDescent="0.3"/>
  <cols>
    <col min="1" max="1" width="34.453125" style="618" customWidth="1"/>
    <col min="2" max="3" width="13.26953125" style="618" customWidth="1"/>
    <col min="4" max="4" width="2.453125" style="618" customWidth="1"/>
    <col min="5" max="6" width="13.26953125" style="618" customWidth="1"/>
    <col min="7" max="16384" width="10.7265625" style="618"/>
  </cols>
  <sheetData>
    <row r="2" spans="1:7" ht="24.6" x14ac:dyDescent="0.4">
      <c r="A2" s="725" t="s">
        <v>1116</v>
      </c>
      <c r="B2" s="725"/>
      <c r="C2" s="725"/>
      <c r="D2" s="725"/>
      <c r="E2" s="725"/>
      <c r="F2" s="725"/>
      <c r="G2" s="628"/>
    </row>
    <row r="3" spans="1:7" ht="16.95" customHeight="1" thickBot="1" x14ac:dyDescent="0.35">
      <c r="A3" s="620"/>
      <c r="B3" s="620"/>
      <c r="C3" s="620"/>
      <c r="D3" s="620"/>
      <c r="E3" s="620"/>
      <c r="F3" s="620"/>
    </row>
    <row r="4" spans="1:7" ht="18" thickTop="1" x14ac:dyDescent="0.3">
      <c r="B4" s="625" t="s">
        <v>657</v>
      </c>
      <c r="C4" s="625" t="s">
        <v>220</v>
      </c>
      <c r="D4" s="625"/>
      <c r="E4" s="625" t="s">
        <v>657</v>
      </c>
      <c r="F4" s="625" t="s">
        <v>220</v>
      </c>
    </row>
    <row r="5" spans="1:7" x14ac:dyDescent="0.3">
      <c r="B5" s="626"/>
      <c r="C5" s="626"/>
      <c r="D5" s="626"/>
      <c r="E5" s="626"/>
      <c r="F5" s="626"/>
    </row>
    <row r="6" spans="1:7" ht="22.05" customHeight="1" x14ac:dyDescent="0.3">
      <c r="A6" s="624" t="s">
        <v>1023</v>
      </c>
      <c r="B6" s="629"/>
      <c r="C6" s="629"/>
      <c r="D6" s="629"/>
      <c r="E6" s="629"/>
      <c r="F6" s="629"/>
    </row>
    <row r="7" spans="1:7" ht="22.05" customHeight="1" x14ac:dyDescent="0.3">
      <c r="A7" s="618" t="s">
        <v>1022</v>
      </c>
      <c r="B7" s="629" t="s">
        <v>1021</v>
      </c>
      <c r="C7" s="629" t="s">
        <v>1020</v>
      </c>
      <c r="D7" s="629"/>
      <c r="E7" s="629" t="s">
        <v>1019</v>
      </c>
      <c r="F7" s="629" t="s">
        <v>1018</v>
      </c>
    </row>
    <row r="8" spans="1:7" ht="22.05" customHeight="1" x14ac:dyDescent="0.3">
      <c r="B8" s="629" t="s">
        <v>1017</v>
      </c>
      <c r="C8" s="629" t="s">
        <v>1016</v>
      </c>
      <c r="D8" s="629"/>
      <c r="E8" s="629" t="s">
        <v>955</v>
      </c>
      <c r="F8" s="629" t="s">
        <v>1015</v>
      </c>
    </row>
    <row r="9" spans="1:7" ht="22.05" customHeight="1" x14ac:dyDescent="0.3">
      <c r="A9" s="618" t="s">
        <v>1014</v>
      </c>
      <c r="B9" s="629" t="s">
        <v>1013</v>
      </c>
      <c r="C9" s="629" t="s">
        <v>1013</v>
      </c>
      <c r="D9" s="629"/>
      <c r="E9" s="629"/>
      <c r="F9" s="629"/>
    </row>
    <row r="10" spans="1:7" ht="22.05" customHeight="1" x14ac:dyDescent="0.3">
      <c r="B10" s="629" t="s">
        <v>971</v>
      </c>
      <c r="C10" s="629" t="s">
        <v>971</v>
      </c>
      <c r="D10" s="629"/>
      <c r="E10" s="629"/>
      <c r="F10" s="629"/>
    </row>
    <row r="11" spans="1:7" ht="22.05" customHeight="1" x14ac:dyDescent="0.3">
      <c r="A11" s="618" t="s">
        <v>1012</v>
      </c>
      <c r="B11" s="629" t="s">
        <v>1011</v>
      </c>
      <c r="C11" s="629" t="s">
        <v>1010</v>
      </c>
      <c r="D11" s="629"/>
      <c r="E11" s="629" t="s">
        <v>1009</v>
      </c>
      <c r="F11" s="629" t="s">
        <v>1008</v>
      </c>
    </row>
    <row r="12" spans="1:7" ht="22.05" customHeight="1" x14ac:dyDescent="0.3">
      <c r="B12" s="629" t="s">
        <v>1007</v>
      </c>
      <c r="C12" s="629" t="s">
        <v>1006</v>
      </c>
      <c r="D12" s="629"/>
      <c r="E12" s="629" t="s">
        <v>1005</v>
      </c>
      <c r="F12" s="629" t="s">
        <v>1004</v>
      </c>
    </row>
    <row r="13" spans="1:7" ht="22.05" customHeight="1" x14ac:dyDescent="0.3">
      <c r="A13" s="618" t="s">
        <v>1003</v>
      </c>
      <c r="B13" s="629" t="s">
        <v>1002</v>
      </c>
      <c r="C13" s="629" t="s">
        <v>957</v>
      </c>
      <c r="D13" s="629"/>
      <c r="E13" s="629" t="s">
        <v>1001</v>
      </c>
      <c r="F13" s="629" t="s">
        <v>1000</v>
      </c>
    </row>
    <row r="14" spans="1:7" ht="22.05" customHeight="1" x14ac:dyDescent="0.3">
      <c r="B14" s="629" t="s">
        <v>999</v>
      </c>
      <c r="C14" s="629" t="s">
        <v>998</v>
      </c>
      <c r="D14" s="629"/>
      <c r="E14" s="629" t="s">
        <v>997</v>
      </c>
      <c r="F14" s="629" t="s">
        <v>996</v>
      </c>
    </row>
    <row r="15" spans="1:7" ht="22.05" customHeight="1" x14ac:dyDescent="0.3">
      <c r="A15" s="618" t="s">
        <v>995</v>
      </c>
      <c r="B15" s="629" t="s">
        <v>994</v>
      </c>
      <c r="C15" s="629" t="s">
        <v>993</v>
      </c>
      <c r="D15" s="629"/>
      <c r="E15" s="629" t="s">
        <v>992</v>
      </c>
      <c r="F15" s="629" t="s">
        <v>991</v>
      </c>
    </row>
    <row r="16" spans="1:7" ht="22.05" customHeight="1" x14ac:dyDescent="0.3">
      <c r="B16" s="629" t="s">
        <v>990</v>
      </c>
      <c r="C16" s="629" t="s">
        <v>989</v>
      </c>
      <c r="D16" s="629"/>
      <c r="E16" s="629" t="s">
        <v>988</v>
      </c>
      <c r="F16" s="629" t="s">
        <v>987</v>
      </c>
    </row>
    <row r="17" spans="1:6" ht="22.05" customHeight="1" x14ac:dyDescent="0.3">
      <c r="A17" s="618" t="s">
        <v>986</v>
      </c>
      <c r="B17" s="629" t="s">
        <v>985</v>
      </c>
      <c r="C17" s="629" t="s">
        <v>984</v>
      </c>
      <c r="D17" s="629"/>
      <c r="E17" s="629" t="s">
        <v>983</v>
      </c>
      <c r="F17" s="629" t="s">
        <v>980</v>
      </c>
    </row>
    <row r="18" spans="1:6" ht="22.05" customHeight="1" x14ac:dyDescent="0.3">
      <c r="B18" s="629" t="s">
        <v>977</v>
      </c>
      <c r="C18" s="629" t="s">
        <v>955</v>
      </c>
      <c r="D18" s="629"/>
      <c r="E18" s="629" t="s">
        <v>954</v>
      </c>
      <c r="F18" s="629" t="s">
        <v>953</v>
      </c>
    </row>
    <row r="19" spans="1:6" ht="22.05" customHeight="1" x14ac:dyDescent="0.3">
      <c r="A19" s="618" t="s">
        <v>982</v>
      </c>
      <c r="B19" s="629" t="s">
        <v>981</v>
      </c>
      <c r="C19" s="629" t="s">
        <v>980</v>
      </c>
      <c r="D19" s="629"/>
      <c r="E19" s="629" t="s">
        <v>979</v>
      </c>
      <c r="F19" s="629" t="s">
        <v>978</v>
      </c>
    </row>
    <row r="20" spans="1:6" ht="22.05" customHeight="1" x14ac:dyDescent="0.3">
      <c r="B20" s="629" t="s">
        <v>977</v>
      </c>
      <c r="C20" s="629" t="s">
        <v>955</v>
      </c>
      <c r="D20" s="629"/>
      <c r="E20" s="629" t="s">
        <v>954</v>
      </c>
      <c r="F20" s="629" t="s">
        <v>953</v>
      </c>
    </row>
    <row r="21" spans="1:6" ht="22.05" customHeight="1" x14ac:dyDescent="0.3">
      <c r="A21" s="618" t="s">
        <v>976</v>
      </c>
      <c r="B21" s="629" t="s">
        <v>935</v>
      </c>
      <c r="C21" s="629" t="s">
        <v>935</v>
      </c>
      <c r="D21" s="629"/>
      <c r="E21" s="629" t="s">
        <v>934</v>
      </c>
      <c r="F21" s="629" t="s">
        <v>934</v>
      </c>
    </row>
    <row r="22" spans="1:6" ht="22.05" customHeight="1" x14ac:dyDescent="0.3">
      <c r="B22" s="629"/>
      <c r="C22" s="629"/>
      <c r="D22" s="629"/>
      <c r="E22" s="629"/>
      <c r="F22" s="629"/>
    </row>
    <row r="23" spans="1:6" ht="22.05" customHeight="1" x14ac:dyDescent="0.3">
      <c r="A23" s="624" t="s">
        <v>975</v>
      </c>
      <c r="B23" s="629"/>
      <c r="C23" s="629"/>
      <c r="D23" s="629"/>
      <c r="E23" s="629"/>
      <c r="F23" s="629"/>
    </row>
    <row r="24" spans="1:6" ht="22.05" customHeight="1" x14ac:dyDescent="0.3">
      <c r="A24" s="618" t="s">
        <v>974</v>
      </c>
      <c r="B24" s="629" t="s">
        <v>973</v>
      </c>
      <c r="C24" s="629" t="s">
        <v>973</v>
      </c>
      <c r="D24" s="629"/>
      <c r="E24" s="629" t="s">
        <v>972</v>
      </c>
      <c r="F24" s="629" t="s">
        <v>972</v>
      </c>
    </row>
    <row r="25" spans="1:6" ht="22.05" customHeight="1" x14ac:dyDescent="0.3">
      <c r="B25" s="629" t="s">
        <v>971</v>
      </c>
      <c r="C25" s="629" t="s">
        <v>971</v>
      </c>
      <c r="D25" s="629"/>
      <c r="E25" s="629" t="s">
        <v>971</v>
      </c>
      <c r="F25" s="629" t="s">
        <v>970</v>
      </c>
    </row>
    <row r="26" spans="1:6" ht="22.05" customHeight="1" x14ac:dyDescent="0.3">
      <c r="A26" s="618" t="s">
        <v>969</v>
      </c>
      <c r="B26" s="629" t="s">
        <v>968</v>
      </c>
      <c r="C26" s="629" t="s">
        <v>967</v>
      </c>
      <c r="D26" s="629"/>
      <c r="E26" s="629" t="s">
        <v>966</v>
      </c>
      <c r="F26" s="629" t="s">
        <v>965</v>
      </c>
    </row>
    <row r="27" spans="1:6" ht="22.05" customHeight="1" x14ac:dyDescent="0.3">
      <c r="B27" s="629" t="s">
        <v>964</v>
      </c>
      <c r="C27" s="629" t="s">
        <v>963</v>
      </c>
      <c r="D27" s="629"/>
      <c r="E27" s="629" t="s">
        <v>962</v>
      </c>
      <c r="F27" s="629" t="s">
        <v>961</v>
      </c>
    </row>
    <row r="28" spans="1:6" ht="22.05" customHeight="1" x14ac:dyDescent="0.3">
      <c r="A28" s="618" t="s">
        <v>960</v>
      </c>
      <c r="B28" s="629" t="s">
        <v>959</v>
      </c>
      <c r="C28" s="629" t="s">
        <v>958</v>
      </c>
      <c r="D28" s="629"/>
      <c r="E28" s="629" t="s">
        <v>957</v>
      </c>
      <c r="F28" s="629" t="s">
        <v>956</v>
      </c>
    </row>
    <row r="29" spans="1:6" ht="22.05" customHeight="1" x14ac:dyDescent="0.3">
      <c r="B29" s="629" t="s">
        <v>955</v>
      </c>
      <c r="C29" s="629" t="s">
        <v>955</v>
      </c>
      <c r="D29" s="629"/>
      <c r="E29" s="629" t="s">
        <v>954</v>
      </c>
      <c r="F29" s="629" t="s">
        <v>953</v>
      </c>
    </row>
    <row r="30" spans="1:6" ht="22.05" customHeight="1" x14ac:dyDescent="0.3">
      <c r="A30" s="618" t="s">
        <v>952</v>
      </c>
      <c r="B30" s="629" t="s">
        <v>951</v>
      </c>
      <c r="C30" s="629" t="s">
        <v>950</v>
      </c>
      <c r="D30" s="629"/>
      <c r="E30" s="629" t="s">
        <v>949</v>
      </c>
      <c r="F30" s="629" t="s">
        <v>948</v>
      </c>
    </row>
    <row r="31" spans="1:6" ht="22.05" customHeight="1" x14ac:dyDescent="0.3">
      <c r="B31" s="629" t="s">
        <v>947</v>
      </c>
      <c r="C31" s="629" t="s">
        <v>946</v>
      </c>
      <c r="D31" s="629"/>
      <c r="E31" s="629" t="s">
        <v>945</v>
      </c>
      <c r="F31" s="629" t="s">
        <v>944</v>
      </c>
    </row>
    <row r="32" spans="1:6" ht="22.05" customHeight="1" x14ac:dyDescent="0.3">
      <c r="A32" s="618" t="s">
        <v>943</v>
      </c>
      <c r="B32" s="629"/>
      <c r="C32" s="629"/>
      <c r="D32" s="629"/>
      <c r="E32" s="629" t="s">
        <v>942</v>
      </c>
      <c r="F32" s="629" t="s">
        <v>941</v>
      </c>
    </row>
    <row r="33" spans="1:6" ht="22.05" customHeight="1" x14ac:dyDescent="0.3">
      <c r="B33" s="629"/>
      <c r="C33" s="629"/>
      <c r="D33" s="629"/>
      <c r="E33" s="629" t="s">
        <v>940</v>
      </c>
      <c r="F33" s="629" t="s">
        <v>939</v>
      </c>
    </row>
    <row r="34" spans="1:6" ht="22.05" customHeight="1" x14ac:dyDescent="0.3">
      <c r="B34" s="629"/>
      <c r="C34" s="629"/>
      <c r="D34" s="629"/>
      <c r="E34" s="629"/>
      <c r="F34" s="629"/>
    </row>
    <row r="35" spans="1:6" ht="22.05" customHeight="1" x14ac:dyDescent="0.3">
      <c r="A35" s="618" t="s">
        <v>938</v>
      </c>
      <c r="B35" s="629" t="s">
        <v>934</v>
      </c>
      <c r="C35" s="629" t="s">
        <v>934</v>
      </c>
      <c r="D35" s="629"/>
      <c r="E35" s="629" t="s">
        <v>934</v>
      </c>
      <c r="F35" s="629" t="s">
        <v>934</v>
      </c>
    </row>
    <row r="36" spans="1:6" ht="22.05" customHeight="1" x14ac:dyDescent="0.3">
      <c r="A36" s="618" t="s">
        <v>937</v>
      </c>
      <c r="B36" s="629" t="s">
        <v>934</v>
      </c>
      <c r="C36" s="629" t="s">
        <v>934</v>
      </c>
      <c r="D36" s="629"/>
      <c r="E36" s="629" t="s">
        <v>934</v>
      </c>
      <c r="F36" s="629" t="s">
        <v>934</v>
      </c>
    </row>
    <row r="37" spans="1:6" ht="22.05" customHeight="1" x14ac:dyDescent="0.3">
      <c r="A37" s="623" t="s">
        <v>936</v>
      </c>
      <c r="B37" s="626" t="s">
        <v>935</v>
      </c>
      <c r="C37" s="626" t="s">
        <v>935</v>
      </c>
      <c r="D37" s="626"/>
      <c r="E37" s="626" t="s">
        <v>934</v>
      </c>
      <c r="F37" s="626" t="s">
        <v>934</v>
      </c>
    </row>
    <row r="38" spans="1:6" ht="22.05" customHeight="1" x14ac:dyDescent="0.3"/>
    <row r="39" spans="1:6" ht="22.05" customHeight="1" x14ac:dyDescent="0.3">
      <c r="A39" s="618" t="s">
        <v>933</v>
      </c>
      <c r="B39" s="621">
        <v>33746</v>
      </c>
      <c r="C39" s="621">
        <v>34037</v>
      </c>
      <c r="D39" s="622"/>
      <c r="E39" s="621">
        <v>57122</v>
      </c>
      <c r="F39" s="621">
        <v>57670</v>
      </c>
    </row>
    <row r="40" spans="1:6" ht="22.05" customHeight="1" thickBot="1" x14ac:dyDescent="0.35">
      <c r="A40" s="620" t="s">
        <v>932</v>
      </c>
      <c r="B40" s="619" t="s">
        <v>931</v>
      </c>
      <c r="C40" s="619" t="s">
        <v>930</v>
      </c>
      <c r="D40" s="619"/>
      <c r="E40" s="619" t="s">
        <v>929</v>
      </c>
      <c r="F40" s="619" t="s">
        <v>928</v>
      </c>
    </row>
    <row r="41" spans="1:6" ht="18" thickTop="1" x14ac:dyDescent="0.3"/>
    <row r="42" spans="1:6" x14ac:dyDescent="0.3">
      <c r="A42" s="618" t="s">
        <v>1025</v>
      </c>
    </row>
    <row r="43" spans="1:6" x14ac:dyDescent="0.3">
      <c r="A43" s="618" t="s">
        <v>927</v>
      </c>
    </row>
    <row r="44" spans="1:6" x14ac:dyDescent="0.3">
      <c r="A44" s="618" t="s">
        <v>1024</v>
      </c>
    </row>
  </sheetData>
  <mergeCells count="1">
    <mergeCell ref="A2:F2"/>
  </mergeCells>
  <phoneticPr fontId="13" type="noConversion"/>
  <pageMargins left="0.75" right="0.75" top="1" bottom="1" header="0.5" footer="0.5"/>
  <pageSetup paperSize="9" scale="76" orientation="portrait" horizontalDpi="4294967292" verticalDpi="4294967292"/>
  <extLst>
    <ext xmlns:mx="http://schemas.microsoft.com/office/mac/excel/2008/main" uri="{64002731-A6B0-56B0-2670-7721B7C09600}">
      <mx:PLV Mode="0" OnePage="0" WScale="10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2:G39"/>
  <sheetViews>
    <sheetView workbookViewId="0">
      <selection activeCell="A2" sqref="A2:G2"/>
    </sheetView>
  </sheetViews>
  <sheetFormatPr baseColWidth="10" defaultColWidth="10.7265625" defaultRowHeight="17.399999999999999" x14ac:dyDescent="0.3"/>
  <cols>
    <col min="1" max="1" width="34.453125" style="618" customWidth="1"/>
    <col min="2" max="7" width="20.54296875" style="618" customWidth="1"/>
    <col min="8" max="16384" width="10.7265625" style="618"/>
  </cols>
  <sheetData>
    <row r="2" spans="1:7" ht="24.6" x14ac:dyDescent="0.4">
      <c r="A2" s="725" t="s">
        <v>1117</v>
      </c>
      <c r="B2" s="725"/>
      <c r="C2" s="725"/>
      <c r="D2" s="725"/>
      <c r="E2" s="725"/>
      <c r="F2" s="725"/>
      <c r="G2" s="725"/>
    </row>
    <row r="3" spans="1:7" ht="25.2" thickBot="1" x14ac:dyDescent="0.45">
      <c r="A3" s="627"/>
      <c r="B3" s="627"/>
      <c r="C3" s="627"/>
      <c r="D3" s="627"/>
      <c r="E3" s="627"/>
      <c r="F3" s="627"/>
      <c r="G3" s="627"/>
    </row>
    <row r="4" spans="1:7" ht="19.05" customHeight="1" thickTop="1" x14ac:dyDescent="0.3">
      <c r="A4" s="618" t="s">
        <v>1026</v>
      </c>
      <c r="B4" s="726" t="s">
        <v>1027</v>
      </c>
      <c r="C4" s="726"/>
      <c r="D4" s="726" t="s">
        <v>1028</v>
      </c>
      <c r="E4" s="726"/>
      <c r="F4" s="726" t="s">
        <v>1028</v>
      </c>
      <c r="G4" s="726"/>
    </row>
    <row r="5" spans="1:7" ht="19.05" customHeight="1" x14ac:dyDescent="0.3">
      <c r="A5" s="618" t="s">
        <v>1029</v>
      </c>
      <c r="B5" s="726" t="s">
        <v>1028</v>
      </c>
      <c r="C5" s="726"/>
      <c r="D5" s="726" t="s">
        <v>1027</v>
      </c>
      <c r="E5" s="726"/>
      <c r="F5" s="726" t="s">
        <v>572</v>
      </c>
      <c r="G5" s="726"/>
    </row>
    <row r="6" spans="1:7" ht="19.05" customHeight="1" x14ac:dyDescent="0.3">
      <c r="B6" s="626" t="s">
        <v>657</v>
      </c>
      <c r="C6" s="626" t="s">
        <v>220</v>
      </c>
      <c r="D6" s="626" t="s">
        <v>657</v>
      </c>
      <c r="E6" s="626" t="s">
        <v>220</v>
      </c>
      <c r="F6" s="626" t="s">
        <v>657</v>
      </c>
      <c r="G6" s="626" t="s">
        <v>220</v>
      </c>
    </row>
    <row r="7" spans="1:7" ht="19.05" customHeight="1" x14ac:dyDescent="0.3">
      <c r="A7" s="624" t="s">
        <v>1023</v>
      </c>
    </row>
    <row r="8" spans="1:7" ht="19.05" customHeight="1" x14ac:dyDescent="0.3">
      <c r="A8" s="618" t="s">
        <v>1022</v>
      </c>
      <c r="B8" s="629" t="s">
        <v>1030</v>
      </c>
      <c r="C8" s="629" t="s">
        <v>1031</v>
      </c>
      <c r="D8" s="629" t="s">
        <v>1032</v>
      </c>
      <c r="E8" s="629" t="s">
        <v>1033</v>
      </c>
      <c r="F8" s="629" t="s">
        <v>1034</v>
      </c>
      <c r="G8" s="629" t="s">
        <v>1035</v>
      </c>
    </row>
    <row r="9" spans="1:7" ht="19.05" customHeight="1" x14ac:dyDescent="0.3">
      <c r="B9" s="630" t="s">
        <v>1036</v>
      </c>
      <c r="C9" s="630" t="s">
        <v>1036</v>
      </c>
      <c r="D9" s="630" t="s">
        <v>1005</v>
      </c>
      <c r="E9" s="630" t="s">
        <v>1037</v>
      </c>
      <c r="F9" s="630" t="s">
        <v>1038</v>
      </c>
      <c r="G9" s="630" t="s">
        <v>1017</v>
      </c>
    </row>
    <row r="10" spans="1:7" ht="19.05" customHeight="1" x14ac:dyDescent="0.3">
      <c r="A10" s="618" t="s">
        <v>1012</v>
      </c>
      <c r="B10" s="629" t="s">
        <v>1039</v>
      </c>
      <c r="C10" s="629" t="s">
        <v>1040</v>
      </c>
      <c r="D10" s="629" t="s">
        <v>1041</v>
      </c>
      <c r="E10" s="629" t="s">
        <v>1042</v>
      </c>
      <c r="F10" s="629" t="s">
        <v>1043</v>
      </c>
      <c r="G10" s="629" t="s">
        <v>1044</v>
      </c>
    </row>
    <row r="11" spans="1:7" ht="19.05" customHeight="1" x14ac:dyDescent="0.3">
      <c r="B11" s="630" t="s">
        <v>1045</v>
      </c>
      <c r="C11" s="630" t="s">
        <v>1045</v>
      </c>
      <c r="D11" s="630" t="s">
        <v>989</v>
      </c>
      <c r="E11" s="630" t="s">
        <v>990</v>
      </c>
      <c r="F11" s="630" t="s">
        <v>1046</v>
      </c>
      <c r="G11" s="630" t="s">
        <v>997</v>
      </c>
    </row>
    <row r="12" spans="1:7" ht="19.05" customHeight="1" x14ac:dyDescent="0.3">
      <c r="A12" s="618" t="s">
        <v>1003</v>
      </c>
      <c r="B12" s="629" t="s">
        <v>1047</v>
      </c>
      <c r="C12" s="629" t="s">
        <v>1048</v>
      </c>
      <c r="D12" s="629" t="s">
        <v>1049</v>
      </c>
      <c r="E12" s="629" t="s">
        <v>1050</v>
      </c>
      <c r="F12" s="629" t="s">
        <v>1051</v>
      </c>
      <c r="G12" s="629" t="s">
        <v>1052</v>
      </c>
    </row>
    <row r="13" spans="1:7" ht="19.05" customHeight="1" x14ac:dyDescent="0.3">
      <c r="B13" s="630" t="s">
        <v>1053</v>
      </c>
      <c r="C13" s="630" t="s">
        <v>1054</v>
      </c>
      <c r="D13" s="630" t="s">
        <v>1055</v>
      </c>
      <c r="E13" s="630" t="s">
        <v>1056</v>
      </c>
      <c r="F13" s="630" t="s">
        <v>1057</v>
      </c>
      <c r="G13" s="630" t="s">
        <v>1057</v>
      </c>
    </row>
    <row r="14" spans="1:7" ht="19.05" customHeight="1" x14ac:dyDescent="0.3">
      <c r="A14" s="618" t="s">
        <v>995</v>
      </c>
      <c r="B14" s="629" t="s">
        <v>1058</v>
      </c>
      <c r="C14" s="629" t="s">
        <v>1059</v>
      </c>
      <c r="D14" s="629" t="s">
        <v>1060</v>
      </c>
      <c r="E14" s="629" t="s">
        <v>1061</v>
      </c>
      <c r="F14" s="629" t="s">
        <v>1062</v>
      </c>
      <c r="G14" s="629" t="s">
        <v>1063</v>
      </c>
    </row>
    <row r="15" spans="1:7" ht="19.05" customHeight="1" x14ac:dyDescent="0.3">
      <c r="B15" s="630" t="s">
        <v>1053</v>
      </c>
      <c r="C15" s="630" t="s">
        <v>1064</v>
      </c>
      <c r="D15" s="630" t="s">
        <v>1065</v>
      </c>
      <c r="E15" s="630" t="s">
        <v>1055</v>
      </c>
      <c r="F15" s="630" t="s">
        <v>1066</v>
      </c>
      <c r="G15" s="630" t="s">
        <v>1067</v>
      </c>
    </row>
    <row r="16" spans="1:7" ht="19.05" customHeight="1" x14ac:dyDescent="0.3">
      <c r="A16" s="618" t="s">
        <v>986</v>
      </c>
      <c r="B16" s="630">
        <v>3.0000000000000001E-3</v>
      </c>
      <c r="C16" s="630">
        <v>1.2999999999999999E-2</v>
      </c>
      <c r="D16" s="630" t="s">
        <v>1068</v>
      </c>
      <c r="E16" s="630" t="s">
        <v>1069</v>
      </c>
      <c r="F16" s="630" t="s">
        <v>1070</v>
      </c>
      <c r="G16" s="630" t="s">
        <v>1071</v>
      </c>
    </row>
    <row r="17" spans="1:7" ht="19.05" customHeight="1" x14ac:dyDescent="0.3">
      <c r="B17" s="630" t="s">
        <v>1072</v>
      </c>
      <c r="C17" s="630" t="s">
        <v>1073</v>
      </c>
      <c r="D17" s="630" t="s">
        <v>1074</v>
      </c>
      <c r="E17" s="630" t="s">
        <v>1075</v>
      </c>
      <c r="F17" s="630" t="s">
        <v>945</v>
      </c>
      <c r="G17" s="630" t="s">
        <v>945</v>
      </c>
    </row>
    <row r="18" spans="1:7" ht="19.05" customHeight="1" x14ac:dyDescent="0.3">
      <c r="A18" s="618" t="s">
        <v>982</v>
      </c>
      <c r="B18" s="629" t="s">
        <v>981</v>
      </c>
      <c r="C18" s="629" t="s">
        <v>1076</v>
      </c>
      <c r="D18" s="629" t="s">
        <v>1077</v>
      </c>
      <c r="E18" s="629" t="s">
        <v>1078</v>
      </c>
      <c r="F18" s="629" t="s">
        <v>984</v>
      </c>
      <c r="G18" s="629" t="s">
        <v>1079</v>
      </c>
    </row>
    <row r="19" spans="1:7" ht="19.05" customHeight="1" x14ac:dyDescent="0.3">
      <c r="B19" s="630" t="s">
        <v>1016</v>
      </c>
      <c r="C19" s="630" t="s">
        <v>1017</v>
      </c>
      <c r="D19" s="630" t="s">
        <v>1016</v>
      </c>
      <c r="E19" s="630" t="s">
        <v>1017</v>
      </c>
      <c r="F19" s="630" t="s">
        <v>946</v>
      </c>
      <c r="G19" s="630" t="s">
        <v>1074</v>
      </c>
    </row>
    <row r="20" spans="1:7" ht="19.05" customHeight="1" x14ac:dyDescent="0.3">
      <c r="B20" s="629"/>
      <c r="C20" s="629"/>
      <c r="D20" s="629"/>
      <c r="E20" s="629"/>
      <c r="F20" s="629"/>
      <c r="G20" s="629"/>
    </row>
    <row r="21" spans="1:7" ht="19.05" customHeight="1" x14ac:dyDescent="0.3">
      <c r="A21" s="624" t="s">
        <v>975</v>
      </c>
      <c r="B21" s="629"/>
      <c r="C21" s="629"/>
      <c r="D21" s="629"/>
      <c r="E21" s="629"/>
      <c r="F21" s="629"/>
      <c r="G21" s="629"/>
    </row>
    <row r="22" spans="1:7" ht="19.05" customHeight="1" x14ac:dyDescent="0.3">
      <c r="A22" s="618" t="s">
        <v>974</v>
      </c>
      <c r="B22" s="629" t="s">
        <v>973</v>
      </c>
      <c r="C22" s="629" t="s">
        <v>1080</v>
      </c>
      <c r="D22" s="629" t="s">
        <v>1081</v>
      </c>
      <c r="E22" s="629" t="s">
        <v>1082</v>
      </c>
      <c r="F22" s="629" t="s">
        <v>1083</v>
      </c>
      <c r="G22" s="629" t="s">
        <v>1084</v>
      </c>
    </row>
    <row r="23" spans="1:7" ht="19.05" customHeight="1" x14ac:dyDescent="0.3">
      <c r="B23" s="630" t="s">
        <v>1085</v>
      </c>
      <c r="C23" s="630" t="s">
        <v>1085</v>
      </c>
      <c r="D23" s="630" t="s">
        <v>1085</v>
      </c>
      <c r="E23" s="630" t="s">
        <v>1085</v>
      </c>
      <c r="F23" s="630" t="s">
        <v>1085</v>
      </c>
      <c r="G23" s="630" t="s">
        <v>1085</v>
      </c>
    </row>
    <row r="24" spans="1:7" ht="19.05" customHeight="1" x14ac:dyDescent="0.3">
      <c r="A24" s="618" t="s">
        <v>969</v>
      </c>
      <c r="B24" s="629" t="s">
        <v>1086</v>
      </c>
      <c r="C24" s="629" t="s">
        <v>1087</v>
      </c>
      <c r="D24" s="629" t="s">
        <v>1088</v>
      </c>
      <c r="E24" s="629" t="s">
        <v>1089</v>
      </c>
      <c r="F24" s="629" t="s">
        <v>1090</v>
      </c>
      <c r="G24" s="629" t="s">
        <v>1091</v>
      </c>
    </row>
    <row r="25" spans="1:7" ht="19.05" customHeight="1" x14ac:dyDescent="0.3">
      <c r="B25" s="630" t="s">
        <v>1092</v>
      </c>
      <c r="C25" s="630" t="s">
        <v>1057</v>
      </c>
      <c r="D25" s="630" t="s">
        <v>1093</v>
      </c>
      <c r="E25" s="630" t="s">
        <v>1094</v>
      </c>
      <c r="F25" s="630" t="s">
        <v>1094</v>
      </c>
      <c r="G25" s="630" t="s">
        <v>989</v>
      </c>
    </row>
    <row r="26" spans="1:7" ht="19.05" customHeight="1" x14ac:dyDescent="0.3">
      <c r="A26" s="618" t="s">
        <v>960</v>
      </c>
      <c r="B26" s="629" t="s">
        <v>1095</v>
      </c>
      <c r="C26" s="629" t="s">
        <v>1096</v>
      </c>
      <c r="D26" s="629" t="s">
        <v>1097</v>
      </c>
      <c r="E26" s="629" t="s">
        <v>1098</v>
      </c>
      <c r="F26" s="629" t="s">
        <v>1099</v>
      </c>
      <c r="G26" s="629" t="s">
        <v>1100</v>
      </c>
    </row>
    <row r="27" spans="1:7" ht="19.05" customHeight="1" x14ac:dyDescent="0.3">
      <c r="B27" s="630" t="s">
        <v>990</v>
      </c>
      <c r="C27" s="630" t="s">
        <v>1101</v>
      </c>
      <c r="D27" s="630" t="s">
        <v>945</v>
      </c>
      <c r="E27" s="630" t="s">
        <v>1102</v>
      </c>
      <c r="F27" s="630" t="s">
        <v>1102</v>
      </c>
      <c r="G27" s="630" t="s">
        <v>1102</v>
      </c>
    </row>
    <row r="28" spans="1:7" ht="19.05" customHeight="1" x14ac:dyDescent="0.3">
      <c r="A28" s="618" t="s">
        <v>952</v>
      </c>
      <c r="B28" s="629" t="s">
        <v>1103</v>
      </c>
      <c r="C28" s="629" t="s">
        <v>1104</v>
      </c>
      <c r="D28" s="629" t="s">
        <v>1105</v>
      </c>
      <c r="E28" s="629" t="s">
        <v>1106</v>
      </c>
      <c r="F28" s="629" t="s">
        <v>1107</v>
      </c>
      <c r="G28" s="629" t="s">
        <v>1108</v>
      </c>
    </row>
    <row r="29" spans="1:7" ht="19.05" customHeight="1" x14ac:dyDescent="0.3">
      <c r="B29" s="630" t="s">
        <v>1109</v>
      </c>
      <c r="C29" s="630" t="s">
        <v>1110</v>
      </c>
      <c r="D29" s="630" t="s">
        <v>1111</v>
      </c>
      <c r="E29" s="630" t="s">
        <v>1036</v>
      </c>
      <c r="F29" s="630" t="s">
        <v>1036</v>
      </c>
      <c r="G29" s="630" t="s">
        <v>1112</v>
      </c>
    </row>
    <row r="30" spans="1:7" ht="19.05" customHeight="1" x14ac:dyDescent="0.3">
      <c r="B30" s="629"/>
      <c r="C30" s="629"/>
      <c r="D30" s="629"/>
      <c r="E30" s="629"/>
      <c r="F30" s="629"/>
      <c r="G30" s="629"/>
    </row>
    <row r="31" spans="1:7" ht="19.05" customHeight="1" x14ac:dyDescent="0.3">
      <c r="A31" s="618" t="s">
        <v>938</v>
      </c>
      <c r="B31" s="629" t="s">
        <v>934</v>
      </c>
      <c r="C31" s="629" t="s">
        <v>934</v>
      </c>
      <c r="D31" s="629" t="s">
        <v>934</v>
      </c>
      <c r="E31" s="629" t="s">
        <v>934</v>
      </c>
      <c r="F31" s="629" t="s">
        <v>934</v>
      </c>
      <c r="G31" s="629" t="s">
        <v>934</v>
      </c>
    </row>
    <row r="32" spans="1:7" ht="19.05" customHeight="1" x14ac:dyDescent="0.3">
      <c r="A32" s="618" t="s">
        <v>937</v>
      </c>
      <c r="B32" s="629" t="s">
        <v>934</v>
      </c>
      <c r="C32" s="629" t="s">
        <v>934</v>
      </c>
      <c r="D32" s="629" t="s">
        <v>934</v>
      </c>
      <c r="E32" s="629" t="s">
        <v>934</v>
      </c>
      <c r="F32" s="629" t="s">
        <v>934</v>
      </c>
      <c r="G32" s="629" t="s">
        <v>934</v>
      </c>
    </row>
    <row r="33" spans="1:7" ht="19.05" customHeight="1" x14ac:dyDescent="0.3">
      <c r="B33" s="629"/>
      <c r="C33" s="629"/>
      <c r="D33" s="629"/>
      <c r="E33" s="629"/>
      <c r="F33" s="629"/>
      <c r="G33" s="629"/>
    </row>
    <row r="34" spans="1:7" ht="19.05" customHeight="1" x14ac:dyDescent="0.3">
      <c r="A34" s="618" t="s">
        <v>933</v>
      </c>
      <c r="B34" s="631">
        <v>8466</v>
      </c>
      <c r="C34" s="631">
        <v>8313</v>
      </c>
      <c r="D34" s="631">
        <v>11822</v>
      </c>
      <c r="E34" s="631">
        <v>12257</v>
      </c>
      <c r="F34" s="631">
        <v>14910</v>
      </c>
      <c r="G34" s="631">
        <v>15320</v>
      </c>
    </row>
    <row r="35" spans="1:7" ht="19.05" customHeight="1" thickBot="1" x14ac:dyDescent="0.35">
      <c r="A35" s="620" t="s">
        <v>932</v>
      </c>
      <c r="B35" s="632">
        <v>0.64400000000000002</v>
      </c>
      <c r="C35" s="632">
        <v>0.63600000000000001</v>
      </c>
      <c r="D35" s="633" t="s">
        <v>1113</v>
      </c>
      <c r="E35" s="632">
        <v>0.73599999999999999</v>
      </c>
      <c r="F35" s="633" t="s">
        <v>1114</v>
      </c>
      <c r="G35" s="633" t="s">
        <v>1115</v>
      </c>
    </row>
    <row r="36" spans="1:7" ht="18" thickTop="1" x14ac:dyDescent="0.3"/>
    <row r="37" spans="1:7" x14ac:dyDescent="0.3">
      <c r="A37" s="618" t="s">
        <v>1025</v>
      </c>
    </row>
    <row r="38" spans="1:7" x14ac:dyDescent="0.3">
      <c r="A38" s="618" t="s">
        <v>927</v>
      </c>
    </row>
    <row r="39" spans="1:7" x14ac:dyDescent="0.3">
      <c r="A39" s="618" t="s">
        <v>1024</v>
      </c>
    </row>
  </sheetData>
  <mergeCells count="7">
    <mergeCell ref="A2:G2"/>
    <mergeCell ref="B4:C4"/>
    <mergeCell ref="D4:E4"/>
    <mergeCell ref="F4:G4"/>
    <mergeCell ref="B5:C5"/>
    <mergeCell ref="D5:E5"/>
    <mergeCell ref="F5:G5"/>
  </mergeCells>
  <phoneticPr fontId="13" type="noConversion"/>
  <pageMargins left="0.75000000000000011" right="0.75000000000000011" top="1" bottom="1" header="0.5" footer="0.5"/>
  <pageSetup paperSize="9" scale="62" orientation="landscape" horizontalDpi="4294967292" verticalDpi="4294967292"/>
  <extLst>
    <ext xmlns:mx="http://schemas.microsoft.com/office/mac/excel/2008/main" uri="{64002731-A6B0-56B0-2670-7721B7C09600}">
      <mx:PLV Mode="0" OnePage="0" WScale="10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B2:K49"/>
  <sheetViews>
    <sheetView zoomScale="70" zoomScaleNormal="70" zoomScalePageLayoutView="70" workbookViewId="0">
      <selection activeCell="L38" sqref="L38"/>
    </sheetView>
  </sheetViews>
  <sheetFormatPr baseColWidth="10" defaultColWidth="10.7265625" defaultRowHeight="17.399999999999999" x14ac:dyDescent="0.3"/>
  <cols>
    <col min="1" max="1" width="3.81640625" style="59" customWidth="1"/>
    <col min="2" max="2" width="5.81640625" style="59" customWidth="1"/>
    <col min="3" max="3" width="48.81640625" style="59" customWidth="1"/>
    <col min="4" max="11" width="13.453125" style="59" customWidth="1"/>
    <col min="12" max="16384" width="10.7265625" style="59"/>
  </cols>
  <sheetData>
    <row r="2" spans="2:11" ht="28.2" x14ac:dyDescent="0.5">
      <c r="B2" s="722" t="s">
        <v>614</v>
      </c>
      <c r="C2" s="722"/>
      <c r="D2" s="722"/>
      <c r="E2" s="722"/>
      <c r="F2" s="722"/>
      <c r="G2" s="722"/>
      <c r="H2" s="722"/>
      <c r="I2" s="722"/>
      <c r="J2" s="722"/>
      <c r="K2" s="722"/>
    </row>
    <row r="3" spans="2:11" ht="18" thickBot="1" x14ac:dyDescent="0.35">
      <c r="B3" s="94"/>
      <c r="C3" s="94"/>
      <c r="D3" s="94"/>
      <c r="E3" s="94"/>
      <c r="F3" s="94"/>
      <c r="G3" s="94"/>
      <c r="H3" s="94"/>
      <c r="I3" s="94"/>
      <c r="J3" s="94"/>
      <c r="K3" s="94"/>
    </row>
    <row r="4" spans="2:11" ht="16.05" customHeight="1" thickTop="1" x14ac:dyDescent="0.3">
      <c r="D4" s="59">
        <v>2001</v>
      </c>
      <c r="E4" s="59">
        <v>2002</v>
      </c>
      <c r="F4" s="59">
        <v>2003</v>
      </c>
      <c r="G4" s="59">
        <v>2004</v>
      </c>
      <c r="H4" s="59">
        <v>2005</v>
      </c>
      <c r="I4" s="59">
        <v>2006</v>
      </c>
      <c r="J4" s="59">
        <v>2007</v>
      </c>
      <c r="K4" s="59">
        <v>2008</v>
      </c>
    </row>
    <row r="5" spans="2:11" ht="22.05" customHeight="1" x14ac:dyDescent="0.4">
      <c r="C5" s="404" t="s">
        <v>273</v>
      </c>
      <c r="D5" s="97"/>
      <c r="E5" s="97"/>
      <c r="F5" s="97"/>
      <c r="G5" s="97"/>
      <c r="H5" s="97"/>
      <c r="I5" s="97"/>
      <c r="J5" s="97"/>
      <c r="K5" s="97"/>
    </row>
    <row r="6" spans="2:11" ht="16.05" customHeight="1" x14ac:dyDescent="0.3">
      <c r="B6" s="59" t="s">
        <v>85</v>
      </c>
      <c r="C6" s="59" t="s">
        <v>269</v>
      </c>
      <c r="D6" s="91">
        <f t="shared" ref="D6:K14" si="0">MAX(D18+D29,D40)</f>
        <v>10.327</v>
      </c>
      <c r="E6" s="91">
        <f t="shared" si="0"/>
        <v>15.74009</v>
      </c>
      <c r="F6" s="91">
        <f t="shared" si="0"/>
        <v>20.927820000000001</v>
      </c>
      <c r="G6" s="91">
        <f t="shared" si="0"/>
        <v>22.10284</v>
      </c>
      <c r="H6" s="91">
        <f t="shared" si="0"/>
        <v>29.89134</v>
      </c>
      <c r="I6" s="91">
        <f t="shared" si="0"/>
        <v>27.512560000000001</v>
      </c>
      <c r="J6" s="91">
        <f t="shared" si="0"/>
        <v>34.998530000000002</v>
      </c>
      <c r="K6" s="91">
        <f t="shared" si="0"/>
        <v>20.320080000000001</v>
      </c>
    </row>
    <row r="7" spans="2:11" ht="16.05" customHeight="1" x14ac:dyDescent="0.3">
      <c r="B7" s="59" t="s">
        <v>86</v>
      </c>
      <c r="C7" s="59" t="s">
        <v>267</v>
      </c>
      <c r="D7" s="91">
        <f t="shared" si="0"/>
        <v>195.35820000000001</v>
      </c>
      <c r="E7" s="91">
        <f t="shared" si="0"/>
        <v>184.12979999999999</v>
      </c>
      <c r="F7" s="91">
        <f t="shared" si="0"/>
        <v>250.8066</v>
      </c>
      <c r="G7" s="91">
        <f t="shared" si="0"/>
        <v>335.10199999999998</v>
      </c>
      <c r="H7" s="91">
        <f t="shared" si="0"/>
        <v>360.04700000000003</v>
      </c>
      <c r="I7" s="91">
        <f t="shared" si="0"/>
        <v>404.20959999999997</v>
      </c>
      <c r="J7" s="91">
        <f t="shared" si="0"/>
        <v>556.3519</v>
      </c>
      <c r="K7" s="91">
        <f t="shared" si="0"/>
        <v>312.20499999999998</v>
      </c>
    </row>
    <row r="8" spans="2:11" ht="16.05" customHeight="1" x14ac:dyDescent="0.3">
      <c r="B8" s="59" t="s">
        <v>87</v>
      </c>
      <c r="C8" s="59" t="s">
        <v>248</v>
      </c>
      <c r="D8" s="91">
        <f t="shared" si="0"/>
        <v>319.1125321322088</v>
      </c>
      <c r="E8" s="91">
        <f t="shared" si="0"/>
        <v>386.27653350894144</v>
      </c>
      <c r="F8" s="91">
        <f t="shared" si="0"/>
        <v>561.19219575928037</v>
      </c>
      <c r="G8" s="91">
        <f t="shared" si="0"/>
        <v>783.76226732537941</v>
      </c>
      <c r="H8" s="91">
        <f t="shared" si="0"/>
        <v>856.52873323756535</v>
      </c>
      <c r="I8" s="91">
        <f t="shared" si="0"/>
        <v>1195.0448486000823</v>
      </c>
      <c r="J8" s="91">
        <f t="shared" si="0"/>
        <v>1669.395622612913</v>
      </c>
      <c r="K8" s="91">
        <f t="shared" si="0"/>
        <v>1105.9018235294118</v>
      </c>
    </row>
    <row r="9" spans="2:11" ht="16.05" customHeight="1" x14ac:dyDescent="0.3">
      <c r="B9" s="59" t="s">
        <v>88</v>
      </c>
      <c r="C9" s="59" t="s">
        <v>264</v>
      </c>
      <c r="D9" s="91">
        <f t="shared" si="0"/>
        <v>63.36612079999999</v>
      </c>
      <c r="E9" s="91">
        <f t="shared" si="0"/>
        <v>41.147207510400001</v>
      </c>
      <c r="F9" s="91">
        <f t="shared" si="0"/>
        <v>49.137905500000002</v>
      </c>
      <c r="G9" s="91">
        <f t="shared" si="0"/>
        <v>55.750228086</v>
      </c>
      <c r="H9" s="91">
        <f t="shared" si="0"/>
        <v>77.143773699999997</v>
      </c>
      <c r="I9" s="91">
        <f t="shared" si="0"/>
        <v>92.563730000000007</v>
      </c>
      <c r="J9" s="91">
        <f t="shared" si="0"/>
        <v>148.88967459999998</v>
      </c>
      <c r="K9" s="91">
        <f t="shared" si="0"/>
        <v>89.210394399999998</v>
      </c>
    </row>
    <row r="10" spans="2:11" ht="16.05" customHeight="1" x14ac:dyDescent="0.3">
      <c r="B10" s="59" t="s">
        <v>89</v>
      </c>
      <c r="C10" s="59" t="s">
        <v>262</v>
      </c>
      <c r="D10" s="91">
        <f t="shared" si="0"/>
        <v>33.345703</v>
      </c>
      <c r="E10" s="91">
        <f t="shared" si="0"/>
        <v>38.4997773288</v>
      </c>
      <c r="F10" s="91">
        <f t="shared" si="0"/>
        <v>52.764002999999995</v>
      </c>
      <c r="G10" s="91">
        <f t="shared" si="0"/>
        <v>77.31932236099999</v>
      </c>
      <c r="H10" s="91">
        <f t="shared" si="0"/>
        <v>101.27488099999999</v>
      </c>
      <c r="I10" s="91">
        <f t="shared" si="0"/>
        <v>145.56730999999999</v>
      </c>
      <c r="J10" s="91">
        <f t="shared" si="0"/>
        <v>194.61704000000003</v>
      </c>
      <c r="K10" s="91">
        <f t="shared" si="0"/>
        <v>119.19584</v>
      </c>
    </row>
    <row r="11" spans="2:11" ht="16.05" customHeight="1" x14ac:dyDescent="0.3">
      <c r="B11" s="84" t="s">
        <v>90</v>
      </c>
      <c r="C11" s="59" t="s">
        <v>260</v>
      </c>
      <c r="D11" s="91">
        <f t="shared" si="0"/>
        <v>0.86508180000000001</v>
      </c>
      <c r="E11" s="91">
        <f t="shared" si="0"/>
        <v>2.2331829999999999</v>
      </c>
      <c r="F11" s="91">
        <f t="shared" si="0"/>
        <v>2.9680010000000001</v>
      </c>
      <c r="G11" s="91">
        <f t="shared" si="0"/>
        <v>9.0059199999999997</v>
      </c>
      <c r="H11" s="91">
        <f t="shared" si="0"/>
        <v>3.1130420000000001</v>
      </c>
      <c r="I11" s="91">
        <f t="shared" si="0"/>
        <v>5.6471540000000005</v>
      </c>
      <c r="J11" s="91">
        <f t="shared" si="0"/>
        <v>8.2636800000000008</v>
      </c>
      <c r="K11" s="91">
        <f t="shared" si="0"/>
        <v>5.3346330000000002</v>
      </c>
    </row>
    <row r="12" spans="2:11" ht="16.05" customHeight="1" x14ac:dyDescent="0.3">
      <c r="B12" s="84" t="s">
        <v>91</v>
      </c>
      <c r="C12" s="59" t="s">
        <v>258</v>
      </c>
      <c r="D12" s="91">
        <f t="shared" si="0"/>
        <v>28.424900000000001</v>
      </c>
      <c r="E12" s="91">
        <f t="shared" si="0"/>
        <v>27.458449772199998</v>
      </c>
      <c r="F12" s="91">
        <f t="shared" si="0"/>
        <v>36.728940000000001</v>
      </c>
      <c r="G12" s="91">
        <f t="shared" si="0"/>
        <v>41.718730000000001</v>
      </c>
      <c r="H12" s="91">
        <f t="shared" si="0"/>
        <v>65.196540999999996</v>
      </c>
      <c r="I12" s="91">
        <f t="shared" si="0"/>
        <v>80.240605000000002</v>
      </c>
      <c r="J12" s="91">
        <f t="shared" si="0"/>
        <v>122.41903199999999</v>
      </c>
      <c r="K12" s="91">
        <f t="shared" si="0"/>
        <v>62.859991000000001</v>
      </c>
    </row>
    <row r="13" spans="2:11" ht="16.05" customHeight="1" x14ac:dyDescent="0.3">
      <c r="B13" s="84" t="s">
        <v>92</v>
      </c>
      <c r="C13" s="59" t="s">
        <v>256</v>
      </c>
      <c r="D13" s="91">
        <f t="shared" si="0"/>
        <v>43.150790000000001</v>
      </c>
      <c r="E13" s="91">
        <f t="shared" si="0"/>
        <v>42.329629999999995</v>
      </c>
      <c r="F13" s="91">
        <f t="shared" si="0"/>
        <v>65.485019999999992</v>
      </c>
      <c r="G13" s="91">
        <f t="shared" si="0"/>
        <v>66.999169999999992</v>
      </c>
      <c r="H13" s="91">
        <f t="shared" si="0"/>
        <v>93.396550000000005</v>
      </c>
      <c r="I13" s="91">
        <f t="shared" si="0"/>
        <v>199.8759</v>
      </c>
      <c r="J13" s="91">
        <f t="shared" si="0"/>
        <v>203.99600000000001</v>
      </c>
      <c r="K13" s="91">
        <f t="shared" si="0"/>
        <v>110.20869999999999</v>
      </c>
    </row>
    <row r="14" spans="2:11" ht="16.05" customHeight="1" x14ac:dyDescent="0.3">
      <c r="B14" s="84" t="s">
        <v>93</v>
      </c>
      <c r="C14" s="59" t="s">
        <v>254</v>
      </c>
      <c r="D14" s="91">
        <f t="shared" si="0"/>
        <v>8.7809600000000003</v>
      </c>
      <c r="E14" s="91">
        <f t="shared" si="0"/>
        <v>7.519642117200001</v>
      </c>
      <c r="F14" s="91">
        <f t="shared" si="0"/>
        <v>14.861800000000001</v>
      </c>
      <c r="G14" s="91">
        <f t="shared" si="0"/>
        <v>17.688392621999999</v>
      </c>
      <c r="H14" s="91">
        <f t="shared" si="0"/>
        <v>27.139580000000002</v>
      </c>
      <c r="I14" s="91">
        <f t="shared" si="0"/>
        <v>32.699980000000004</v>
      </c>
      <c r="J14" s="91">
        <f t="shared" si="0"/>
        <v>34.524474999999995</v>
      </c>
      <c r="K14" s="91">
        <f t="shared" si="0"/>
        <v>28.296591000000003</v>
      </c>
    </row>
    <row r="15" spans="2:11" ht="16.05" customHeight="1" x14ac:dyDescent="0.3">
      <c r="B15" s="84" t="s">
        <v>94</v>
      </c>
      <c r="C15" s="96" t="s">
        <v>102</v>
      </c>
      <c r="D15" s="91">
        <f t="shared" ref="D15:K15" si="1">SUM(D6:D14)</f>
        <v>702.73128773220878</v>
      </c>
      <c r="E15" s="91">
        <f t="shared" si="1"/>
        <v>745.33431323754132</v>
      </c>
      <c r="F15" s="91">
        <f t="shared" si="1"/>
        <v>1054.8722852592803</v>
      </c>
      <c r="G15" s="91">
        <f t="shared" si="1"/>
        <v>1409.4488703943796</v>
      </c>
      <c r="H15" s="91">
        <f t="shared" si="1"/>
        <v>1613.7314409375654</v>
      </c>
      <c r="I15" s="91">
        <f t="shared" si="1"/>
        <v>2183.361687600082</v>
      </c>
      <c r="J15" s="91">
        <f t="shared" si="1"/>
        <v>2973.4559542129132</v>
      </c>
      <c r="K15" s="91">
        <f t="shared" si="1"/>
        <v>1853.533052929412</v>
      </c>
    </row>
    <row r="16" spans="2:11" ht="16.05" customHeight="1" x14ac:dyDescent="0.3"/>
    <row r="17" spans="2:11" ht="22.05" customHeight="1" x14ac:dyDescent="0.35">
      <c r="B17" s="84"/>
      <c r="C17" s="405" t="s">
        <v>701</v>
      </c>
      <c r="D17" s="97"/>
      <c r="E17" s="97"/>
      <c r="F17" s="97"/>
      <c r="G17" s="97"/>
      <c r="H17" s="97"/>
      <c r="I17" s="97"/>
      <c r="J17" s="97"/>
      <c r="K17" s="97"/>
    </row>
    <row r="18" spans="2:11" ht="16.05" customHeight="1" x14ac:dyDescent="0.3">
      <c r="B18" s="84" t="s">
        <v>95</v>
      </c>
      <c r="C18" s="59" t="s">
        <v>269</v>
      </c>
      <c r="D18" s="95"/>
      <c r="E18" s="95"/>
      <c r="F18" s="95"/>
      <c r="G18" s="95"/>
      <c r="H18" s="95"/>
      <c r="I18" s="95"/>
      <c r="J18" s="95"/>
      <c r="K18" s="95"/>
    </row>
    <row r="19" spans="2:11" ht="16.05" customHeight="1" x14ac:dyDescent="0.3">
      <c r="B19" s="84" t="s">
        <v>96</v>
      </c>
      <c r="C19" s="59" t="s">
        <v>267</v>
      </c>
      <c r="D19" s="95">
        <v>55.99</v>
      </c>
      <c r="E19" s="95">
        <v>68.099999999999994</v>
      </c>
      <c r="F19" s="95">
        <v>115.84</v>
      </c>
      <c r="G19" s="95">
        <v>158.18</v>
      </c>
      <c r="H19" s="95">
        <v>187.53</v>
      </c>
      <c r="I19" s="95">
        <v>211.52</v>
      </c>
      <c r="J19" s="95">
        <v>249.17</v>
      </c>
      <c r="K19" s="95">
        <v>171.19</v>
      </c>
    </row>
    <row r="20" spans="2:11" ht="16.05" customHeight="1" x14ac:dyDescent="0.3">
      <c r="B20" s="84" t="s">
        <v>97</v>
      </c>
      <c r="C20" s="59" t="s">
        <v>248</v>
      </c>
      <c r="D20" s="95">
        <v>288.61553213220878</v>
      </c>
      <c r="E20" s="95">
        <v>359.31338580154141</v>
      </c>
      <c r="F20" s="95">
        <v>520.97519575928038</v>
      </c>
      <c r="G20" s="95">
        <v>722.86347546537945</v>
      </c>
      <c r="H20" s="95">
        <v>768.0837332375653</v>
      </c>
      <c r="I20" s="95">
        <v>1065.6128486000823</v>
      </c>
      <c r="J20" s="95">
        <v>1485.254622612913</v>
      </c>
      <c r="K20" s="95">
        <v>1045.3088235294117</v>
      </c>
    </row>
    <row r="21" spans="2:11" ht="16.05" customHeight="1" x14ac:dyDescent="0.3">
      <c r="B21" s="84" t="s">
        <v>104</v>
      </c>
      <c r="C21" s="59" t="s">
        <v>264</v>
      </c>
      <c r="D21" s="95">
        <v>63.349120799999987</v>
      </c>
      <c r="E21" s="95">
        <v>40.813999600000002</v>
      </c>
      <c r="F21" s="95">
        <v>48.302905500000001</v>
      </c>
      <c r="G21" s="95">
        <v>55.334609999999998</v>
      </c>
      <c r="H21" s="95">
        <v>76.319773699999999</v>
      </c>
      <c r="I21" s="95">
        <v>89.728730000000013</v>
      </c>
      <c r="J21" s="95">
        <v>143.58167459999999</v>
      </c>
      <c r="K21" s="95">
        <v>78.645394400000001</v>
      </c>
    </row>
    <row r="22" spans="2:11" ht="16.05" customHeight="1" x14ac:dyDescent="0.3">
      <c r="B22" s="84" t="s">
        <v>134</v>
      </c>
      <c r="C22" s="59" t="s">
        <v>262</v>
      </c>
      <c r="D22" s="95">
        <v>29.126703000000003</v>
      </c>
      <c r="E22" s="95">
        <v>35.243296000000001</v>
      </c>
      <c r="F22" s="95">
        <v>48.562002999999997</v>
      </c>
      <c r="G22" s="95">
        <v>72.203335999999993</v>
      </c>
      <c r="H22" s="95">
        <v>95.772880999999998</v>
      </c>
      <c r="I22" s="95">
        <v>134.22931</v>
      </c>
      <c r="J22" s="95">
        <v>183.98904000000002</v>
      </c>
      <c r="K22" s="95">
        <v>114.19784</v>
      </c>
    </row>
    <row r="23" spans="2:11" ht="16.05" customHeight="1" x14ac:dyDescent="0.3">
      <c r="B23" s="84" t="s">
        <v>196</v>
      </c>
      <c r="C23" s="59" t="s">
        <v>260</v>
      </c>
      <c r="D23" s="95"/>
      <c r="E23" s="95"/>
      <c r="F23" s="95"/>
      <c r="G23" s="95"/>
      <c r="H23" s="95"/>
      <c r="I23" s="95"/>
      <c r="J23" s="95"/>
      <c r="K23" s="95"/>
    </row>
    <row r="24" spans="2:11" ht="16.05" customHeight="1" x14ac:dyDescent="0.3">
      <c r="B24" s="84" t="s">
        <v>195</v>
      </c>
      <c r="C24" s="59" t="s">
        <v>258</v>
      </c>
      <c r="D24" s="95">
        <v>14.0389</v>
      </c>
      <c r="E24" s="95">
        <v>12.537282999999999</v>
      </c>
      <c r="F24" s="95">
        <v>0</v>
      </c>
      <c r="G24" s="95">
        <v>11.639413000000001</v>
      </c>
      <c r="H24" s="95">
        <v>20.001541</v>
      </c>
      <c r="I24" s="95">
        <v>24.204605000000001</v>
      </c>
      <c r="J24" s="95">
        <v>34.744031999999997</v>
      </c>
      <c r="K24" s="95">
        <v>25.925991000000003</v>
      </c>
    </row>
    <row r="25" spans="2:11" ht="16.05" customHeight="1" x14ac:dyDescent="0.3">
      <c r="B25" s="84" t="s">
        <v>193</v>
      </c>
      <c r="C25" s="59" t="s">
        <v>256</v>
      </c>
      <c r="D25" s="95"/>
      <c r="E25" s="95"/>
      <c r="F25" s="95"/>
      <c r="G25" s="95"/>
      <c r="H25" s="95"/>
      <c r="I25" s="95"/>
      <c r="J25" s="95"/>
      <c r="K25" s="95"/>
    </row>
    <row r="26" spans="2:11" ht="16.05" customHeight="1" x14ac:dyDescent="0.3">
      <c r="B26" s="84" t="s">
        <v>190</v>
      </c>
      <c r="C26" s="59" t="s">
        <v>254</v>
      </c>
      <c r="D26" s="95">
        <v>8.721960000000001</v>
      </c>
      <c r="E26" s="95">
        <v>7.4887200000000007</v>
      </c>
      <c r="F26" s="95">
        <v>14.8428</v>
      </c>
      <c r="G26" s="95">
        <v>17.65296</v>
      </c>
      <c r="H26" s="95">
        <v>27.074580000000001</v>
      </c>
      <c r="I26" s="95">
        <v>32.459980000000002</v>
      </c>
      <c r="J26" s="95">
        <v>34.271474999999995</v>
      </c>
      <c r="K26" s="95">
        <v>28.113591000000003</v>
      </c>
    </row>
    <row r="27" spans="2:11" ht="16.05" customHeight="1" x14ac:dyDescent="0.3"/>
    <row r="28" spans="2:11" s="61" customFormat="1" ht="22.05" customHeight="1" x14ac:dyDescent="0.35">
      <c r="B28" s="59"/>
      <c r="C28" s="405" t="s">
        <v>272</v>
      </c>
      <c r="D28" s="98"/>
      <c r="E28" s="98"/>
      <c r="F28" s="98"/>
      <c r="G28" s="98"/>
      <c r="H28" s="98"/>
      <c r="I28" s="98"/>
      <c r="J28" s="98"/>
      <c r="K28" s="98"/>
    </row>
    <row r="29" spans="2:11" ht="16.05" customHeight="1" x14ac:dyDescent="0.3">
      <c r="B29" s="84" t="s">
        <v>188</v>
      </c>
      <c r="C29" s="59" t="s">
        <v>269</v>
      </c>
      <c r="D29" s="91">
        <v>1.137</v>
      </c>
      <c r="E29" s="91">
        <v>1.1527798894000001</v>
      </c>
      <c r="F29" s="91">
        <v>1.786</v>
      </c>
      <c r="G29" s="91">
        <v>1.7285956689999999</v>
      </c>
      <c r="H29" s="91">
        <v>2.2639999999999998</v>
      </c>
      <c r="I29" s="91">
        <v>0.93799999999999994</v>
      </c>
      <c r="J29" s="91">
        <v>1.1779999999999999</v>
      </c>
      <c r="K29" s="91">
        <v>0.55600000000000005</v>
      </c>
    </row>
    <row r="30" spans="2:11" ht="16.05" customHeight="1" x14ac:dyDescent="0.3">
      <c r="B30" s="87" t="s">
        <v>186</v>
      </c>
      <c r="C30" s="59" t="s">
        <v>267</v>
      </c>
      <c r="D30" s="91">
        <v>118.407</v>
      </c>
      <c r="E30" s="91">
        <v>89.396770358399991</v>
      </c>
      <c r="F30" s="91">
        <v>107.283</v>
      </c>
      <c r="G30" s="91">
        <v>152.33993322800001</v>
      </c>
      <c r="H30" s="91">
        <v>172.517</v>
      </c>
      <c r="I30" s="91">
        <v>188.82599999999999</v>
      </c>
      <c r="J30" s="91">
        <v>252.39699999999999</v>
      </c>
      <c r="K30" s="91">
        <v>141.01499999999999</v>
      </c>
    </row>
    <row r="31" spans="2:11" ht="16.05" customHeight="1" x14ac:dyDescent="0.3">
      <c r="B31" s="87" t="s">
        <v>184</v>
      </c>
      <c r="C31" s="59" t="s">
        <v>248</v>
      </c>
      <c r="D31" s="91">
        <v>30.497</v>
      </c>
      <c r="E31" s="91">
        <v>26.963147707400001</v>
      </c>
      <c r="F31" s="91">
        <v>40.216999999999999</v>
      </c>
      <c r="G31" s="91">
        <v>60.898791859999996</v>
      </c>
      <c r="H31" s="91">
        <v>88.444999999999993</v>
      </c>
      <c r="I31" s="91">
        <v>129.43199999999999</v>
      </c>
      <c r="J31" s="91">
        <v>184.14099999999999</v>
      </c>
      <c r="K31" s="91">
        <v>60.593000000000004</v>
      </c>
    </row>
    <row r="32" spans="2:11" ht="16.05" customHeight="1" x14ac:dyDescent="0.3">
      <c r="B32" s="87" t="s">
        <v>182</v>
      </c>
      <c r="C32" s="59" t="s">
        <v>264</v>
      </c>
      <c r="D32" s="91">
        <v>1.7000000000000001E-2</v>
      </c>
      <c r="E32" s="91">
        <v>0.33320791040000003</v>
      </c>
      <c r="F32" s="91">
        <v>0.83499999999999996</v>
      </c>
      <c r="G32" s="91">
        <v>0.415618086</v>
      </c>
      <c r="H32" s="91">
        <v>0.82399999999999995</v>
      </c>
      <c r="I32" s="91">
        <v>2.835</v>
      </c>
      <c r="J32" s="91">
        <v>5.3079999999999998</v>
      </c>
      <c r="K32" s="91">
        <v>10.565</v>
      </c>
    </row>
    <row r="33" spans="2:11" ht="16.05" customHeight="1" x14ac:dyDescent="0.3">
      <c r="B33" s="87" t="s">
        <v>215</v>
      </c>
      <c r="C33" s="59" t="s">
        <v>262</v>
      </c>
      <c r="D33" s="91">
        <v>4.2190000000000003</v>
      </c>
      <c r="E33" s="91">
        <v>3.2564813288000001</v>
      </c>
      <c r="F33" s="91">
        <v>4.202</v>
      </c>
      <c r="G33" s="91">
        <v>5.115986361</v>
      </c>
      <c r="H33" s="91">
        <v>5.5019999999999998</v>
      </c>
      <c r="I33" s="91">
        <v>11.337999999999999</v>
      </c>
      <c r="J33" s="91">
        <v>10.628</v>
      </c>
      <c r="K33" s="91">
        <v>4.9980000000000002</v>
      </c>
    </row>
    <row r="34" spans="2:11" ht="16.05" customHeight="1" x14ac:dyDescent="0.3">
      <c r="B34" s="59" t="s">
        <v>217</v>
      </c>
      <c r="C34" s="59" t="s">
        <v>260</v>
      </c>
      <c r="D34" s="91">
        <v>0</v>
      </c>
      <c r="E34" s="91">
        <v>-1.0356259999999994E-4</v>
      </c>
      <c r="F34" s="91">
        <v>0</v>
      </c>
      <c r="G34" s="91">
        <v>0</v>
      </c>
      <c r="H34" s="91">
        <v>3.5999999999999997E-2</v>
      </c>
      <c r="I34" s="91">
        <v>0.54100000000000004</v>
      </c>
      <c r="J34" s="91">
        <v>1.1419999999999999</v>
      </c>
      <c r="K34" s="91">
        <v>0.34499999999999997</v>
      </c>
    </row>
    <row r="35" spans="2:11" ht="16.05" customHeight="1" x14ac:dyDescent="0.3">
      <c r="B35" s="87" t="s">
        <v>214</v>
      </c>
      <c r="C35" s="59" t="s">
        <v>258</v>
      </c>
      <c r="D35" s="91">
        <v>14.385999999999999</v>
      </c>
      <c r="E35" s="91">
        <v>14.921166772199999</v>
      </c>
      <c r="F35" s="91">
        <v>23.306999999999999</v>
      </c>
      <c r="G35" s="91">
        <v>28.669084244999997</v>
      </c>
      <c r="H35" s="91">
        <v>45.195</v>
      </c>
      <c r="I35" s="91">
        <v>56.036000000000001</v>
      </c>
      <c r="J35" s="91">
        <v>87.674999999999997</v>
      </c>
      <c r="K35" s="91">
        <v>36.933999999999997</v>
      </c>
    </row>
    <row r="36" spans="2:11" ht="16.05" customHeight="1" x14ac:dyDescent="0.3">
      <c r="B36" s="87" t="s">
        <v>212</v>
      </c>
      <c r="C36" s="59" t="s">
        <v>256</v>
      </c>
      <c r="D36" s="91">
        <v>0.85899999999999999</v>
      </c>
      <c r="E36" s="91">
        <v>0.80579640820000009</v>
      </c>
      <c r="F36" s="91">
        <v>1.59</v>
      </c>
      <c r="G36" s="91">
        <v>3.0661303719999999</v>
      </c>
      <c r="H36" s="91">
        <v>4.7910000000000004</v>
      </c>
      <c r="I36" s="91">
        <v>4.335</v>
      </c>
      <c r="J36" s="91">
        <v>4.6630000000000003</v>
      </c>
      <c r="K36" s="91">
        <v>3.2970000000000002</v>
      </c>
    </row>
    <row r="37" spans="2:11" ht="16.05" customHeight="1" x14ac:dyDescent="0.3">
      <c r="B37" s="59" t="s">
        <v>211</v>
      </c>
      <c r="C37" s="59" t="s">
        <v>254</v>
      </c>
      <c r="D37" s="91">
        <v>5.8999999999999997E-2</v>
      </c>
      <c r="E37" s="91">
        <v>3.0922117199999998E-2</v>
      </c>
      <c r="F37" s="91">
        <v>1.9E-2</v>
      </c>
      <c r="G37" s="91">
        <v>3.5432622000000004E-2</v>
      </c>
      <c r="H37" s="91">
        <v>6.5000000000000002E-2</v>
      </c>
      <c r="I37" s="91">
        <v>0.24</v>
      </c>
      <c r="J37" s="91">
        <v>0.253</v>
      </c>
      <c r="K37" s="91">
        <v>0.183</v>
      </c>
    </row>
    <row r="38" spans="2:11" ht="16.05" customHeight="1" x14ac:dyDescent="0.3"/>
    <row r="39" spans="2:11" ht="22.05" customHeight="1" x14ac:dyDescent="0.35">
      <c r="C39" s="405" t="s">
        <v>271</v>
      </c>
      <c r="D39" s="97"/>
      <c r="E39" s="97"/>
      <c r="F39" s="97"/>
      <c r="G39" s="97"/>
      <c r="H39" s="97"/>
      <c r="I39" s="97"/>
      <c r="J39" s="97"/>
      <c r="K39" s="97"/>
    </row>
    <row r="40" spans="2:11" ht="16.05" customHeight="1" x14ac:dyDescent="0.3">
      <c r="B40" s="59" t="s">
        <v>270</v>
      </c>
      <c r="C40" s="59" t="s">
        <v>269</v>
      </c>
      <c r="D40" s="91">
        <v>10.327</v>
      </c>
      <c r="E40" s="91">
        <v>15.74009</v>
      </c>
      <c r="F40" s="91">
        <v>20.927820000000001</v>
      </c>
      <c r="G40" s="91">
        <v>22.10284</v>
      </c>
      <c r="H40" s="91">
        <v>29.89134</v>
      </c>
      <c r="I40" s="91">
        <v>27.512560000000001</v>
      </c>
      <c r="J40" s="91">
        <v>34.998530000000002</v>
      </c>
      <c r="K40" s="91">
        <v>20.320080000000001</v>
      </c>
    </row>
    <row r="41" spans="2:11" ht="16.05" customHeight="1" x14ac:dyDescent="0.3">
      <c r="B41" s="59" t="s">
        <v>268</v>
      </c>
      <c r="C41" s="59" t="s">
        <v>267</v>
      </c>
      <c r="D41" s="91">
        <v>195.35820000000001</v>
      </c>
      <c r="E41" s="91">
        <v>184.12979999999999</v>
      </c>
      <c r="F41" s="91">
        <v>250.8066</v>
      </c>
      <c r="G41" s="91">
        <v>335.10199999999998</v>
      </c>
      <c r="H41" s="91">
        <v>351.74180000000001</v>
      </c>
      <c r="I41" s="91">
        <v>404.20959999999997</v>
      </c>
      <c r="J41" s="91">
        <v>556.3519</v>
      </c>
      <c r="K41" s="91">
        <v>302.67879999999997</v>
      </c>
    </row>
    <row r="42" spans="2:11" ht="16.05" customHeight="1" x14ac:dyDescent="0.3">
      <c r="B42" s="59" t="s">
        <v>266</v>
      </c>
      <c r="C42" s="59" t="s">
        <v>248</v>
      </c>
      <c r="D42" s="91">
        <v>116.65349999999999</v>
      </c>
      <c r="E42" s="91">
        <v>134.34379999999999</v>
      </c>
      <c r="F42" s="91">
        <v>214.68700000000001</v>
      </c>
      <c r="G42" s="91">
        <v>307.10490000000004</v>
      </c>
      <c r="H42" s="91">
        <v>393.65249999999997</v>
      </c>
      <c r="I42" s="91">
        <v>635.74559999999997</v>
      </c>
      <c r="J42" s="91">
        <v>871.52240000000006</v>
      </c>
      <c r="K42" s="91">
        <v>506.37359999999995</v>
      </c>
    </row>
    <row r="43" spans="2:11" ht="16.05" customHeight="1" x14ac:dyDescent="0.3">
      <c r="B43" s="59" t="s">
        <v>265</v>
      </c>
      <c r="C43" s="59" t="s">
        <v>264</v>
      </c>
      <c r="D43" s="91">
        <v>8.1320040000000002</v>
      </c>
      <c r="E43" s="91">
        <v>8.9925949999999997</v>
      </c>
      <c r="F43" s="91">
        <v>17.196759999999998</v>
      </c>
      <c r="G43" s="91">
        <v>31.618939999999998</v>
      </c>
      <c r="H43" s="91">
        <v>37.383960000000002</v>
      </c>
      <c r="I43" s="91">
        <v>40.523669999999996</v>
      </c>
      <c r="J43" s="91">
        <v>59.14199</v>
      </c>
      <c r="K43" s="91">
        <v>53.138949999999994</v>
      </c>
    </row>
    <row r="44" spans="2:11" ht="16.05" customHeight="1" x14ac:dyDescent="0.3">
      <c r="B44" s="59" t="s">
        <v>263</v>
      </c>
      <c r="C44" s="59" t="s">
        <v>262</v>
      </c>
      <c r="D44" s="91">
        <v>12.325559999999999</v>
      </c>
      <c r="E44" s="91">
        <v>14.469719999999999</v>
      </c>
      <c r="F44" s="91">
        <v>17.28162</v>
      </c>
      <c r="G44" s="91">
        <v>23.062470000000001</v>
      </c>
      <c r="H44" s="91">
        <v>32.754989999999999</v>
      </c>
      <c r="I44" s="91">
        <v>54.428660000000001</v>
      </c>
      <c r="J44" s="91">
        <v>68.16507</v>
      </c>
      <c r="K44" s="91">
        <v>49.942550000000004</v>
      </c>
    </row>
    <row r="45" spans="2:11" ht="16.05" customHeight="1" x14ac:dyDescent="0.3">
      <c r="B45" s="59" t="s">
        <v>261</v>
      </c>
      <c r="C45" s="59" t="s">
        <v>260</v>
      </c>
      <c r="D45" s="91">
        <v>0.86508180000000001</v>
      </c>
      <c r="E45" s="91">
        <v>2.2331829999999999</v>
      </c>
      <c r="F45" s="91">
        <v>2.9680010000000001</v>
      </c>
      <c r="G45" s="91">
        <v>9.0059199999999997</v>
      </c>
      <c r="H45" s="91">
        <v>3.1130420000000001</v>
      </c>
      <c r="I45" s="91">
        <v>5.6471540000000005</v>
      </c>
      <c r="J45" s="91">
        <v>8.2636800000000008</v>
      </c>
      <c r="K45" s="91">
        <v>5.3346330000000002</v>
      </c>
    </row>
    <row r="46" spans="2:11" ht="16.05" customHeight="1" x14ac:dyDescent="0.3">
      <c r="B46" s="59" t="s">
        <v>259</v>
      </c>
      <c r="C46" s="59" t="s">
        <v>258</v>
      </c>
      <c r="D46" s="91">
        <v>23.570900000000002</v>
      </c>
      <c r="E46" s="91">
        <v>25.838840000000001</v>
      </c>
      <c r="F46" s="91">
        <v>36.728940000000001</v>
      </c>
      <c r="G46" s="91">
        <v>41.718730000000001</v>
      </c>
      <c r="H46" s="91">
        <v>62.513390000000001</v>
      </c>
      <c r="I46" s="91">
        <v>78.198170000000005</v>
      </c>
      <c r="J46" s="91">
        <v>120.48339999999999</v>
      </c>
      <c r="K46" s="91">
        <v>56.04607</v>
      </c>
    </row>
    <row r="47" spans="2:11" ht="16.05" customHeight="1" x14ac:dyDescent="0.3">
      <c r="B47" s="59" t="s">
        <v>257</v>
      </c>
      <c r="C47" s="59" t="s">
        <v>256</v>
      </c>
      <c r="D47" s="91">
        <v>43.150790000000001</v>
      </c>
      <c r="E47" s="91">
        <v>42.329629999999995</v>
      </c>
      <c r="F47" s="91">
        <v>65.485019999999992</v>
      </c>
      <c r="G47" s="91">
        <v>66.999169999999992</v>
      </c>
      <c r="H47" s="91">
        <v>93.396550000000005</v>
      </c>
      <c r="I47" s="91">
        <v>199.8759</v>
      </c>
      <c r="J47" s="91">
        <v>203.99600000000001</v>
      </c>
      <c r="K47" s="91">
        <v>110.20869999999999</v>
      </c>
    </row>
    <row r="48" spans="2:11" ht="16.05" customHeight="1" thickBot="1" x14ac:dyDescent="0.35">
      <c r="B48" s="94" t="s">
        <v>255</v>
      </c>
      <c r="C48" s="94" t="s">
        <v>254</v>
      </c>
      <c r="D48" s="93">
        <v>3.6181199999999998</v>
      </c>
      <c r="E48" s="93">
        <v>5.9729809999999999</v>
      </c>
      <c r="F48" s="93">
        <v>2.8439570000000001</v>
      </c>
      <c r="G48" s="93">
        <v>1.629372</v>
      </c>
      <c r="H48" s="93">
        <v>4.5410519999999996</v>
      </c>
      <c r="I48" s="93">
        <v>5.8597679999999999</v>
      </c>
      <c r="J48" s="93">
        <v>12.29867</v>
      </c>
      <c r="K48" s="93">
        <v>7.5842489999999998</v>
      </c>
    </row>
    <row r="49" ht="18" thickTop="1" x14ac:dyDescent="0.3"/>
  </sheetData>
  <mergeCells count="1">
    <mergeCell ref="B2:K2"/>
  </mergeCells>
  <phoneticPr fontId="13" type="noConversion"/>
  <pageMargins left="0.75000000000000011" right="0.75000000000000011" top="1" bottom="1" header="0.5" footer="0.5"/>
  <pageSetup paperSize="9" scale="55" orientation="landscape" horizontalDpi="4294967292" verticalDpi="4294967292"/>
  <extLst>
    <ext xmlns:mx="http://schemas.microsoft.com/office/mac/excel/2008/main" uri="{64002731-A6B0-56B0-2670-7721B7C09600}">
      <mx:PLV Mode="0" OnePage="0" WScale="100"/>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B2:K38"/>
  <sheetViews>
    <sheetView zoomScale="70" zoomScaleNormal="70" zoomScalePageLayoutView="70" workbookViewId="0">
      <selection activeCell="B2" sqref="B2:K2"/>
    </sheetView>
  </sheetViews>
  <sheetFormatPr baseColWidth="10" defaultColWidth="10.7265625" defaultRowHeight="17.399999999999999" x14ac:dyDescent="0.3"/>
  <cols>
    <col min="1" max="1" width="4.453125" style="59" customWidth="1"/>
    <col min="2" max="2" width="5.81640625" style="59" customWidth="1"/>
    <col min="3" max="3" width="45" style="59" customWidth="1"/>
    <col min="4" max="11" width="12.26953125" style="59" customWidth="1"/>
    <col min="12" max="16384" width="10.7265625" style="59"/>
  </cols>
  <sheetData>
    <row r="2" spans="2:11" ht="24.6" x14ac:dyDescent="0.4">
      <c r="B2" s="723" t="s">
        <v>615</v>
      </c>
      <c r="C2" s="723"/>
      <c r="D2" s="723"/>
      <c r="E2" s="723"/>
      <c r="F2" s="723"/>
      <c r="G2" s="723"/>
      <c r="H2" s="723"/>
      <c r="I2" s="723"/>
      <c r="J2" s="723"/>
      <c r="K2" s="723"/>
    </row>
    <row r="3" spans="2:11" ht="18" thickBot="1" x14ac:dyDescent="0.35">
      <c r="B3" s="94"/>
      <c r="C3" s="94"/>
      <c r="D3" s="94"/>
      <c r="E3" s="94"/>
      <c r="F3" s="94"/>
      <c r="G3" s="94"/>
      <c r="H3" s="94"/>
      <c r="I3" s="94"/>
      <c r="J3" s="94"/>
      <c r="K3" s="94"/>
    </row>
    <row r="4" spans="2:11" ht="16.05" customHeight="1" thickTop="1" x14ac:dyDescent="0.3">
      <c r="D4" s="59">
        <v>2001</v>
      </c>
      <c r="E4" s="59">
        <v>2002</v>
      </c>
      <c r="F4" s="59">
        <v>2003</v>
      </c>
      <c r="G4" s="59">
        <v>2004</v>
      </c>
      <c r="H4" s="59">
        <v>2005</v>
      </c>
      <c r="I4" s="59">
        <v>2006</v>
      </c>
      <c r="J4" s="59">
        <v>2007</v>
      </c>
      <c r="K4" s="59">
        <v>2008</v>
      </c>
    </row>
    <row r="5" spans="2:11" ht="22.05" customHeight="1" x14ac:dyDescent="0.4">
      <c r="C5" s="404" t="s">
        <v>276</v>
      </c>
      <c r="D5" s="97"/>
      <c r="E5" s="97"/>
      <c r="F5" s="97"/>
      <c r="G5" s="97"/>
      <c r="H5" s="97"/>
      <c r="I5" s="97"/>
      <c r="J5" s="97"/>
      <c r="K5" s="97"/>
    </row>
    <row r="6" spans="2:11" ht="16.05" customHeight="1" x14ac:dyDescent="0.3">
      <c r="B6" s="59" t="s">
        <v>85</v>
      </c>
      <c r="C6" s="59" t="s">
        <v>269</v>
      </c>
      <c r="D6" s="91">
        <f t="shared" ref="D6:K14" si="0">MAX(D18,D29)</f>
        <v>4.0570659999999998</v>
      </c>
      <c r="E6" s="91">
        <f t="shared" si="0"/>
        <v>5.4436809999999998</v>
      </c>
      <c r="F6" s="91">
        <f t="shared" si="0"/>
        <v>5.9321629999999992</v>
      </c>
      <c r="G6" s="91">
        <f t="shared" si="0"/>
        <v>10.20059</v>
      </c>
      <c r="H6" s="91">
        <f t="shared" si="0"/>
        <v>9.7606970000000004</v>
      </c>
      <c r="I6" s="91">
        <f t="shared" si="0"/>
        <v>8.1010799999999996</v>
      </c>
      <c r="J6" s="91">
        <f t="shared" si="0"/>
        <v>16.759840000000001</v>
      </c>
      <c r="K6" s="91">
        <f t="shared" si="0"/>
        <v>9.6083219999999994</v>
      </c>
    </row>
    <row r="7" spans="2:11" ht="16.05" customHeight="1" x14ac:dyDescent="0.3">
      <c r="B7" s="59" t="s">
        <v>86</v>
      </c>
      <c r="C7" s="59" t="s">
        <v>267</v>
      </c>
      <c r="D7" s="91">
        <f t="shared" si="0"/>
        <v>24.050999999999998</v>
      </c>
      <c r="E7" s="91">
        <f t="shared" si="0"/>
        <v>22.998000000000001</v>
      </c>
      <c r="F7" s="91">
        <f t="shared" si="0"/>
        <v>26.869</v>
      </c>
      <c r="G7" s="91">
        <f t="shared" si="0"/>
        <v>28.1</v>
      </c>
      <c r="H7" s="91">
        <f t="shared" si="0"/>
        <v>33.426519999999996</v>
      </c>
      <c r="I7" s="91">
        <f t="shared" si="0"/>
        <v>38.319879999999998</v>
      </c>
      <c r="J7" s="91">
        <f t="shared" si="0"/>
        <v>44.177999999999997</v>
      </c>
      <c r="K7" s="91">
        <f t="shared" si="0"/>
        <v>53.195999999999998</v>
      </c>
    </row>
    <row r="8" spans="2:11" ht="16.05" customHeight="1" x14ac:dyDescent="0.3">
      <c r="B8" s="59" t="s">
        <v>87</v>
      </c>
      <c r="C8" s="59" t="s">
        <v>248</v>
      </c>
      <c r="D8" s="91">
        <f t="shared" si="0"/>
        <v>389.262</v>
      </c>
      <c r="E8" s="91">
        <f t="shared" si="0"/>
        <v>451.83199999999999</v>
      </c>
      <c r="F8" s="91">
        <f t="shared" si="0"/>
        <v>529.0553000000001</v>
      </c>
      <c r="G8" s="91">
        <f t="shared" si="0"/>
        <v>672.94169999999997</v>
      </c>
      <c r="H8" s="91">
        <f t="shared" si="0"/>
        <v>735.46359999999993</v>
      </c>
      <c r="I8" s="91">
        <f t="shared" si="0"/>
        <v>946.70280000000002</v>
      </c>
      <c r="J8" s="91">
        <f t="shared" si="0"/>
        <v>1177.133</v>
      </c>
      <c r="K8" s="91">
        <f t="shared" si="0"/>
        <v>1135.3140000000001</v>
      </c>
    </row>
    <row r="9" spans="2:11" ht="16.05" customHeight="1" x14ac:dyDescent="0.3">
      <c r="B9" s="59" t="s">
        <v>88</v>
      </c>
      <c r="C9" s="59" t="s">
        <v>264</v>
      </c>
      <c r="D9" s="91">
        <f t="shared" si="0"/>
        <v>41.227359999999997</v>
      </c>
      <c r="E9" s="91">
        <f t="shared" si="0"/>
        <v>61.193160000000006</v>
      </c>
      <c r="F9" s="91">
        <f t="shared" si="0"/>
        <v>108.84689999999999</v>
      </c>
      <c r="G9" s="91">
        <f t="shared" si="0"/>
        <v>134.2276</v>
      </c>
      <c r="H9" s="91">
        <f t="shared" si="0"/>
        <v>161.82499999999999</v>
      </c>
      <c r="I9" s="91">
        <f t="shared" si="0"/>
        <v>207.6378</v>
      </c>
      <c r="J9" s="91">
        <f t="shared" si="0"/>
        <v>292.28050000000002</v>
      </c>
      <c r="K9" s="91">
        <f t="shared" si="0"/>
        <v>224.78210000000001</v>
      </c>
    </row>
    <row r="10" spans="2:11" ht="16.05" customHeight="1" x14ac:dyDescent="0.3">
      <c r="B10" s="59" t="s">
        <v>89</v>
      </c>
      <c r="C10" s="59" t="s">
        <v>262</v>
      </c>
      <c r="D10" s="91">
        <f t="shared" si="0"/>
        <v>17.319970000000001</v>
      </c>
      <c r="E10" s="91">
        <f t="shared" si="0"/>
        <v>14.06212</v>
      </c>
      <c r="F10" s="91">
        <f t="shared" si="0"/>
        <v>19.827310000000001</v>
      </c>
      <c r="G10" s="91">
        <f t="shared" si="0"/>
        <v>21.609150000000003</v>
      </c>
      <c r="H10" s="91">
        <f t="shared" si="0"/>
        <v>22.277290000000001</v>
      </c>
      <c r="I10" s="91">
        <f t="shared" si="0"/>
        <v>27.13796</v>
      </c>
      <c r="J10" s="91">
        <f t="shared" si="0"/>
        <v>32.450519999999997</v>
      </c>
      <c r="K10" s="91">
        <f t="shared" si="0"/>
        <v>26.837720000000001</v>
      </c>
    </row>
    <row r="11" spans="2:11" ht="16.05" customHeight="1" x14ac:dyDescent="0.3">
      <c r="B11" s="84" t="s">
        <v>90</v>
      </c>
      <c r="C11" s="59" t="s">
        <v>260</v>
      </c>
      <c r="D11" s="91">
        <f t="shared" si="0"/>
        <v>1.4102460000000001</v>
      </c>
      <c r="E11" s="91">
        <f t="shared" si="0"/>
        <v>0.96216999999999997</v>
      </c>
      <c r="F11" s="91">
        <f t="shared" si="0"/>
        <v>1.683225</v>
      </c>
      <c r="G11" s="91">
        <f t="shared" si="0"/>
        <v>4.0688240000000002</v>
      </c>
      <c r="H11" s="91">
        <f t="shared" si="0"/>
        <v>1.679273</v>
      </c>
      <c r="I11" s="91">
        <f t="shared" si="0"/>
        <v>2.6167860000000003</v>
      </c>
      <c r="J11" s="91">
        <f t="shared" si="0"/>
        <v>4.0523210000000001</v>
      </c>
      <c r="K11" s="91">
        <f t="shared" si="0"/>
        <v>3.6764969999999999</v>
      </c>
    </row>
    <row r="12" spans="2:11" ht="16.05" customHeight="1" x14ac:dyDescent="0.3">
      <c r="B12" s="84" t="s">
        <v>91</v>
      </c>
      <c r="C12" s="59" t="s">
        <v>258</v>
      </c>
      <c r="D12" s="91">
        <f t="shared" si="0"/>
        <v>81.033000000000001</v>
      </c>
      <c r="E12" s="91">
        <f t="shared" si="0"/>
        <v>91.051000000000002</v>
      </c>
      <c r="F12" s="91">
        <f t="shared" si="0"/>
        <v>101.54</v>
      </c>
      <c r="G12" s="91">
        <f t="shared" si="0"/>
        <v>103.738</v>
      </c>
      <c r="H12" s="91">
        <f t="shared" si="0"/>
        <v>102.82</v>
      </c>
      <c r="I12" s="91">
        <f t="shared" si="0"/>
        <v>112.233</v>
      </c>
      <c r="J12" s="91">
        <f t="shared" si="0"/>
        <v>128.28700000000001</v>
      </c>
      <c r="K12" s="91">
        <f t="shared" si="0"/>
        <v>118.3</v>
      </c>
    </row>
    <row r="13" spans="2:11" ht="16.05" customHeight="1" x14ac:dyDescent="0.3">
      <c r="B13" s="84" t="s">
        <v>92</v>
      </c>
      <c r="C13" s="59" t="s">
        <v>256</v>
      </c>
      <c r="D13" s="91">
        <f t="shared" si="0"/>
        <v>9.9580000000000002</v>
      </c>
      <c r="E13" s="91">
        <f t="shared" si="0"/>
        <v>9.8170000000000002</v>
      </c>
      <c r="F13" s="91">
        <f t="shared" si="0"/>
        <v>21.052</v>
      </c>
      <c r="G13" s="91">
        <f t="shared" si="0"/>
        <v>23.385999999999999</v>
      </c>
      <c r="H13" s="91">
        <f t="shared" si="0"/>
        <v>24.392469999999999</v>
      </c>
      <c r="I13" s="91">
        <f t="shared" si="0"/>
        <v>39.273050000000005</v>
      </c>
      <c r="J13" s="91">
        <f t="shared" si="0"/>
        <v>32.032419999999995</v>
      </c>
      <c r="K13" s="91">
        <f t="shared" si="0"/>
        <v>28.961369999999999</v>
      </c>
    </row>
    <row r="14" spans="2:11" ht="16.05" customHeight="1" x14ac:dyDescent="0.3">
      <c r="B14" s="84" t="s">
        <v>93</v>
      </c>
      <c r="C14" s="59" t="s">
        <v>254</v>
      </c>
      <c r="D14" s="91">
        <f t="shared" si="0"/>
        <v>0.38647789999999999</v>
      </c>
      <c r="E14" s="91">
        <f t="shared" si="0"/>
        <v>0.55451229999999996</v>
      </c>
      <c r="F14" s="91">
        <f t="shared" si="0"/>
        <v>0.8507134999999999</v>
      </c>
      <c r="G14" s="91">
        <f t="shared" si="0"/>
        <v>1.7000899999999999</v>
      </c>
      <c r="H14" s="91">
        <f t="shared" si="0"/>
        <v>5.8786909999999999</v>
      </c>
      <c r="I14" s="91">
        <f t="shared" si="0"/>
        <v>7.1748440000000002</v>
      </c>
      <c r="J14" s="91">
        <f t="shared" si="0"/>
        <v>13.052040000000002</v>
      </c>
      <c r="K14" s="91">
        <f t="shared" si="0"/>
        <v>13.65779</v>
      </c>
    </row>
    <row r="15" spans="2:11" ht="16.05" customHeight="1" x14ac:dyDescent="0.3">
      <c r="B15" s="84" t="s">
        <v>94</v>
      </c>
      <c r="C15" s="96" t="s">
        <v>102</v>
      </c>
      <c r="D15" s="91">
        <f t="shared" ref="D15:K15" si="1">SUM(D6:D14)</f>
        <v>568.7051199</v>
      </c>
      <c r="E15" s="91">
        <f t="shared" si="1"/>
        <v>657.91364330000022</v>
      </c>
      <c r="F15" s="91">
        <f t="shared" si="1"/>
        <v>815.65661150000005</v>
      </c>
      <c r="G15" s="91">
        <f t="shared" si="1"/>
        <v>999.97195399999987</v>
      </c>
      <c r="H15" s="91">
        <f t="shared" si="1"/>
        <v>1097.5235409999998</v>
      </c>
      <c r="I15" s="91">
        <f t="shared" si="1"/>
        <v>1389.1972000000001</v>
      </c>
      <c r="J15" s="91">
        <f t="shared" si="1"/>
        <v>1740.2256410000002</v>
      </c>
      <c r="K15" s="91">
        <f t="shared" si="1"/>
        <v>1614.333799</v>
      </c>
    </row>
    <row r="16" spans="2:11" ht="16.05" customHeight="1" x14ac:dyDescent="0.3">
      <c r="C16" s="96"/>
      <c r="D16" s="91"/>
      <c r="E16" s="91"/>
      <c r="F16" s="91"/>
      <c r="G16" s="91"/>
      <c r="H16" s="91"/>
      <c r="I16" s="91"/>
      <c r="J16" s="91"/>
      <c r="K16" s="91"/>
    </row>
    <row r="17" spans="2:11" ht="22.05" customHeight="1" x14ac:dyDescent="0.35">
      <c r="B17" s="84"/>
      <c r="C17" s="405" t="s">
        <v>275</v>
      </c>
      <c r="D17" s="99"/>
      <c r="E17" s="99"/>
      <c r="F17" s="99"/>
      <c r="G17" s="99"/>
      <c r="H17" s="99"/>
      <c r="I17" s="99"/>
      <c r="J17" s="99"/>
      <c r="K17" s="99"/>
    </row>
    <row r="18" spans="2:11" ht="16.05" customHeight="1" x14ac:dyDescent="0.3">
      <c r="B18" s="84" t="s">
        <v>95</v>
      </c>
      <c r="C18" s="59" t="s">
        <v>269</v>
      </c>
      <c r="D18" s="95">
        <v>2.488</v>
      </c>
      <c r="E18" s="95">
        <v>2.3460000000000001</v>
      </c>
      <c r="F18" s="95">
        <v>3.2759999999999998</v>
      </c>
      <c r="G18" s="95">
        <v>4.1769999999999996</v>
      </c>
      <c r="H18" s="95">
        <v>5.8460000000000001</v>
      </c>
      <c r="I18" s="95">
        <v>5.4859999999999998</v>
      </c>
      <c r="J18" s="95">
        <v>8.7859999999999996</v>
      </c>
      <c r="K18" s="95">
        <v>9.1929999999999996</v>
      </c>
    </row>
    <row r="19" spans="2:11" ht="16.05" customHeight="1" x14ac:dyDescent="0.3">
      <c r="B19" s="84" t="s">
        <v>96</v>
      </c>
      <c r="C19" s="59" t="s">
        <v>267</v>
      </c>
      <c r="D19" s="95">
        <v>24.050999999999998</v>
      </c>
      <c r="E19" s="95">
        <v>22.998000000000001</v>
      </c>
      <c r="F19" s="95">
        <v>26.869</v>
      </c>
      <c r="G19" s="95">
        <v>28.1</v>
      </c>
      <c r="H19" s="95">
        <v>31.82</v>
      </c>
      <c r="I19" s="95">
        <v>35.439</v>
      </c>
      <c r="J19" s="95">
        <v>44.177999999999997</v>
      </c>
      <c r="K19" s="95">
        <v>53.195999999999998</v>
      </c>
    </row>
    <row r="20" spans="2:11" ht="16.05" customHeight="1" x14ac:dyDescent="0.3">
      <c r="B20" s="84" t="s">
        <v>97</v>
      </c>
      <c r="C20" s="59" t="s">
        <v>248</v>
      </c>
      <c r="D20" s="95">
        <v>389.262</v>
      </c>
      <c r="E20" s="95">
        <v>451.83199999999999</v>
      </c>
      <c r="F20" s="95">
        <v>493.02600000000001</v>
      </c>
      <c r="G20" s="95">
        <v>520.79200000000003</v>
      </c>
      <c r="H20" s="95">
        <v>535.51599999999996</v>
      </c>
      <c r="I20" s="95">
        <v>869.23299999999995</v>
      </c>
      <c r="J20" s="95">
        <v>1177.133</v>
      </c>
      <c r="K20" s="95">
        <v>1135.3140000000001</v>
      </c>
    </row>
    <row r="21" spans="2:11" ht="16.05" customHeight="1" x14ac:dyDescent="0.3">
      <c r="B21" s="84" t="s">
        <v>104</v>
      </c>
      <c r="C21" s="59" t="s">
        <v>264</v>
      </c>
      <c r="D21" s="95"/>
      <c r="E21" s="95"/>
      <c r="F21" s="95"/>
      <c r="G21" s="95"/>
      <c r="H21" s="95"/>
      <c r="I21" s="95"/>
      <c r="J21" s="95"/>
      <c r="K21" s="95"/>
    </row>
    <row r="22" spans="2:11" ht="16.05" customHeight="1" x14ac:dyDescent="0.3">
      <c r="B22" s="84" t="s">
        <v>134</v>
      </c>
      <c r="C22" s="59" t="s">
        <v>262</v>
      </c>
      <c r="D22" s="95"/>
      <c r="E22" s="95"/>
      <c r="F22" s="95"/>
      <c r="G22" s="95"/>
      <c r="H22" s="95"/>
      <c r="I22" s="95"/>
      <c r="J22" s="95"/>
      <c r="K22" s="95"/>
    </row>
    <row r="23" spans="2:11" ht="16.05" customHeight="1" x14ac:dyDescent="0.3">
      <c r="B23" s="84" t="s">
        <v>196</v>
      </c>
      <c r="C23" s="59" t="s">
        <v>260</v>
      </c>
      <c r="D23" s="95"/>
      <c r="E23" s="95"/>
      <c r="F23" s="95"/>
      <c r="G23" s="95"/>
      <c r="H23" s="95"/>
      <c r="I23" s="95"/>
      <c r="J23" s="95"/>
      <c r="K23" s="95"/>
    </row>
    <row r="24" spans="2:11" ht="16.05" customHeight="1" x14ac:dyDescent="0.3">
      <c r="B24" s="84" t="s">
        <v>195</v>
      </c>
      <c r="C24" s="59" t="s">
        <v>258</v>
      </c>
      <c r="D24" s="95">
        <v>81.033000000000001</v>
      </c>
      <c r="E24" s="95">
        <v>91.051000000000002</v>
      </c>
      <c r="F24" s="95">
        <v>101.54</v>
      </c>
      <c r="G24" s="95">
        <v>103.738</v>
      </c>
      <c r="H24" s="95">
        <v>102.82</v>
      </c>
      <c r="I24" s="95">
        <v>112.233</v>
      </c>
      <c r="J24" s="95">
        <v>128.28700000000001</v>
      </c>
      <c r="K24" s="95">
        <v>118.3</v>
      </c>
    </row>
    <row r="25" spans="2:11" ht="16.05" customHeight="1" x14ac:dyDescent="0.3">
      <c r="B25" s="84" t="s">
        <v>193</v>
      </c>
      <c r="C25" s="59" t="s">
        <v>256</v>
      </c>
      <c r="D25" s="95">
        <v>9.9580000000000002</v>
      </c>
      <c r="E25" s="95">
        <v>9.8170000000000002</v>
      </c>
      <c r="F25" s="95">
        <v>21.052</v>
      </c>
      <c r="G25" s="95">
        <v>23.385999999999999</v>
      </c>
      <c r="H25" s="95">
        <v>22.638000000000002</v>
      </c>
      <c r="I25" s="95">
        <v>24.638999999999999</v>
      </c>
      <c r="J25" s="95">
        <v>30.779</v>
      </c>
      <c r="K25" s="95">
        <v>28.832000000000001</v>
      </c>
    </row>
    <row r="26" spans="2:11" ht="16.05" customHeight="1" x14ac:dyDescent="0.3">
      <c r="B26" s="84" t="s">
        <v>190</v>
      </c>
      <c r="C26" s="59" t="s">
        <v>254</v>
      </c>
      <c r="D26" s="95">
        <v>0</v>
      </c>
      <c r="E26" s="95">
        <v>0.11</v>
      </c>
      <c r="F26" s="95">
        <v>0.157</v>
      </c>
      <c r="G26" s="95">
        <v>0.17499999999999999</v>
      </c>
      <c r="H26" s="95">
        <v>0.16700000000000001</v>
      </c>
      <c r="I26" s="95">
        <v>0.40600000000000003</v>
      </c>
      <c r="J26" s="95">
        <v>0.61499999999999999</v>
      </c>
      <c r="K26" s="95">
        <v>0.94499999999999995</v>
      </c>
    </row>
    <row r="27" spans="2:11" ht="16.05" customHeight="1" x14ac:dyDescent="0.3">
      <c r="C27" s="96"/>
      <c r="D27" s="91"/>
      <c r="E27" s="91"/>
      <c r="F27" s="91"/>
      <c r="G27" s="91"/>
      <c r="H27" s="91"/>
      <c r="I27" s="91"/>
      <c r="J27" s="91"/>
      <c r="K27" s="91"/>
    </row>
    <row r="28" spans="2:11" ht="22.05" customHeight="1" x14ac:dyDescent="0.35">
      <c r="C28" s="405" t="s">
        <v>274</v>
      </c>
      <c r="D28" s="99"/>
      <c r="E28" s="99"/>
      <c r="F28" s="99"/>
      <c r="G28" s="99"/>
      <c r="H28" s="99"/>
      <c r="I28" s="99"/>
      <c r="J28" s="99"/>
      <c r="K28" s="99"/>
    </row>
    <row r="29" spans="2:11" ht="16.05" customHeight="1" x14ac:dyDescent="0.3">
      <c r="B29" s="84" t="s">
        <v>188</v>
      </c>
      <c r="C29" s="59" t="s">
        <v>269</v>
      </c>
      <c r="D29" s="91">
        <v>4.0570659999999998</v>
      </c>
      <c r="E29" s="91">
        <v>5.4436809999999998</v>
      </c>
      <c r="F29" s="91">
        <v>5.9321629999999992</v>
      </c>
      <c r="G29" s="91">
        <v>10.20059</v>
      </c>
      <c r="H29" s="91">
        <v>9.7606970000000004</v>
      </c>
      <c r="I29" s="91">
        <v>8.1010799999999996</v>
      </c>
      <c r="J29" s="91">
        <v>16.759840000000001</v>
      </c>
      <c r="K29" s="91">
        <v>9.6083219999999994</v>
      </c>
    </row>
    <row r="30" spans="2:11" ht="16.05" customHeight="1" x14ac:dyDescent="0.3">
      <c r="B30" s="87" t="s">
        <v>186</v>
      </c>
      <c r="C30" s="59" t="s">
        <v>267</v>
      </c>
      <c r="D30" s="91">
        <v>14.694379999999999</v>
      </c>
      <c r="E30" s="91">
        <v>15.542639999999999</v>
      </c>
      <c r="F30" s="91">
        <v>20.188220000000001</v>
      </c>
      <c r="G30" s="91">
        <v>25.953189999999999</v>
      </c>
      <c r="H30" s="91">
        <v>33.426519999999996</v>
      </c>
      <c r="I30" s="91">
        <v>38.319879999999998</v>
      </c>
      <c r="J30" s="91">
        <v>40.01679</v>
      </c>
      <c r="K30" s="91">
        <v>42.015989999999995</v>
      </c>
    </row>
    <row r="31" spans="2:11" ht="16.05" customHeight="1" x14ac:dyDescent="0.3">
      <c r="B31" s="87" t="s">
        <v>184</v>
      </c>
      <c r="C31" s="59" t="s">
        <v>248</v>
      </c>
      <c r="D31" s="91">
        <v>327.03280000000001</v>
      </c>
      <c r="E31" s="91">
        <v>429.81920000000002</v>
      </c>
      <c r="F31" s="91">
        <v>529.0553000000001</v>
      </c>
      <c r="G31" s="91">
        <v>672.94169999999997</v>
      </c>
      <c r="H31" s="91">
        <v>735.46359999999993</v>
      </c>
      <c r="I31" s="91">
        <v>946.70280000000002</v>
      </c>
      <c r="J31" s="91">
        <v>1118.502</v>
      </c>
      <c r="K31" s="91">
        <v>894.14490000000001</v>
      </c>
    </row>
    <row r="32" spans="2:11" ht="16.05" customHeight="1" x14ac:dyDescent="0.3">
      <c r="B32" s="87" t="s">
        <v>182</v>
      </c>
      <c r="C32" s="59" t="s">
        <v>264</v>
      </c>
      <c r="D32" s="91">
        <v>41.227359999999997</v>
      </c>
      <c r="E32" s="91">
        <v>61.193160000000006</v>
      </c>
      <c r="F32" s="91">
        <v>108.84689999999999</v>
      </c>
      <c r="G32" s="91">
        <v>134.2276</v>
      </c>
      <c r="H32" s="91">
        <v>161.82499999999999</v>
      </c>
      <c r="I32" s="91">
        <v>207.6378</v>
      </c>
      <c r="J32" s="91">
        <v>292.28050000000002</v>
      </c>
      <c r="K32" s="91">
        <v>224.78210000000001</v>
      </c>
    </row>
    <row r="33" spans="2:11" ht="16.05" customHeight="1" x14ac:dyDescent="0.3">
      <c r="B33" s="87" t="s">
        <v>215</v>
      </c>
      <c r="C33" s="59" t="s">
        <v>262</v>
      </c>
      <c r="D33" s="91">
        <v>17.319970000000001</v>
      </c>
      <c r="E33" s="91">
        <v>14.06212</v>
      </c>
      <c r="F33" s="91">
        <v>19.827310000000001</v>
      </c>
      <c r="G33" s="91">
        <v>21.609150000000003</v>
      </c>
      <c r="H33" s="91">
        <v>22.277290000000001</v>
      </c>
      <c r="I33" s="91">
        <v>27.13796</v>
      </c>
      <c r="J33" s="91">
        <v>32.450519999999997</v>
      </c>
      <c r="K33" s="91">
        <v>26.837720000000001</v>
      </c>
    </row>
    <row r="34" spans="2:11" ht="16.05" customHeight="1" x14ac:dyDescent="0.3">
      <c r="B34" s="59" t="s">
        <v>217</v>
      </c>
      <c r="C34" s="59" t="s">
        <v>260</v>
      </c>
      <c r="D34" s="91">
        <v>1.4102460000000001</v>
      </c>
      <c r="E34" s="91">
        <v>0.96216999999999997</v>
      </c>
      <c r="F34" s="91">
        <v>1.683225</v>
      </c>
      <c r="G34" s="91">
        <v>4.0688240000000002</v>
      </c>
      <c r="H34" s="91">
        <v>1.679273</v>
      </c>
      <c r="I34" s="91">
        <v>2.6167860000000003</v>
      </c>
      <c r="J34" s="91">
        <v>4.0523210000000001</v>
      </c>
      <c r="K34" s="91">
        <v>3.6764969999999999</v>
      </c>
    </row>
    <row r="35" spans="2:11" ht="16.05" customHeight="1" x14ac:dyDescent="0.3">
      <c r="B35" s="87" t="s">
        <v>214</v>
      </c>
      <c r="C35" s="59" t="s">
        <v>258</v>
      </c>
      <c r="D35" s="91">
        <v>44.826629999999994</v>
      </c>
      <c r="E35" s="91">
        <v>51.396970000000003</v>
      </c>
      <c r="F35" s="91">
        <v>58.353949999999998</v>
      </c>
      <c r="G35" s="91">
        <v>65.710539999999995</v>
      </c>
      <c r="H35" s="91">
        <v>75.269800000000004</v>
      </c>
      <c r="I35" s="91">
        <v>98.882499999999993</v>
      </c>
      <c r="J35" s="91">
        <v>123.3901</v>
      </c>
      <c r="K35" s="91">
        <v>91.182949999999991</v>
      </c>
    </row>
    <row r="36" spans="2:11" ht="16.05" customHeight="1" x14ac:dyDescent="0.3">
      <c r="B36" s="87" t="s">
        <v>212</v>
      </c>
      <c r="C36" s="59" t="s">
        <v>256</v>
      </c>
      <c r="D36" s="91">
        <v>7.4522870000000001</v>
      </c>
      <c r="E36" s="91">
        <v>8.447989999999999</v>
      </c>
      <c r="F36" s="91">
        <v>12.828629999999999</v>
      </c>
      <c r="G36" s="91">
        <v>14.29949</v>
      </c>
      <c r="H36" s="91">
        <v>24.392469999999999</v>
      </c>
      <c r="I36" s="91">
        <v>39.273050000000005</v>
      </c>
      <c r="J36" s="91">
        <v>32.032419999999995</v>
      </c>
      <c r="K36" s="91">
        <v>28.961369999999999</v>
      </c>
    </row>
    <row r="37" spans="2:11" ht="16.05" customHeight="1" thickBot="1" x14ac:dyDescent="0.35">
      <c r="B37" s="94" t="s">
        <v>211</v>
      </c>
      <c r="C37" s="94" t="s">
        <v>254</v>
      </c>
      <c r="D37" s="93">
        <v>0.38647789999999999</v>
      </c>
      <c r="E37" s="93">
        <v>0.55451229999999996</v>
      </c>
      <c r="F37" s="93">
        <v>0.8507134999999999</v>
      </c>
      <c r="G37" s="93">
        <v>1.7000899999999999</v>
      </c>
      <c r="H37" s="93">
        <v>5.8786909999999999</v>
      </c>
      <c r="I37" s="93">
        <v>7.1748440000000002</v>
      </c>
      <c r="J37" s="93">
        <v>13.052040000000002</v>
      </c>
      <c r="K37" s="93">
        <v>13.65779</v>
      </c>
    </row>
    <row r="38" spans="2:11" ht="18" thickTop="1" x14ac:dyDescent="0.3">
      <c r="C38" s="96"/>
    </row>
  </sheetData>
  <mergeCells count="1">
    <mergeCell ref="B2:K2"/>
  </mergeCells>
  <phoneticPr fontId="13" type="noConversion"/>
  <pageMargins left="0.75000000000000011" right="0.75000000000000011" top="1" bottom="1" header="0.5" footer="0.5"/>
  <pageSetup paperSize="9" scale="68" orientation="landscape" horizontalDpi="4294967292" verticalDpi="4294967292"/>
  <extLst>
    <ext xmlns:mx="http://schemas.microsoft.com/office/mac/excel/2008/main" uri="{64002731-A6B0-56B0-2670-7721B7C09600}">
      <mx:PLV Mode="0" OnePage="0" WScale="100"/>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B2:Q38"/>
  <sheetViews>
    <sheetView zoomScale="70" zoomScaleNormal="70" zoomScalePageLayoutView="70" workbookViewId="0"/>
  </sheetViews>
  <sheetFormatPr baseColWidth="10" defaultColWidth="10.7265625" defaultRowHeight="17.399999999999999" x14ac:dyDescent="0.3"/>
  <cols>
    <col min="1" max="1" width="3" style="59" customWidth="1"/>
    <col min="2" max="13" width="11.81640625" style="59" customWidth="1"/>
    <col min="14" max="15" width="10.7265625" style="59"/>
    <col min="16" max="17" width="10.7265625" style="9"/>
    <col min="18" max="16384" width="10.7265625" style="59"/>
  </cols>
  <sheetData>
    <row r="2" spans="2:17" ht="28.2" x14ac:dyDescent="0.5">
      <c r="B2" s="728" t="s">
        <v>616</v>
      </c>
      <c r="C2" s="728"/>
      <c r="D2" s="728"/>
      <c r="E2" s="728"/>
      <c r="F2" s="728"/>
      <c r="G2" s="728"/>
      <c r="H2" s="728"/>
      <c r="I2" s="728"/>
      <c r="J2" s="728"/>
      <c r="K2" s="728"/>
      <c r="L2" s="728"/>
      <c r="M2" s="728"/>
      <c r="N2" s="728"/>
      <c r="O2" s="728"/>
      <c r="P2"/>
      <c r="Q2"/>
    </row>
    <row r="3" spans="2:17" ht="18" thickBot="1" x14ac:dyDescent="0.35">
      <c r="B3" s="94"/>
      <c r="C3" s="94"/>
      <c r="D3" s="94"/>
      <c r="E3" s="94"/>
      <c r="F3" s="94"/>
      <c r="G3" s="94"/>
      <c r="H3" s="94"/>
      <c r="I3" s="94"/>
      <c r="J3" s="94"/>
      <c r="K3" s="94"/>
      <c r="L3" s="94"/>
      <c r="M3" s="94"/>
      <c r="N3" s="94"/>
      <c r="O3" s="94"/>
    </row>
    <row r="4" spans="2:17" ht="18" thickTop="1" x14ac:dyDescent="0.3">
      <c r="C4" s="36" t="s">
        <v>85</v>
      </c>
      <c r="D4" s="36" t="s">
        <v>86</v>
      </c>
      <c r="E4" s="36" t="s">
        <v>87</v>
      </c>
      <c r="F4" s="36" t="s">
        <v>88</v>
      </c>
      <c r="G4" s="36" t="s">
        <v>89</v>
      </c>
      <c r="H4" s="36" t="s">
        <v>90</v>
      </c>
      <c r="I4" s="36" t="s">
        <v>91</v>
      </c>
      <c r="J4" s="36" t="s">
        <v>92</v>
      </c>
      <c r="K4" s="36" t="s">
        <v>93</v>
      </c>
      <c r="L4" s="36" t="s">
        <v>94</v>
      </c>
      <c r="M4" s="36" t="s">
        <v>95</v>
      </c>
      <c r="N4" s="36" t="s">
        <v>96</v>
      </c>
      <c r="O4" s="36" t="s">
        <v>97</v>
      </c>
    </row>
    <row r="5" spans="2:17" ht="22.05" customHeight="1" x14ac:dyDescent="0.3">
      <c r="C5" s="727" t="s">
        <v>338</v>
      </c>
      <c r="D5" s="727"/>
      <c r="E5" s="727"/>
      <c r="F5" s="727"/>
      <c r="G5" s="727"/>
      <c r="H5" s="727"/>
      <c r="I5" s="727"/>
      <c r="J5" s="727"/>
      <c r="K5" s="727"/>
      <c r="L5" s="727"/>
      <c r="M5" s="727"/>
      <c r="N5" s="727"/>
      <c r="O5" s="727"/>
      <c r="P5" s="59"/>
      <c r="Q5" s="59"/>
    </row>
    <row r="6" spans="2:17" ht="22.05" customHeight="1" x14ac:dyDescent="0.3">
      <c r="C6" s="727"/>
      <c r="D6" s="727"/>
      <c r="E6" s="727"/>
      <c r="F6" s="727"/>
      <c r="G6" s="727"/>
      <c r="H6" s="727"/>
      <c r="I6" s="727"/>
      <c r="J6" s="727"/>
      <c r="K6" s="727"/>
      <c r="L6" s="727"/>
      <c r="M6" s="727"/>
      <c r="N6" s="727"/>
      <c r="O6" s="727"/>
      <c r="P6" s="59"/>
      <c r="Q6" s="59"/>
    </row>
    <row r="7" spans="2:17" ht="43.05" customHeight="1" x14ac:dyDescent="0.35">
      <c r="B7" s="394"/>
      <c r="C7" s="395" t="s">
        <v>325</v>
      </c>
      <c r="D7" s="395" t="s">
        <v>326</v>
      </c>
      <c r="E7" s="395" t="s">
        <v>340</v>
      </c>
      <c r="F7" s="395" t="s">
        <v>333</v>
      </c>
      <c r="G7" s="395" t="s">
        <v>332</v>
      </c>
      <c r="H7" s="395" t="s">
        <v>331</v>
      </c>
      <c r="I7" s="395" t="s">
        <v>334</v>
      </c>
      <c r="J7" s="395" t="s">
        <v>335</v>
      </c>
      <c r="K7" s="395" t="s">
        <v>2</v>
      </c>
      <c r="L7" s="395" t="s">
        <v>336</v>
      </c>
      <c r="M7" s="396" t="s">
        <v>102</v>
      </c>
      <c r="N7" s="486" t="s">
        <v>819</v>
      </c>
      <c r="O7" s="486" t="s">
        <v>820</v>
      </c>
      <c r="P7" s="59"/>
      <c r="Q7" s="59"/>
    </row>
    <row r="8" spans="2:17" ht="22.05" customHeight="1" x14ac:dyDescent="0.35">
      <c r="B8" s="394">
        <v>2001</v>
      </c>
      <c r="C8" s="397">
        <v>19.936520000000002</v>
      </c>
      <c r="D8" s="397">
        <v>0</v>
      </c>
      <c r="E8" s="397">
        <v>0</v>
      </c>
      <c r="F8" s="397">
        <v>0</v>
      </c>
      <c r="G8" s="397">
        <v>0</v>
      </c>
      <c r="H8" s="397">
        <v>0</v>
      </c>
      <c r="I8" s="397">
        <v>0</v>
      </c>
      <c r="J8" s="397">
        <v>0</v>
      </c>
      <c r="K8" s="397">
        <v>0</v>
      </c>
      <c r="L8" s="397">
        <v>14.145179189999999</v>
      </c>
      <c r="M8" s="398">
        <v>34.081699190000002</v>
      </c>
      <c r="N8" s="485">
        <f>O8+E8+H8</f>
        <v>19.936520000000002</v>
      </c>
      <c r="O8" s="485">
        <f>C8+D8+F8</f>
        <v>19.936520000000002</v>
      </c>
    </row>
    <row r="9" spans="2:17" ht="22.05" customHeight="1" x14ac:dyDescent="0.35">
      <c r="B9" s="394">
        <v>2002</v>
      </c>
      <c r="C9" s="397">
        <v>15.527659999999999</v>
      </c>
      <c r="D9" s="397">
        <v>0</v>
      </c>
      <c r="E9" s="397">
        <v>0</v>
      </c>
      <c r="F9" s="397">
        <v>0</v>
      </c>
      <c r="G9" s="397">
        <v>0</v>
      </c>
      <c r="H9" s="397">
        <v>0</v>
      </c>
      <c r="I9" s="397">
        <v>0</v>
      </c>
      <c r="J9" s="397">
        <v>0</v>
      </c>
      <c r="K9" s="397">
        <v>0</v>
      </c>
      <c r="L9" s="397">
        <v>24.122525729999996</v>
      </c>
      <c r="M9" s="398">
        <v>39.650185729999997</v>
      </c>
      <c r="N9" s="485">
        <f t="shared" ref="N9:N15" si="0">O9+E9+H9</f>
        <v>15.527659999999999</v>
      </c>
      <c r="O9" s="485">
        <f t="shared" ref="O9:O15" si="1">C9+D9+F9</f>
        <v>15.527659999999999</v>
      </c>
    </row>
    <row r="10" spans="2:17" ht="22.05" customHeight="1" x14ac:dyDescent="0.35">
      <c r="B10" s="394">
        <v>2003</v>
      </c>
      <c r="C10" s="397">
        <v>20.13062</v>
      </c>
      <c r="D10" s="397">
        <v>0</v>
      </c>
      <c r="E10" s="397">
        <v>0</v>
      </c>
      <c r="F10" s="397">
        <v>0</v>
      </c>
      <c r="G10" s="397">
        <v>16.49296</v>
      </c>
      <c r="H10" s="397">
        <v>20.553999999999998</v>
      </c>
      <c r="I10" s="397">
        <v>0</v>
      </c>
      <c r="J10" s="397">
        <v>0</v>
      </c>
      <c r="K10" s="397">
        <v>0</v>
      </c>
      <c r="L10" s="397">
        <v>5.6132811600000059</v>
      </c>
      <c r="M10" s="398">
        <v>62.790861159999999</v>
      </c>
      <c r="N10" s="485">
        <f t="shared" si="0"/>
        <v>40.684619999999995</v>
      </c>
      <c r="O10" s="485">
        <f t="shared" si="1"/>
        <v>20.13062</v>
      </c>
      <c r="P10" s="127"/>
      <c r="Q10" s="127"/>
    </row>
    <row r="11" spans="2:17" ht="22.05" customHeight="1" x14ac:dyDescent="0.35">
      <c r="B11" s="394">
        <v>2004</v>
      </c>
      <c r="C11" s="397">
        <v>34.642360000000004</v>
      </c>
      <c r="D11" s="397">
        <v>24.236499999999999</v>
      </c>
      <c r="E11" s="397">
        <v>0</v>
      </c>
      <c r="F11" s="397">
        <v>0</v>
      </c>
      <c r="G11" s="397">
        <v>21.588459999999998</v>
      </c>
      <c r="H11" s="397">
        <v>0</v>
      </c>
      <c r="I11" s="397">
        <v>0</v>
      </c>
      <c r="J11" s="397">
        <v>0</v>
      </c>
      <c r="K11" s="397">
        <v>0</v>
      </c>
      <c r="L11" s="397">
        <v>14.40798113</v>
      </c>
      <c r="M11" s="398">
        <v>94.875301130000011</v>
      </c>
      <c r="N11" s="485">
        <f t="shared" si="0"/>
        <v>58.878860000000003</v>
      </c>
      <c r="O11" s="485">
        <f t="shared" si="1"/>
        <v>58.878860000000003</v>
      </c>
      <c r="P11" s="127"/>
      <c r="Q11" s="127"/>
    </row>
    <row r="12" spans="2:17" ht="22.05" customHeight="1" x14ac:dyDescent="0.35">
      <c r="B12" s="394">
        <v>2005</v>
      </c>
      <c r="C12" s="397">
        <v>45.002189999999999</v>
      </c>
      <c r="D12" s="397">
        <v>66.335589999999996</v>
      </c>
      <c r="E12" s="397">
        <v>82.265000000000001</v>
      </c>
      <c r="F12" s="397">
        <v>0</v>
      </c>
      <c r="G12" s="397">
        <v>25.45514</v>
      </c>
      <c r="H12" s="397">
        <v>62.99203</v>
      </c>
      <c r="I12" s="397">
        <v>0</v>
      </c>
      <c r="J12" s="397">
        <v>0</v>
      </c>
      <c r="K12" s="397">
        <v>0</v>
      </c>
      <c r="L12" s="397">
        <v>18.461912000000012</v>
      </c>
      <c r="M12" s="398">
        <v>300.51186200000001</v>
      </c>
      <c r="N12" s="485">
        <f t="shared" si="0"/>
        <v>256.59481</v>
      </c>
      <c r="O12" s="485">
        <f t="shared" si="1"/>
        <v>111.33778</v>
      </c>
      <c r="P12" s="127"/>
      <c r="Q12" s="127"/>
    </row>
    <row r="13" spans="2:17" ht="22.05" customHeight="1" x14ac:dyDescent="0.35">
      <c r="B13" s="394">
        <v>2006</v>
      </c>
      <c r="C13" s="397">
        <v>70.950829999999996</v>
      </c>
      <c r="D13" s="397">
        <v>65.735249999999994</v>
      </c>
      <c r="E13" s="397">
        <v>0</v>
      </c>
      <c r="F13" s="397">
        <v>0</v>
      </c>
      <c r="G13" s="397">
        <v>26.30678</v>
      </c>
      <c r="H13" s="397">
        <v>65.143000000000001</v>
      </c>
      <c r="I13" s="397">
        <v>0</v>
      </c>
      <c r="J13" s="397">
        <v>0</v>
      </c>
      <c r="K13" s="397">
        <v>0</v>
      </c>
      <c r="L13" s="397">
        <v>32.684489499999998</v>
      </c>
      <c r="M13" s="398">
        <v>260.82034950000002</v>
      </c>
      <c r="N13" s="485">
        <f t="shared" si="0"/>
        <v>201.82908</v>
      </c>
      <c r="O13" s="485">
        <f t="shared" si="1"/>
        <v>136.68608</v>
      </c>
      <c r="P13" s="127"/>
      <c r="Q13" s="127"/>
    </row>
    <row r="14" spans="2:17" ht="22.05" customHeight="1" x14ac:dyDescent="0.35">
      <c r="B14" s="394">
        <v>2007</v>
      </c>
      <c r="C14" s="397">
        <v>67.290449999999993</v>
      </c>
      <c r="D14" s="397">
        <v>147.28560000000002</v>
      </c>
      <c r="E14" s="397">
        <v>13.112629999999999</v>
      </c>
      <c r="F14" s="397">
        <v>11.500909999999999</v>
      </c>
      <c r="G14" s="397">
        <v>32.071089999999998</v>
      </c>
      <c r="H14" s="397">
        <v>127.7608</v>
      </c>
      <c r="I14" s="397">
        <v>16.392679999999999</v>
      </c>
      <c r="J14" s="397">
        <v>25.52028</v>
      </c>
      <c r="K14" s="397">
        <v>0</v>
      </c>
      <c r="L14" s="397">
        <v>28.894973100000062</v>
      </c>
      <c r="M14" s="398">
        <v>469.82941310000001</v>
      </c>
      <c r="N14" s="485">
        <f t="shared" si="0"/>
        <v>366.95039000000003</v>
      </c>
      <c r="O14" s="485">
        <f t="shared" si="1"/>
        <v>226.07696000000001</v>
      </c>
      <c r="P14" s="127"/>
      <c r="Q14" s="127"/>
    </row>
    <row r="15" spans="2:17" ht="22.05" customHeight="1" x14ac:dyDescent="0.35">
      <c r="B15" s="394">
        <v>2008</v>
      </c>
      <c r="C15" s="397">
        <v>11.502739999999999</v>
      </c>
      <c r="D15" s="397">
        <v>45.323250000000002</v>
      </c>
      <c r="E15" s="397">
        <v>35.345999999999997</v>
      </c>
      <c r="F15" s="397">
        <v>0</v>
      </c>
      <c r="G15" s="397">
        <v>15.135809999999999</v>
      </c>
      <c r="H15" s="397">
        <v>160.12100000000001</v>
      </c>
      <c r="I15" s="397">
        <v>0</v>
      </c>
      <c r="J15" s="397">
        <v>97.902770000000004</v>
      </c>
      <c r="K15" s="397">
        <v>67.303610000000006</v>
      </c>
      <c r="L15" s="397">
        <v>39.671178400000031</v>
      </c>
      <c r="M15" s="398">
        <v>472.30635840000002</v>
      </c>
      <c r="N15" s="485">
        <f t="shared" si="0"/>
        <v>252.29299</v>
      </c>
      <c r="O15" s="485">
        <f t="shared" si="1"/>
        <v>56.825990000000004</v>
      </c>
      <c r="P15" s="127"/>
      <c r="Q15" s="127"/>
    </row>
    <row r="16" spans="2:17" ht="22.05" customHeight="1" x14ac:dyDescent="0.3">
      <c r="B16" s="394"/>
      <c r="C16" s="727" t="s">
        <v>339</v>
      </c>
      <c r="D16" s="727"/>
      <c r="E16" s="727"/>
      <c r="F16" s="727"/>
      <c r="G16" s="727"/>
      <c r="H16" s="727"/>
      <c r="I16" s="727"/>
      <c r="J16" s="727"/>
      <c r="K16" s="727"/>
      <c r="L16" s="727"/>
      <c r="M16" s="727"/>
      <c r="N16" s="727"/>
      <c r="O16" s="727"/>
      <c r="P16" s="127"/>
      <c r="Q16" s="127"/>
    </row>
    <row r="17" spans="2:17" ht="22.05" customHeight="1" x14ac:dyDescent="0.3">
      <c r="B17" s="394"/>
      <c r="C17" s="727"/>
      <c r="D17" s="727"/>
      <c r="E17" s="727"/>
      <c r="F17" s="727"/>
      <c r="G17" s="727"/>
      <c r="H17" s="727"/>
      <c r="I17" s="727"/>
      <c r="J17" s="727"/>
      <c r="K17" s="727"/>
      <c r="L17" s="727"/>
      <c r="M17" s="727"/>
      <c r="N17" s="727"/>
      <c r="O17" s="727"/>
      <c r="P17" s="127"/>
      <c r="Q17" s="127"/>
    </row>
    <row r="18" spans="2:17" ht="43.05" customHeight="1" x14ac:dyDescent="0.35">
      <c r="B18" s="394"/>
      <c r="C18" s="395" t="s">
        <v>325</v>
      </c>
      <c r="D18" s="395" t="s">
        <v>326</v>
      </c>
      <c r="E18" s="395" t="s">
        <v>292</v>
      </c>
      <c r="F18" s="395" t="s">
        <v>327</v>
      </c>
      <c r="G18" s="395" t="s">
        <v>293</v>
      </c>
      <c r="H18" s="395" t="s">
        <v>328</v>
      </c>
      <c r="I18" s="395" t="s">
        <v>329</v>
      </c>
      <c r="J18" s="395"/>
      <c r="K18" s="395"/>
      <c r="L18" s="395" t="s">
        <v>81</v>
      </c>
      <c r="M18" s="396" t="s">
        <v>102</v>
      </c>
      <c r="N18" s="486" t="s">
        <v>819</v>
      </c>
      <c r="O18" s="486" t="s">
        <v>820</v>
      </c>
      <c r="P18" s="127"/>
      <c r="Q18" s="127"/>
    </row>
    <row r="19" spans="2:17" ht="22.05" customHeight="1" x14ac:dyDescent="0.35">
      <c r="B19" s="394">
        <v>2001</v>
      </c>
      <c r="C19" s="397">
        <v>0</v>
      </c>
      <c r="D19" s="397">
        <v>123.9289</v>
      </c>
      <c r="E19" s="397">
        <v>46.938550000000006</v>
      </c>
      <c r="F19" s="397">
        <v>0</v>
      </c>
      <c r="G19" s="397">
        <v>0</v>
      </c>
      <c r="H19" s="397">
        <v>0</v>
      </c>
      <c r="I19" s="397">
        <v>0</v>
      </c>
      <c r="J19" s="394"/>
      <c r="K19" s="394"/>
      <c r="L19" s="397">
        <v>37.358723100000006</v>
      </c>
      <c r="M19" s="398">
        <v>208.22617310000001</v>
      </c>
      <c r="N19" s="485">
        <f>O19</f>
        <v>170.86745000000002</v>
      </c>
      <c r="O19" s="485">
        <f>C19+D19+E19+F19+G19</f>
        <v>170.86745000000002</v>
      </c>
      <c r="P19" s="127"/>
      <c r="Q19" s="127"/>
    </row>
    <row r="20" spans="2:17" ht="22.05" customHeight="1" x14ac:dyDescent="0.35">
      <c r="B20" s="394">
        <v>2002</v>
      </c>
      <c r="C20" s="397">
        <v>11.37041</v>
      </c>
      <c r="D20" s="397">
        <v>73.577629999999999</v>
      </c>
      <c r="E20" s="397">
        <v>55.121809999999996</v>
      </c>
      <c r="F20" s="397">
        <v>0</v>
      </c>
      <c r="G20" s="397">
        <v>0</v>
      </c>
      <c r="H20" s="397">
        <v>0</v>
      </c>
      <c r="I20" s="397">
        <v>0</v>
      </c>
      <c r="J20" s="394"/>
      <c r="K20" s="394"/>
      <c r="L20" s="397">
        <v>18.698833500000006</v>
      </c>
      <c r="M20" s="398">
        <v>158.76868350000001</v>
      </c>
      <c r="N20" s="485">
        <f t="shared" ref="N20:N26" si="2">O20</f>
        <v>140.06984999999997</v>
      </c>
      <c r="O20" s="485">
        <f t="shared" ref="O20:O26" si="3">C20+D20+E20+F20+G20</f>
        <v>140.06984999999997</v>
      </c>
      <c r="P20" s="127"/>
      <c r="Q20" s="127"/>
    </row>
    <row r="21" spans="2:17" ht="22.05" customHeight="1" x14ac:dyDescent="0.35">
      <c r="B21" s="394">
        <v>2003</v>
      </c>
      <c r="C21" s="397">
        <v>0</v>
      </c>
      <c r="D21" s="397">
        <v>132.43639999999999</v>
      </c>
      <c r="E21" s="397">
        <v>30.076880000000003</v>
      </c>
      <c r="F21" s="397">
        <v>12.94115</v>
      </c>
      <c r="G21" s="397">
        <v>0</v>
      </c>
      <c r="H21" s="397">
        <v>17.13618</v>
      </c>
      <c r="I21" s="397">
        <v>0</v>
      </c>
      <c r="J21" s="394"/>
      <c r="K21" s="394"/>
      <c r="L21" s="397">
        <v>13.230088300000004</v>
      </c>
      <c r="M21" s="398">
        <v>205.82069829999998</v>
      </c>
      <c r="N21" s="485">
        <f t="shared" si="2"/>
        <v>175.45443</v>
      </c>
      <c r="O21" s="485">
        <f t="shared" si="3"/>
        <v>175.45443</v>
      </c>
      <c r="P21" s="127"/>
      <c r="Q21" s="127"/>
    </row>
    <row r="22" spans="2:17" ht="22.05" customHeight="1" x14ac:dyDescent="0.35">
      <c r="B22" s="394">
        <v>2004</v>
      </c>
      <c r="C22" s="397">
        <v>0</v>
      </c>
      <c r="D22" s="397">
        <v>0</v>
      </c>
      <c r="E22" s="397">
        <v>66.186220000000006</v>
      </c>
      <c r="F22" s="397">
        <v>22.04655</v>
      </c>
      <c r="G22" s="397">
        <v>0</v>
      </c>
      <c r="H22" s="397">
        <v>0</v>
      </c>
      <c r="I22" s="397">
        <v>0</v>
      </c>
      <c r="J22" s="394"/>
      <c r="K22" s="394"/>
      <c r="L22" s="397">
        <v>42.024827799999997</v>
      </c>
      <c r="M22" s="398">
        <v>130.25759780000001</v>
      </c>
      <c r="N22" s="485">
        <f t="shared" si="2"/>
        <v>88.232770000000002</v>
      </c>
      <c r="O22" s="485">
        <f t="shared" si="3"/>
        <v>88.232770000000002</v>
      </c>
      <c r="P22" s="127"/>
      <c r="Q22" s="127"/>
    </row>
    <row r="23" spans="2:17" ht="22.05" customHeight="1" x14ac:dyDescent="0.35">
      <c r="B23" s="394">
        <v>2005</v>
      </c>
      <c r="C23" s="397">
        <v>0</v>
      </c>
      <c r="D23" s="397">
        <v>0</v>
      </c>
      <c r="E23" s="397">
        <v>77.375360000000001</v>
      </c>
      <c r="F23" s="397">
        <v>14.142659999999999</v>
      </c>
      <c r="G23" s="397">
        <v>0</v>
      </c>
      <c r="H23" s="397">
        <v>10.25085</v>
      </c>
      <c r="I23" s="397">
        <v>13.717379999999999</v>
      </c>
      <c r="J23" s="394"/>
      <c r="K23" s="394"/>
      <c r="L23" s="397">
        <v>40.200648699999974</v>
      </c>
      <c r="M23" s="398">
        <v>155.6868987</v>
      </c>
      <c r="N23" s="485">
        <f t="shared" si="2"/>
        <v>91.518020000000007</v>
      </c>
      <c r="O23" s="485">
        <f t="shared" si="3"/>
        <v>91.518020000000007</v>
      </c>
      <c r="P23" s="127"/>
      <c r="Q23" s="127"/>
    </row>
    <row r="24" spans="2:17" ht="22.05" customHeight="1" x14ac:dyDescent="0.35">
      <c r="B24" s="394">
        <v>2006</v>
      </c>
      <c r="C24" s="397">
        <v>15.20425</v>
      </c>
      <c r="D24" s="397">
        <v>0</v>
      </c>
      <c r="E24" s="397">
        <v>89.46538000000001</v>
      </c>
      <c r="F24" s="397">
        <v>0</v>
      </c>
      <c r="G24" s="397">
        <v>0</v>
      </c>
      <c r="H24" s="397">
        <v>0</v>
      </c>
      <c r="I24" s="397">
        <v>13.133290000000001</v>
      </c>
      <c r="J24" s="394"/>
      <c r="K24" s="394"/>
      <c r="L24" s="397">
        <v>51.218784499999977</v>
      </c>
      <c r="M24" s="398">
        <v>169.0217045</v>
      </c>
      <c r="N24" s="485">
        <f t="shared" si="2"/>
        <v>104.66963000000001</v>
      </c>
      <c r="O24" s="485">
        <f t="shared" si="3"/>
        <v>104.66963000000001</v>
      </c>
      <c r="P24" s="127"/>
      <c r="Q24" s="127"/>
    </row>
    <row r="25" spans="2:17" ht="22.05" customHeight="1" x14ac:dyDescent="0.35">
      <c r="B25" s="394">
        <v>2007</v>
      </c>
      <c r="C25" s="397">
        <v>0</v>
      </c>
      <c r="D25" s="397">
        <v>0</v>
      </c>
      <c r="E25" s="397">
        <v>78.78425</v>
      </c>
      <c r="F25" s="397">
        <v>0</v>
      </c>
      <c r="G25" s="397">
        <v>0</v>
      </c>
      <c r="H25" s="397">
        <v>12.74471</v>
      </c>
      <c r="I25" s="397">
        <v>23.629639999999998</v>
      </c>
      <c r="J25" s="394"/>
      <c r="K25" s="394"/>
      <c r="L25" s="397">
        <v>34.2071039</v>
      </c>
      <c r="M25" s="398">
        <v>149.3657039</v>
      </c>
      <c r="N25" s="485">
        <f t="shared" si="2"/>
        <v>78.78425</v>
      </c>
      <c r="O25" s="485">
        <f t="shared" si="3"/>
        <v>78.78425</v>
      </c>
      <c r="P25" s="127"/>
      <c r="Q25" s="127"/>
    </row>
    <row r="26" spans="2:17" ht="22.05" customHeight="1" thickBot="1" x14ac:dyDescent="0.4">
      <c r="B26" s="399">
        <v>2008</v>
      </c>
      <c r="C26" s="400">
        <v>0</v>
      </c>
      <c r="D26" s="400">
        <v>0</v>
      </c>
      <c r="E26" s="400">
        <v>0</v>
      </c>
      <c r="F26" s="400">
        <v>0</v>
      </c>
      <c r="G26" s="400">
        <v>12.26825</v>
      </c>
      <c r="H26" s="400">
        <v>0</v>
      </c>
      <c r="I26" s="400">
        <v>11.405139999999999</v>
      </c>
      <c r="J26" s="399"/>
      <c r="K26" s="399"/>
      <c r="L26" s="400">
        <v>27.352173110000003</v>
      </c>
      <c r="M26" s="401">
        <v>51.02556311</v>
      </c>
      <c r="N26" s="487">
        <f t="shared" si="2"/>
        <v>12.26825</v>
      </c>
      <c r="O26" s="487">
        <f t="shared" si="3"/>
        <v>12.26825</v>
      </c>
      <c r="P26" s="127"/>
      <c r="Q26" s="127"/>
    </row>
    <row r="27" spans="2:17" ht="18" thickTop="1" x14ac:dyDescent="0.3">
      <c r="P27" s="127"/>
      <c r="Q27" s="127"/>
    </row>
    <row r="28" spans="2:17" x14ac:dyDescent="0.3">
      <c r="P28" s="127"/>
      <c r="Q28" s="127"/>
    </row>
    <row r="29" spans="2:17" x14ac:dyDescent="0.3">
      <c r="P29" s="127"/>
      <c r="Q29" s="127"/>
    </row>
    <row r="30" spans="2:17" x14ac:dyDescent="0.3">
      <c r="P30" s="127"/>
      <c r="Q30" s="127"/>
    </row>
    <row r="31" spans="2:17" x14ac:dyDescent="0.3">
      <c r="P31" s="127"/>
      <c r="Q31" s="127"/>
    </row>
    <row r="32" spans="2:17" x14ac:dyDescent="0.3">
      <c r="P32" s="127"/>
      <c r="Q32" s="127"/>
    </row>
    <row r="33" spans="16:17" x14ac:dyDescent="0.3">
      <c r="P33" s="127"/>
      <c r="Q33" s="127"/>
    </row>
    <row r="34" spans="16:17" x14ac:dyDescent="0.3">
      <c r="P34" s="127"/>
      <c r="Q34" s="127"/>
    </row>
    <row r="35" spans="16:17" x14ac:dyDescent="0.3">
      <c r="P35" s="127"/>
      <c r="Q35" s="127"/>
    </row>
    <row r="36" spans="16:17" x14ac:dyDescent="0.3">
      <c r="P36" s="127"/>
      <c r="Q36" s="127"/>
    </row>
    <row r="37" spans="16:17" x14ac:dyDescent="0.3">
      <c r="P37" s="127"/>
      <c r="Q37" s="127"/>
    </row>
    <row r="38" spans="16:17" x14ac:dyDescent="0.3">
      <c r="P38" s="127"/>
      <c r="Q38" s="127"/>
    </row>
  </sheetData>
  <mergeCells count="3">
    <mergeCell ref="C5:O6"/>
    <mergeCell ref="C16:O17"/>
    <mergeCell ref="B2:O2"/>
  </mergeCells>
  <phoneticPr fontId="13" type="noConversion"/>
  <pageMargins left="0.75000000000000011" right="0.75000000000000011" top="1" bottom="1" header="0.5" footer="0.5"/>
  <pageSetup paperSize="9" scale="62" orientation="landscape" horizontalDpi="4294967292" verticalDpi="4294967292"/>
  <extLst>
    <ext xmlns:mx="http://schemas.microsoft.com/office/mac/excel/2008/main" uri="{64002731-A6B0-56B0-2670-7721B7C09600}">
      <mx:PLV Mode="0" OnePage="0" WScale="100"/>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2:J243"/>
  <sheetViews>
    <sheetView zoomScale="70" zoomScaleNormal="70" zoomScalePageLayoutView="70" workbookViewId="0">
      <pane xSplit="1" ySplit="4" topLeftCell="B5" activePane="bottomRight" state="frozen"/>
      <selection pane="topRight" activeCell="B1" sqref="B1"/>
      <selection pane="bottomLeft" activeCell="A2" sqref="A2"/>
      <selection pane="bottomRight" activeCell="A2" sqref="A2:I2"/>
    </sheetView>
  </sheetViews>
  <sheetFormatPr baseColWidth="10" defaultColWidth="10.7265625" defaultRowHeight="15.6" x14ac:dyDescent="0.3"/>
  <cols>
    <col min="1" max="1" width="36.1796875" style="80" bestFit="1" customWidth="1"/>
    <col min="2" max="9" width="11.54296875" style="80" customWidth="1"/>
    <col min="10" max="16384" width="10.7265625" style="80"/>
  </cols>
  <sheetData>
    <row r="2" spans="1:10" ht="28.2" x14ac:dyDescent="0.5">
      <c r="A2" s="729" t="s">
        <v>617</v>
      </c>
      <c r="B2" s="729"/>
      <c r="C2" s="729"/>
      <c r="D2" s="729"/>
      <c r="E2" s="729"/>
      <c r="F2" s="729"/>
      <c r="G2" s="729"/>
      <c r="H2" s="729"/>
      <c r="I2" s="729"/>
      <c r="J2" s="413"/>
    </row>
    <row r="3" spans="1:10" ht="16.2" thickBot="1" x14ac:dyDescent="0.35">
      <c r="A3" s="414"/>
      <c r="B3" s="414"/>
      <c r="C3" s="414"/>
      <c r="D3" s="414"/>
      <c r="E3" s="414"/>
      <c r="F3" s="414"/>
      <c r="G3" s="414"/>
      <c r="H3" s="414"/>
      <c r="I3" s="414"/>
    </row>
    <row r="4" spans="1:10" ht="18" thickTop="1" x14ac:dyDescent="0.3">
      <c r="A4" s="79"/>
      <c r="B4" s="81">
        <v>2001</v>
      </c>
      <c r="C4" s="81">
        <v>2002</v>
      </c>
      <c r="D4" s="81">
        <v>2003</v>
      </c>
      <c r="E4" s="81">
        <v>2004</v>
      </c>
      <c r="F4" s="81">
        <v>2005</v>
      </c>
      <c r="G4" s="81">
        <v>2006</v>
      </c>
      <c r="H4" s="81">
        <v>2007</v>
      </c>
      <c r="I4" s="81">
        <v>2008</v>
      </c>
    </row>
    <row r="5" spans="1:10" ht="17.399999999999999" x14ac:dyDescent="0.3">
      <c r="A5" s="79" t="s">
        <v>560</v>
      </c>
      <c r="B5" s="416">
        <v>0</v>
      </c>
      <c r="C5" s="416">
        <v>0</v>
      </c>
      <c r="D5" s="416">
        <v>0</v>
      </c>
      <c r="E5" s="416">
        <v>0</v>
      </c>
      <c r="F5" s="416">
        <v>0</v>
      </c>
      <c r="G5" s="416">
        <v>0</v>
      </c>
      <c r="H5" s="416">
        <v>0</v>
      </c>
      <c r="I5" s="416">
        <v>0</v>
      </c>
    </row>
    <row r="6" spans="1:10" ht="17.399999999999999" x14ac:dyDescent="0.3">
      <c r="A6" s="79" t="s">
        <v>559</v>
      </c>
      <c r="B6" s="83">
        <v>-0.23361999999999999</v>
      </c>
      <c r="C6" s="83">
        <v>-0.29975000000000002</v>
      </c>
      <c r="D6" s="83">
        <v>-0.15646000000000002</v>
      </c>
      <c r="E6" s="83">
        <v>-0.12748999999999999</v>
      </c>
      <c r="F6" s="83">
        <v>-0.33008999999999999</v>
      </c>
      <c r="G6" s="83">
        <v>-0.53888000000000003</v>
      </c>
      <c r="H6" s="83">
        <v>-0.40150999999999998</v>
      </c>
      <c r="I6" s="83">
        <v>-0.18624000000000002</v>
      </c>
    </row>
    <row r="7" spans="1:10" ht="17.399999999999999" x14ac:dyDescent="0.3">
      <c r="A7" s="79" t="s">
        <v>558</v>
      </c>
      <c r="B7" s="83">
        <v>-0.24459</v>
      </c>
      <c r="C7" s="83">
        <v>-0.21813999999999997</v>
      </c>
      <c r="D7" s="83">
        <v>-0.21065999999999999</v>
      </c>
      <c r="E7" s="83">
        <v>-0.16094</v>
      </c>
      <c r="F7" s="83">
        <v>-0.44180000000000003</v>
      </c>
      <c r="G7" s="83">
        <v>-0.32199</v>
      </c>
      <c r="H7" s="83">
        <v>-0.73151999999999995</v>
      </c>
      <c r="I7" s="83">
        <v>-0.55507000000000006</v>
      </c>
    </row>
    <row r="8" spans="1:10" ht="17.399999999999999" x14ac:dyDescent="0.3">
      <c r="A8" s="79" t="s">
        <v>557</v>
      </c>
      <c r="B8" s="83">
        <v>0</v>
      </c>
      <c r="C8" s="83">
        <v>0</v>
      </c>
      <c r="D8" s="83">
        <v>0</v>
      </c>
      <c r="E8" s="83">
        <v>0</v>
      </c>
      <c r="F8" s="83">
        <v>0</v>
      </c>
      <c r="G8" s="83">
        <v>0</v>
      </c>
      <c r="H8" s="83">
        <v>0</v>
      </c>
      <c r="I8" s="83">
        <v>0</v>
      </c>
    </row>
    <row r="9" spans="1:10" ht="17.399999999999999" x14ac:dyDescent="0.3">
      <c r="A9" s="79" t="s">
        <v>556</v>
      </c>
      <c r="B9" s="83">
        <v>0</v>
      </c>
      <c r="C9" s="83">
        <v>0</v>
      </c>
      <c r="D9" s="83">
        <v>0</v>
      </c>
      <c r="E9" s="83">
        <v>0</v>
      </c>
      <c r="F9" s="83">
        <v>0</v>
      </c>
      <c r="G9" s="83">
        <v>0</v>
      </c>
      <c r="H9" s="83">
        <v>0</v>
      </c>
      <c r="I9" s="83">
        <v>0</v>
      </c>
    </row>
    <row r="10" spans="1:10" ht="17.399999999999999" x14ac:dyDescent="0.3">
      <c r="A10" s="79" t="s">
        <v>555</v>
      </c>
      <c r="B10" s="83">
        <v>-0.11798</v>
      </c>
      <c r="C10" s="83">
        <v>-0.33933999999999997</v>
      </c>
      <c r="D10" s="83">
        <v>-9.6840000000000009E-2</v>
      </c>
      <c r="E10" s="83">
        <v>-9.6950000000000008E-2</v>
      </c>
      <c r="F10" s="83">
        <v>-0.17773</v>
      </c>
      <c r="G10" s="83">
        <v>-0.44486000000000003</v>
      </c>
      <c r="H10" s="83">
        <v>-0.98505999999999994</v>
      </c>
      <c r="I10" s="83">
        <v>-0.48931999999999998</v>
      </c>
    </row>
    <row r="11" spans="1:10" ht="17.399999999999999" x14ac:dyDescent="0.3">
      <c r="A11" s="79" t="s">
        <v>554</v>
      </c>
      <c r="B11" s="83">
        <v>0</v>
      </c>
      <c r="C11" s="83">
        <v>0</v>
      </c>
      <c r="D11" s="83">
        <v>0</v>
      </c>
      <c r="E11" s="83">
        <v>0</v>
      </c>
      <c r="F11" s="83">
        <v>0</v>
      </c>
      <c r="G11" s="83">
        <v>0</v>
      </c>
      <c r="H11" s="83">
        <v>0</v>
      </c>
      <c r="I11" s="83">
        <v>0</v>
      </c>
    </row>
    <row r="12" spans="1:10" ht="17.399999999999999" x14ac:dyDescent="0.3">
      <c r="A12" s="79" t="s">
        <v>553</v>
      </c>
      <c r="B12" s="83">
        <v>-0.41264999999999996</v>
      </c>
      <c r="C12" s="83">
        <v>-0.22813</v>
      </c>
      <c r="D12" s="83">
        <v>-0.29675999999999997</v>
      </c>
      <c r="E12" s="83">
        <v>-0.50727</v>
      </c>
      <c r="F12" s="83">
        <v>-0.30657999999999996</v>
      </c>
      <c r="G12" s="83">
        <v>-1.1952199999999999</v>
      </c>
      <c r="H12" s="83">
        <v>-2.7758699999999998</v>
      </c>
      <c r="I12" s="83">
        <v>-1.0780399999999999</v>
      </c>
    </row>
    <row r="13" spans="1:10" ht="17.399999999999999" x14ac:dyDescent="0.3">
      <c r="A13" s="79" t="s">
        <v>552</v>
      </c>
      <c r="B13" s="83">
        <v>-0.38744000000000001</v>
      </c>
      <c r="C13" s="83">
        <v>-0.35891000000000001</v>
      </c>
      <c r="D13" s="83">
        <v>-0.51897000000000004</v>
      </c>
      <c r="E13" s="83">
        <v>-0.51573999999999998</v>
      </c>
      <c r="F13" s="83">
        <v>-0.47392000000000001</v>
      </c>
      <c r="G13" s="83">
        <v>7.5379999999999989E-2</v>
      </c>
      <c r="H13" s="83">
        <v>0.42494999999999999</v>
      </c>
      <c r="I13" s="83">
        <v>-0.32650000000000001</v>
      </c>
    </row>
    <row r="14" spans="1:10" ht="17.399999999999999" x14ac:dyDescent="0.3">
      <c r="A14" s="79" t="s">
        <v>551</v>
      </c>
      <c r="B14" s="83">
        <v>-0.10992</v>
      </c>
      <c r="C14" s="83">
        <v>-0.11262999999999999</v>
      </c>
      <c r="D14" s="83">
        <v>-8.6180000000000007E-2</v>
      </c>
      <c r="E14" s="83">
        <v>-9.7869999999999999E-2</v>
      </c>
      <c r="F14" s="83">
        <v>-0.22199000000000002</v>
      </c>
      <c r="G14" s="83">
        <v>-0.38829000000000002</v>
      </c>
      <c r="H14" s="83">
        <v>-0.78583999999999998</v>
      </c>
      <c r="I14" s="83">
        <v>-0.35807</v>
      </c>
    </row>
    <row r="15" spans="1:10" ht="17.399999999999999" x14ac:dyDescent="0.3">
      <c r="A15" s="79" t="s">
        <v>550</v>
      </c>
      <c r="B15" s="83">
        <v>-0.23138</v>
      </c>
      <c r="C15" s="83">
        <v>-0.17186000000000001</v>
      </c>
      <c r="D15" s="83">
        <v>-0.17488000000000001</v>
      </c>
      <c r="E15" s="83">
        <v>-0.21012</v>
      </c>
      <c r="F15" s="83">
        <v>-0.29582999999999998</v>
      </c>
      <c r="G15" s="83">
        <v>-0.48446</v>
      </c>
      <c r="H15" s="83">
        <v>-0.89325999999999994</v>
      </c>
      <c r="I15" s="83">
        <v>-0.23646999999999999</v>
      </c>
    </row>
    <row r="16" spans="1:10" ht="17.399999999999999" x14ac:dyDescent="0.3">
      <c r="A16" s="79" t="s">
        <v>549</v>
      </c>
      <c r="B16" s="83">
        <v>19.58221</v>
      </c>
      <c r="C16" s="83">
        <v>11.87468</v>
      </c>
      <c r="D16" s="83">
        <v>24.637419999999999</v>
      </c>
      <c r="E16" s="83">
        <v>12.777950000000001</v>
      </c>
      <c r="F16" s="83">
        <v>9.1563400000000001</v>
      </c>
      <c r="G16" s="83">
        <v>8.7349699999999988</v>
      </c>
      <c r="H16" s="83">
        <v>24.126720000000002</v>
      </c>
      <c r="I16" s="83">
        <v>3.7505300000000004</v>
      </c>
    </row>
    <row r="17" spans="1:9" ht="17.399999999999999" x14ac:dyDescent="0.3">
      <c r="A17" s="79" t="s">
        <v>548</v>
      </c>
      <c r="B17" s="83">
        <v>8.3979900000000001</v>
      </c>
      <c r="C17" s="83">
        <v>-5.0113000000000003</v>
      </c>
      <c r="D17" s="83">
        <v>11.63749</v>
      </c>
      <c r="E17" s="83">
        <v>14.77885</v>
      </c>
      <c r="F17" s="83">
        <v>18.889400000000002</v>
      </c>
      <c r="G17" s="83">
        <v>24.725339999999999</v>
      </c>
      <c r="H17" s="83">
        <v>27.992560000000001</v>
      </c>
      <c r="I17" s="83">
        <v>13.441840000000001</v>
      </c>
    </row>
    <row r="18" spans="1:9" ht="17.399999999999999" x14ac:dyDescent="0.3">
      <c r="A18" s="79" t="s">
        <v>547</v>
      </c>
      <c r="B18" s="83">
        <v>-8.7050000000000002E-2</v>
      </c>
      <c r="C18" s="83">
        <v>-0.1661</v>
      </c>
      <c r="D18" s="83">
        <v>-7.2849999999999998E-2</v>
      </c>
      <c r="E18" s="83">
        <v>-8.8260000000000005E-2</v>
      </c>
      <c r="F18" s="83">
        <v>-0.21106999999999998</v>
      </c>
      <c r="G18" s="83">
        <v>-0.36181000000000002</v>
      </c>
      <c r="H18" s="83">
        <v>-0.76290000000000002</v>
      </c>
      <c r="I18" s="83">
        <v>-0.35825999999999997</v>
      </c>
    </row>
    <row r="19" spans="1:9" ht="17.399999999999999" x14ac:dyDescent="0.3">
      <c r="A19" s="79" t="s">
        <v>546</v>
      </c>
      <c r="B19" s="83">
        <v>0</v>
      </c>
      <c r="C19" s="83">
        <v>0</v>
      </c>
      <c r="D19" s="83">
        <v>0</v>
      </c>
      <c r="E19" s="83">
        <v>0</v>
      </c>
      <c r="F19" s="83">
        <v>0</v>
      </c>
      <c r="G19" s="83">
        <v>0</v>
      </c>
      <c r="H19" s="83">
        <v>0</v>
      </c>
      <c r="I19" s="83">
        <v>0</v>
      </c>
    </row>
    <row r="20" spans="1:9" ht="17.399999999999999" x14ac:dyDescent="0.3">
      <c r="A20" s="79" t="s">
        <v>296</v>
      </c>
      <c r="B20" s="83">
        <v>-0.90279999999999994</v>
      </c>
      <c r="C20" s="83">
        <v>-0.19499</v>
      </c>
      <c r="D20" s="83">
        <v>-0.71392999999999995</v>
      </c>
      <c r="E20" s="83">
        <v>-0.96289000000000002</v>
      </c>
      <c r="F20" s="83">
        <v>-1.4332400000000001</v>
      </c>
      <c r="G20" s="83">
        <v>-1.13252</v>
      </c>
      <c r="H20" s="83">
        <v>-1.54352</v>
      </c>
      <c r="I20" s="83">
        <v>-1.19249</v>
      </c>
    </row>
    <row r="21" spans="1:9" ht="17.399999999999999" x14ac:dyDescent="0.3">
      <c r="A21" s="79" t="s">
        <v>545</v>
      </c>
      <c r="B21" s="83">
        <v>-0.25831999999999999</v>
      </c>
      <c r="C21" s="83">
        <v>-0.58675999999999995</v>
      </c>
      <c r="D21" s="83">
        <v>-0.15894999999999998</v>
      </c>
      <c r="E21" s="83">
        <v>-0.31139999999999995</v>
      </c>
      <c r="F21" s="83">
        <v>-0.37225999999999998</v>
      </c>
      <c r="G21" s="83">
        <v>-0.33788000000000001</v>
      </c>
      <c r="H21" s="83">
        <v>-0.85775000000000001</v>
      </c>
      <c r="I21" s="83">
        <v>-0.38847999999999999</v>
      </c>
    </row>
    <row r="22" spans="1:9" ht="17.399999999999999" x14ac:dyDescent="0.3">
      <c r="A22" s="79" t="s">
        <v>544</v>
      </c>
      <c r="B22" s="83">
        <v>0</v>
      </c>
      <c r="C22" s="83">
        <v>0</v>
      </c>
      <c r="D22" s="83">
        <v>0</v>
      </c>
      <c r="E22" s="83">
        <v>0</v>
      </c>
      <c r="F22" s="83">
        <v>0</v>
      </c>
      <c r="G22" s="83">
        <v>0</v>
      </c>
      <c r="H22" s="83">
        <v>0</v>
      </c>
      <c r="I22" s="83">
        <v>0</v>
      </c>
    </row>
    <row r="23" spans="1:9" ht="17.399999999999999" x14ac:dyDescent="0.3">
      <c r="A23" s="79" t="s">
        <v>543</v>
      </c>
      <c r="B23" s="83">
        <v>-0.13561000000000001</v>
      </c>
      <c r="C23" s="83">
        <v>-0.39906999999999998</v>
      </c>
      <c r="D23" s="83">
        <v>-9.1480000000000006E-2</v>
      </c>
      <c r="E23" s="83">
        <v>-0.10575</v>
      </c>
      <c r="F23" s="83">
        <v>-0.26912999999999998</v>
      </c>
      <c r="G23" s="83">
        <v>-0.43031999999999998</v>
      </c>
      <c r="H23" s="83">
        <v>-0.93330999999999997</v>
      </c>
      <c r="I23" s="83">
        <v>-0.39380999999999999</v>
      </c>
    </row>
    <row r="24" spans="1:9" ht="17.399999999999999" x14ac:dyDescent="0.3">
      <c r="A24" s="79" t="s">
        <v>325</v>
      </c>
      <c r="B24" s="83">
        <v>-0.65585000000000004</v>
      </c>
      <c r="C24" s="83">
        <v>-0.65648000000000006</v>
      </c>
      <c r="D24" s="83">
        <v>-1.12629</v>
      </c>
      <c r="E24" s="83">
        <v>-1.5572900000000001</v>
      </c>
      <c r="F24" s="83">
        <v>-2.3626799999999997</v>
      </c>
      <c r="G24" s="83">
        <v>-2.48489</v>
      </c>
      <c r="H24" s="83">
        <v>-3.7472500000000002</v>
      </c>
      <c r="I24" s="83">
        <v>-2.2417800000000003</v>
      </c>
    </row>
    <row r="25" spans="1:9" ht="17.399999999999999" x14ac:dyDescent="0.3">
      <c r="A25" s="79" t="s">
        <v>542</v>
      </c>
      <c r="B25" s="83">
        <v>-0.36007</v>
      </c>
      <c r="C25" s="83">
        <v>-0.25774999999999998</v>
      </c>
      <c r="D25" s="83">
        <v>-0.36520999999999998</v>
      </c>
      <c r="E25" s="83">
        <v>-0.63946000000000003</v>
      </c>
      <c r="F25" s="83">
        <v>-0.73377000000000003</v>
      </c>
      <c r="G25" s="83">
        <v>-1.1772199999999999</v>
      </c>
      <c r="H25" s="83">
        <v>-2.0948200000000003</v>
      </c>
      <c r="I25" s="83">
        <v>-1.0026299999999999</v>
      </c>
    </row>
    <row r="26" spans="1:9" ht="17.399999999999999" x14ac:dyDescent="0.3">
      <c r="A26" s="79" t="s">
        <v>541</v>
      </c>
      <c r="B26" s="83">
        <v>-0.19736000000000001</v>
      </c>
      <c r="C26" s="83">
        <v>-0.29432999999999998</v>
      </c>
      <c r="D26" s="83">
        <v>-0.13836999999999999</v>
      </c>
      <c r="E26" s="83">
        <v>-4.9890000000000004E-2</v>
      </c>
      <c r="F26" s="83">
        <v>-0.25430000000000003</v>
      </c>
      <c r="G26" s="83">
        <v>-0.37801999999999997</v>
      </c>
      <c r="H26" s="83">
        <v>-0.79459000000000002</v>
      </c>
      <c r="I26" s="83">
        <v>-0.36637000000000003</v>
      </c>
    </row>
    <row r="27" spans="1:9" ht="17.399999999999999" x14ac:dyDescent="0.3">
      <c r="A27" s="79" t="s">
        <v>267</v>
      </c>
      <c r="B27" s="83">
        <v>0</v>
      </c>
      <c r="C27" s="83">
        <v>0</v>
      </c>
      <c r="D27" s="83">
        <v>0</v>
      </c>
      <c r="E27" s="83">
        <v>0</v>
      </c>
      <c r="F27" s="83">
        <v>8.3051899999999996</v>
      </c>
      <c r="G27" s="83">
        <v>0</v>
      </c>
      <c r="H27" s="83">
        <v>0</v>
      </c>
      <c r="I27" s="83">
        <v>9.5261599999999991</v>
      </c>
    </row>
    <row r="28" spans="1:9" ht="17.399999999999999" x14ac:dyDescent="0.3">
      <c r="A28" s="79" t="s">
        <v>540</v>
      </c>
      <c r="B28" s="83">
        <v>-7.0870000000000002E-2</v>
      </c>
      <c r="C28" s="83">
        <v>-0.1007</v>
      </c>
      <c r="D28" s="83">
        <v>-7.3889999999999997E-2</v>
      </c>
      <c r="E28" s="83">
        <v>-0.10050000000000001</v>
      </c>
      <c r="F28" s="83">
        <v>-0.19662000000000002</v>
      </c>
      <c r="G28" s="83">
        <v>-0.37139999999999995</v>
      </c>
      <c r="H28" s="83">
        <v>-0.76091999999999993</v>
      </c>
      <c r="I28" s="83">
        <v>-0.39862000000000003</v>
      </c>
    </row>
    <row r="29" spans="1:9" ht="17.399999999999999" x14ac:dyDescent="0.3">
      <c r="A29" s="79" t="s">
        <v>539</v>
      </c>
      <c r="B29" s="83">
        <v>-7.1499999999999994E-2</v>
      </c>
      <c r="C29" s="83">
        <v>-0.16556999999999999</v>
      </c>
      <c r="D29" s="83">
        <v>-3.3229999999999996E-2</v>
      </c>
      <c r="E29" s="83">
        <v>-7.1819999999999995E-2</v>
      </c>
      <c r="F29" s="83">
        <v>-0.15080000000000002</v>
      </c>
      <c r="G29" s="83">
        <v>-0.28010000000000002</v>
      </c>
      <c r="H29" s="83">
        <v>-0.17868000000000001</v>
      </c>
      <c r="I29" s="83">
        <v>-0.12522</v>
      </c>
    </row>
    <row r="30" spans="1:9" ht="17.399999999999999" x14ac:dyDescent="0.3">
      <c r="A30" s="79" t="s">
        <v>538</v>
      </c>
      <c r="B30" s="83">
        <v>-0.23635</v>
      </c>
      <c r="C30" s="83">
        <v>-0.45202999999999999</v>
      </c>
      <c r="D30" s="83">
        <v>-0.15143000000000001</v>
      </c>
      <c r="E30" s="83">
        <v>-0.12176999999999999</v>
      </c>
      <c r="F30" s="83">
        <v>-0.31160000000000004</v>
      </c>
      <c r="G30" s="83">
        <v>-0.51810999999999996</v>
      </c>
      <c r="H30" s="83">
        <v>-1.00356</v>
      </c>
      <c r="I30" s="83">
        <v>-0.48655000000000004</v>
      </c>
    </row>
    <row r="31" spans="1:9" ht="17.399999999999999" x14ac:dyDescent="0.3">
      <c r="A31" s="79" t="s">
        <v>537</v>
      </c>
      <c r="B31" s="83">
        <v>-0.29927999999999999</v>
      </c>
      <c r="C31" s="83">
        <v>-0.16584000000000002</v>
      </c>
      <c r="D31" s="83">
        <v>-0.19462000000000002</v>
      </c>
      <c r="E31" s="83">
        <v>-0.40003</v>
      </c>
      <c r="F31" s="83">
        <v>-0.47682999999999998</v>
      </c>
      <c r="G31" s="83">
        <v>-0.96938000000000002</v>
      </c>
      <c r="H31" s="83">
        <v>-1.8968</v>
      </c>
      <c r="I31" s="83">
        <v>-1.0056700000000001</v>
      </c>
    </row>
    <row r="32" spans="1:9" ht="17.399999999999999" x14ac:dyDescent="0.3">
      <c r="A32" s="79" t="s">
        <v>536</v>
      </c>
      <c r="B32" s="83">
        <v>3.5984400000000001</v>
      </c>
      <c r="C32" s="83">
        <v>3.1872399999999996</v>
      </c>
      <c r="D32" s="83">
        <v>2.5508000000000002</v>
      </c>
      <c r="E32" s="83">
        <v>8.9572800000000008</v>
      </c>
      <c r="F32" s="83">
        <v>24.220209999999998</v>
      </c>
      <c r="G32" s="83">
        <v>25.448730000000001</v>
      </c>
      <c r="H32" s="83">
        <v>80.835499999999996</v>
      </c>
      <c r="I32" s="83">
        <v>16.980589999999999</v>
      </c>
    </row>
    <row r="33" spans="1:9" ht="17.399999999999999" x14ac:dyDescent="0.3">
      <c r="A33" s="79" t="s">
        <v>535</v>
      </c>
      <c r="B33" s="83">
        <v>0</v>
      </c>
      <c r="C33" s="83">
        <v>0</v>
      </c>
      <c r="D33" s="83">
        <v>0</v>
      </c>
      <c r="E33" s="83">
        <v>0</v>
      </c>
      <c r="F33" s="83">
        <v>0</v>
      </c>
      <c r="G33" s="83">
        <v>0</v>
      </c>
      <c r="H33" s="83">
        <v>0</v>
      </c>
      <c r="I33" s="83">
        <v>0</v>
      </c>
    </row>
    <row r="34" spans="1:9" ht="17.399999999999999" x14ac:dyDescent="0.3">
      <c r="A34" s="79" t="s">
        <v>534</v>
      </c>
      <c r="B34" s="83">
        <v>-0.20760000000000001</v>
      </c>
      <c r="C34" s="83">
        <v>-0.14493</v>
      </c>
      <c r="D34" s="83">
        <v>-0.151</v>
      </c>
      <c r="E34" s="83">
        <v>-0.26336999999999999</v>
      </c>
      <c r="F34" s="83">
        <v>-0.41182000000000002</v>
      </c>
      <c r="G34" s="83">
        <v>-0.86044000000000009</v>
      </c>
      <c r="H34" s="83">
        <v>-0.60736999999999997</v>
      </c>
      <c r="I34" s="83">
        <v>-0.88483000000000001</v>
      </c>
    </row>
    <row r="35" spans="1:9" ht="17.399999999999999" x14ac:dyDescent="0.3">
      <c r="A35" s="79" t="s">
        <v>533</v>
      </c>
      <c r="B35" s="83">
        <v>-0.43670999999999999</v>
      </c>
      <c r="C35" s="83">
        <v>-0.45812000000000003</v>
      </c>
      <c r="D35" s="83">
        <v>-0.40356999999999998</v>
      </c>
      <c r="E35" s="83">
        <v>-0.45030000000000003</v>
      </c>
      <c r="F35" s="83">
        <v>-0.40761000000000003</v>
      </c>
      <c r="G35" s="83">
        <v>-0.33879999999999999</v>
      </c>
      <c r="H35" s="83">
        <v>-0.41160000000000002</v>
      </c>
      <c r="I35" s="83">
        <v>-0.91274</v>
      </c>
    </row>
    <row r="36" spans="1:9" ht="17.399999999999999" x14ac:dyDescent="0.3">
      <c r="A36" s="79" t="s">
        <v>532</v>
      </c>
      <c r="B36" s="83">
        <v>-0.22124000000000002</v>
      </c>
      <c r="C36" s="83">
        <v>-0.14029</v>
      </c>
      <c r="D36" s="83">
        <v>-0.15237000000000001</v>
      </c>
      <c r="E36" s="83">
        <v>-0.11595999999999999</v>
      </c>
      <c r="F36" s="83">
        <v>-0.27773000000000003</v>
      </c>
      <c r="G36" s="83">
        <v>-0.40198</v>
      </c>
      <c r="H36" s="83">
        <v>-0.83263999999999994</v>
      </c>
      <c r="I36" s="83">
        <v>-0.37747000000000003</v>
      </c>
    </row>
    <row r="37" spans="1:9" ht="17.399999999999999" x14ac:dyDescent="0.3">
      <c r="A37" s="79" t="s">
        <v>531</v>
      </c>
      <c r="B37" s="83">
        <v>-0.18103</v>
      </c>
      <c r="C37" s="83">
        <v>-0.32511000000000001</v>
      </c>
      <c r="D37" s="83">
        <v>-0.13732</v>
      </c>
      <c r="E37" s="83">
        <v>-7.5659999999999991E-2</v>
      </c>
      <c r="F37" s="83">
        <v>-0.26053999999999999</v>
      </c>
      <c r="G37" s="83">
        <v>-0.38527</v>
      </c>
      <c r="H37" s="83">
        <v>-0.79949000000000003</v>
      </c>
      <c r="I37" s="83">
        <v>-0.40401999999999999</v>
      </c>
    </row>
    <row r="38" spans="1:9" ht="17.399999999999999" x14ac:dyDescent="0.3">
      <c r="A38" s="79" t="s">
        <v>530</v>
      </c>
      <c r="B38" s="83">
        <v>-9.6810000000000007E-2</v>
      </c>
      <c r="C38" s="83">
        <v>-9.3790000000000012E-2</v>
      </c>
      <c r="D38" s="83">
        <v>-0.10587000000000001</v>
      </c>
      <c r="E38" s="83">
        <v>-0.12751999999999999</v>
      </c>
      <c r="F38" s="83">
        <v>-0.24784999999999999</v>
      </c>
      <c r="G38" s="83">
        <v>-0.46400999999999998</v>
      </c>
      <c r="H38" s="83">
        <v>-0.90279999999999994</v>
      </c>
      <c r="I38" s="83">
        <v>-0.51946999999999999</v>
      </c>
    </row>
    <row r="39" spans="1:9" ht="17.399999999999999" x14ac:dyDescent="0.3">
      <c r="A39" s="79" t="s">
        <v>529</v>
      </c>
      <c r="B39" s="83">
        <v>-0.29613999999999996</v>
      </c>
      <c r="C39" s="83">
        <v>-0.17663999999999999</v>
      </c>
      <c r="D39" s="83">
        <v>-0.18649000000000002</v>
      </c>
      <c r="E39" s="83">
        <v>-0.23318</v>
      </c>
      <c r="F39" s="83">
        <v>-0.24299999999999999</v>
      </c>
      <c r="G39" s="83">
        <v>-0.53522999999999998</v>
      </c>
      <c r="H39" s="83">
        <v>-1.38025</v>
      </c>
      <c r="I39" s="83">
        <v>-0.50211000000000006</v>
      </c>
    </row>
    <row r="40" spans="1:9" ht="17.399999999999999" x14ac:dyDescent="0.3">
      <c r="A40" s="79" t="s">
        <v>331</v>
      </c>
      <c r="B40" s="83">
        <v>4.8579799999999995</v>
      </c>
      <c r="C40" s="83">
        <v>-14.40461</v>
      </c>
      <c r="D40" s="83">
        <v>-32.433230000000002</v>
      </c>
      <c r="E40" s="83">
        <v>-5.2796700000000003</v>
      </c>
      <c r="F40" s="83">
        <v>-9.67056</v>
      </c>
      <c r="G40" s="83">
        <v>-10.06325</v>
      </c>
      <c r="H40" s="83">
        <v>-15.25159</v>
      </c>
      <c r="I40" s="83">
        <v>-9.3536599999999996</v>
      </c>
    </row>
    <row r="41" spans="1:9" ht="17.399999999999999" x14ac:dyDescent="0.3">
      <c r="A41" s="79" t="s">
        <v>528</v>
      </c>
      <c r="B41" s="83">
        <v>-0.12994999999999998</v>
      </c>
      <c r="C41" s="83">
        <v>-0.14374999999999999</v>
      </c>
      <c r="D41" s="83">
        <v>-9.6140000000000003E-2</v>
      </c>
      <c r="E41" s="83">
        <v>-0.1162</v>
      </c>
      <c r="F41" s="83">
        <v>-0.24133000000000002</v>
      </c>
      <c r="G41" s="83">
        <v>-0.44339999999999996</v>
      </c>
      <c r="H41" s="83">
        <v>-0.88022</v>
      </c>
      <c r="I41" s="83">
        <v>-0.38499</v>
      </c>
    </row>
    <row r="42" spans="1:9" ht="17.399999999999999" x14ac:dyDescent="0.3">
      <c r="A42" s="79" t="s">
        <v>248</v>
      </c>
      <c r="B42" s="83">
        <v>202.65172000000001</v>
      </c>
      <c r="C42" s="83">
        <v>252.18183999999999</v>
      </c>
      <c r="D42" s="83">
        <v>346.50519000000003</v>
      </c>
      <c r="E42" s="83">
        <v>476.65731</v>
      </c>
      <c r="F42" s="83">
        <v>462.87628000000001</v>
      </c>
      <c r="G42" s="83">
        <v>559.29925000000003</v>
      </c>
      <c r="H42" s="83">
        <v>797.87324999999998</v>
      </c>
      <c r="I42" s="83">
        <v>599.52824999999996</v>
      </c>
    </row>
    <row r="43" spans="1:9" ht="17.399999999999999" x14ac:dyDescent="0.3">
      <c r="A43" s="79" t="s">
        <v>527</v>
      </c>
      <c r="B43" s="83">
        <v>-0.20743</v>
      </c>
      <c r="C43" s="83">
        <v>-0.33499000000000001</v>
      </c>
      <c r="D43" s="83">
        <v>-0.15961</v>
      </c>
      <c r="E43" s="83">
        <v>-0.1176</v>
      </c>
      <c r="F43" s="83">
        <v>-0.28237000000000001</v>
      </c>
      <c r="G43" s="83">
        <v>-0.4128</v>
      </c>
      <c r="H43" s="83">
        <v>-0.84887999999999997</v>
      </c>
      <c r="I43" s="83">
        <v>-0.40543000000000001</v>
      </c>
    </row>
    <row r="44" spans="1:9" ht="17.399999999999999" x14ac:dyDescent="0.3">
      <c r="A44" s="79" t="s">
        <v>526</v>
      </c>
      <c r="B44" s="83">
        <v>-0.21778</v>
      </c>
      <c r="C44" s="83">
        <v>-0.32006999999999997</v>
      </c>
      <c r="D44" s="83">
        <v>-0.19905</v>
      </c>
      <c r="E44" s="83">
        <v>-7.4329999999999993E-2</v>
      </c>
      <c r="F44" s="83">
        <v>-0.30772000000000005</v>
      </c>
      <c r="G44" s="83">
        <v>-0.44839999999999997</v>
      </c>
      <c r="H44" s="83">
        <v>-0.89663000000000004</v>
      </c>
      <c r="I44" s="83">
        <v>-0.43052999999999997</v>
      </c>
    </row>
    <row r="45" spans="1:9" ht="17.399999999999999" x14ac:dyDescent="0.3">
      <c r="A45" s="79" t="s">
        <v>525</v>
      </c>
      <c r="B45" s="83">
        <v>-0.48769999999999997</v>
      </c>
      <c r="C45" s="83">
        <v>-0.88479999999999992</v>
      </c>
      <c r="D45" s="83">
        <v>-1.3188299999999999</v>
      </c>
      <c r="E45" s="83">
        <v>-1.7680100000000001</v>
      </c>
      <c r="F45" s="83">
        <v>-2.0815799999999998</v>
      </c>
      <c r="G45" s="83">
        <v>-3.5627300000000002</v>
      </c>
      <c r="H45" s="83">
        <v>-6.6883800000000004</v>
      </c>
      <c r="I45" s="83">
        <v>-4.5105399999999998</v>
      </c>
    </row>
    <row r="46" spans="1:9" ht="17.399999999999999" x14ac:dyDescent="0.3">
      <c r="A46" s="79" t="s">
        <v>337</v>
      </c>
      <c r="B46" s="83">
        <v>-4.6911000000000005</v>
      </c>
      <c r="C46" s="83">
        <v>-4.9489999999999998</v>
      </c>
      <c r="D46" s="83">
        <v>-7.2991200000000003</v>
      </c>
      <c r="E46" s="83">
        <v>-7.93527</v>
      </c>
      <c r="F46" s="83">
        <v>-11.148909999999999</v>
      </c>
      <c r="G46" s="83">
        <v>-13.727559999999999</v>
      </c>
      <c r="H46" s="83">
        <v>27.973189999999999</v>
      </c>
      <c r="I46" s="83">
        <v>-11.495379999999999</v>
      </c>
    </row>
    <row r="47" spans="1:9" ht="17.399999999999999" x14ac:dyDescent="0.3">
      <c r="A47" s="79" t="s">
        <v>524</v>
      </c>
      <c r="B47" s="83">
        <v>0</v>
      </c>
      <c r="C47" s="83">
        <v>0</v>
      </c>
      <c r="D47" s="83">
        <v>0</v>
      </c>
      <c r="E47" s="83">
        <v>0</v>
      </c>
      <c r="F47" s="83">
        <v>0</v>
      </c>
      <c r="G47" s="83">
        <v>0</v>
      </c>
      <c r="H47" s="83">
        <v>0</v>
      </c>
      <c r="I47" s="83">
        <v>0</v>
      </c>
    </row>
    <row r="48" spans="1:9" ht="17.399999999999999" x14ac:dyDescent="0.3">
      <c r="A48" s="79" t="s">
        <v>523</v>
      </c>
      <c r="B48" s="83">
        <v>0</v>
      </c>
      <c r="C48" s="83">
        <v>0</v>
      </c>
      <c r="D48" s="83">
        <v>0</v>
      </c>
      <c r="E48" s="83">
        <v>0</v>
      </c>
      <c r="F48" s="83">
        <v>0</v>
      </c>
      <c r="G48" s="83">
        <v>0</v>
      </c>
      <c r="H48" s="83">
        <v>0</v>
      </c>
      <c r="I48" s="83">
        <v>0</v>
      </c>
    </row>
    <row r="49" spans="1:9" ht="17.399999999999999" x14ac:dyDescent="0.3">
      <c r="A49" s="79" t="s">
        <v>522</v>
      </c>
      <c r="B49" s="83">
        <v>3.934E-2</v>
      </c>
      <c r="C49" s="83">
        <v>9.912E-2</v>
      </c>
      <c r="D49" s="83">
        <v>0.11428000000000001</v>
      </c>
      <c r="E49" s="83">
        <v>1.4326700000000001</v>
      </c>
      <c r="F49" s="83">
        <v>3.10256</v>
      </c>
      <c r="G49" s="83">
        <v>3.1751799999999997</v>
      </c>
      <c r="H49" s="83">
        <v>3.6676899999999999</v>
      </c>
      <c r="I49" s="83">
        <v>-1.0609000000000002</v>
      </c>
    </row>
    <row r="50" spans="1:9" ht="17.399999999999999" x14ac:dyDescent="0.3">
      <c r="A50" s="79" t="s">
        <v>521</v>
      </c>
      <c r="B50" s="83">
        <v>-0.18650999999999998</v>
      </c>
      <c r="C50" s="83">
        <v>-0.35447000000000001</v>
      </c>
      <c r="D50" s="83">
        <v>-0.15028</v>
      </c>
      <c r="E50" s="83">
        <v>-7.9730000000000009E-2</v>
      </c>
      <c r="F50" s="83">
        <v>-0.29346</v>
      </c>
      <c r="G50" s="83">
        <v>-0.43237999999999999</v>
      </c>
      <c r="H50" s="83">
        <v>-0.87350000000000005</v>
      </c>
      <c r="I50" s="83">
        <v>-0.44168999999999997</v>
      </c>
    </row>
    <row r="51" spans="1:9" ht="17.399999999999999" x14ac:dyDescent="0.3">
      <c r="A51" s="79" t="s">
        <v>520</v>
      </c>
      <c r="B51" s="83">
        <v>-0.22835</v>
      </c>
      <c r="C51" s="83">
        <v>-0.1535</v>
      </c>
      <c r="D51" s="83">
        <v>-0.16918</v>
      </c>
      <c r="E51" s="83">
        <v>-0.14516999999999999</v>
      </c>
      <c r="F51" s="83">
        <v>-0.30042000000000002</v>
      </c>
      <c r="G51" s="83">
        <v>-0.45302999999999999</v>
      </c>
      <c r="H51" s="83">
        <v>-0.88336999999999999</v>
      </c>
      <c r="I51" s="83">
        <v>-0.45480000000000004</v>
      </c>
    </row>
    <row r="52" spans="1:9" ht="17.399999999999999" x14ac:dyDescent="0.3">
      <c r="A52" s="79" t="s">
        <v>519</v>
      </c>
      <c r="B52" s="83">
        <v>-0.19566</v>
      </c>
      <c r="C52" s="83">
        <v>-0.34450999999999998</v>
      </c>
      <c r="D52" s="83">
        <v>-0.13331000000000001</v>
      </c>
      <c r="E52" s="83">
        <v>-9.9559999999999996E-2</v>
      </c>
      <c r="F52" s="83">
        <v>-0.25555</v>
      </c>
      <c r="G52" s="83">
        <v>-0.38250000000000001</v>
      </c>
      <c r="H52" s="83">
        <v>-0.76834999999999998</v>
      </c>
      <c r="I52" s="83">
        <v>-0.37675999999999998</v>
      </c>
    </row>
    <row r="53" spans="1:9" ht="17.399999999999999" x14ac:dyDescent="0.3">
      <c r="A53" s="79" t="s">
        <v>518</v>
      </c>
      <c r="B53" s="83">
        <v>0</v>
      </c>
      <c r="C53" s="83">
        <v>0</v>
      </c>
      <c r="D53" s="83">
        <v>0</v>
      </c>
      <c r="E53" s="83">
        <v>0</v>
      </c>
      <c r="F53" s="83">
        <v>0</v>
      </c>
      <c r="G53" s="83">
        <v>0</v>
      </c>
      <c r="H53" s="83">
        <v>0</v>
      </c>
      <c r="I53" s="83">
        <v>0</v>
      </c>
    </row>
    <row r="54" spans="1:9" ht="17.399999999999999" x14ac:dyDescent="0.3">
      <c r="A54" s="79" t="s">
        <v>517</v>
      </c>
      <c r="B54" s="83">
        <v>-0.17122000000000001</v>
      </c>
      <c r="C54" s="83">
        <v>-0.70214999999999994</v>
      </c>
      <c r="D54" s="83">
        <v>-0.32183999999999996</v>
      </c>
      <c r="E54" s="83">
        <v>-0.33681</v>
      </c>
      <c r="F54" s="83">
        <v>-0.44792000000000004</v>
      </c>
      <c r="G54" s="83">
        <v>-0.61094000000000004</v>
      </c>
      <c r="H54" s="83">
        <v>-0.51176999999999995</v>
      </c>
      <c r="I54" s="83">
        <v>-0.35136000000000001</v>
      </c>
    </row>
    <row r="55" spans="1:9" ht="17.399999999999999" x14ac:dyDescent="0.3">
      <c r="A55" s="79" t="s">
        <v>516</v>
      </c>
      <c r="B55" s="83">
        <v>-0.19844000000000001</v>
      </c>
      <c r="C55" s="83">
        <v>-3.3329999999999999E-2</v>
      </c>
      <c r="D55" s="83">
        <v>-0.15253</v>
      </c>
      <c r="E55" s="83">
        <v>-0.17047999999999999</v>
      </c>
      <c r="F55" s="83">
        <v>-0.14681</v>
      </c>
      <c r="G55" s="83">
        <v>1.23037</v>
      </c>
      <c r="H55" s="83">
        <v>1.62208</v>
      </c>
      <c r="I55" s="83">
        <v>-0.26295999999999997</v>
      </c>
    </row>
    <row r="56" spans="1:9" ht="17.399999999999999" x14ac:dyDescent="0.3">
      <c r="A56" s="79" t="s">
        <v>515</v>
      </c>
      <c r="B56" s="83">
        <v>0</v>
      </c>
      <c r="C56" s="83">
        <v>0</v>
      </c>
      <c r="D56" s="83">
        <v>0</v>
      </c>
      <c r="E56" s="83">
        <v>0</v>
      </c>
      <c r="F56" s="83">
        <v>0</v>
      </c>
      <c r="G56" s="83">
        <v>0</v>
      </c>
      <c r="H56" s="83">
        <v>0</v>
      </c>
      <c r="I56" s="83">
        <v>0</v>
      </c>
    </row>
    <row r="57" spans="1:9" ht="17.399999999999999" x14ac:dyDescent="0.3">
      <c r="A57" s="79" t="s">
        <v>333</v>
      </c>
      <c r="B57" s="83">
        <v>-0.40922000000000003</v>
      </c>
      <c r="C57" s="83">
        <v>-0.70838999999999996</v>
      </c>
      <c r="D57" s="83">
        <v>-0.88417999999999997</v>
      </c>
      <c r="E57" s="83">
        <v>-2.24214</v>
      </c>
      <c r="F57" s="83">
        <v>-1.1360299999999999</v>
      </c>
      <c r="G57" s="83">
        <v>-1.6320399999999999</v>
      </c>
      <c r="H57" s="83">
        <v>-2.1543299999999999</v>
      </c>
      <c r="I57" s="83">
        <v>-1.94743</v>
      </c>
    </row>
    <row r="58" spans="1:9" ht="17.399999999999999" x14ac:dyDescent="0.3">
      <c r="A58" s="79" t="s">
        <v>514</v>
      </c>
      <c r="B58" s="83">
        <v>1.30142</v>
      </c>
      <c r="C58" s="83">
        <v>1.6761600000000001</v>
      </c>
      <c r="D58" s="83">
        <v>0.65276000000000001</v>
      </c>
      <c r="E58" s="83">
        <v>1.5926900000000002</v>
      </c>
      <c r="F58" s="83">
        <v>2.0129999999999999E-2</v>
      </c>
      <c r="G58" s="83">
        <v>-0.20934999999999998</v>
      </c>
      <c r="H58" s="83">
        <v>-4.9988799999999998</v>
      </c>
      <c r="I58" s="83">
        <v>-3.8487300000000002</v>
      </c>
    </row>
    <row r="59" spans="1:9" ht="17.399999999999999" x14ac:dyDescent="0.3">
      <c r="A59" s="79" t="s">
        <v>513</v>
      </c>
      <c r="B59" s="83">
        <v>-0.32389000000000001</v>
      </c>
      <c r="C59" s="83">
        <v>-0.23721999999999999</v>
      </c>
      <c r="D59" s="83">
        <v>-0.22008000000000003</v>
      </c>
      <c r="E59" s="83">
        <v>-2.462E-2</v>
      </c>
      <c r="F59" s="83">
        <v>-0.16228000000000001</v>
      </c>
      <c r="G59" s="83">
        <v>-0.39974999999999999</v>
      </c>
      <c r="H59" s="83">
        <v>-0.48674000000000001</v>
      </c>
      <c r="I59" s="83">
        <v>-0.39773000000000003</v>
      </c>
    </row>
    <row r="60" spans="1:9" ht="17.399999999999999" x14ac:dyDescent="0.3">
      <c r="A60" s="79" t="s">
        <v>512</v>
      </c>
      <c r="B60" s="83">
        <v>5.4119799999999998</v>
      </c>
      <c r="C60" s="83">
        <v>1.6008800000000001</v>
      </c>
      <c r="D60" s="83">
        <v>2.3368099999999998</v>
      </c>
      <c r="E60" s="83">
        <v>10.425409999999999</v>
      </c>
      <c r="F60" s="83">
        <v>6.4784600000000001</v>
      </c>
      <c r="G60" s="83">
        <v>2.55193</v>
      </c>
      <c r="H60" s="83">
        <v>8.266729999999999</v>
      </c>
      <c r="I60" s="83">
        <v>0.76978999999999997</v>
      </c>
    </row>
    <row r="61" spans="1:9" ht="17.399999999999999" x14ac:dyDescent="0.3">
      <c r="A61" s="79" t="s">
        <v>511</v>
      </c>
      <c r="B61" s="83">
        <v>-0.1895</v>
      </c>
      <c r="C61" s="83">
        <v>-0.36327999999999999</v>
      </c>
      <c r="D61" s="83">
        <v>-0.15709000000000001</v>
      </c>
      <c r="E61" s="83">
        <v>-8.8819999999999996E-2</v>
      </c>
      <c r="F61" s="83">
        <v>-0.30813999999999997</v>
      </c>
      <c r="G61" s="83">
        <v>-0.44444</v>
      </c>
      <c r="H61" s="83">
        <v>-0.87309000000000003</v>
      </c>
      <c r="I61" s="83">
        <v>-0.43857000000000002</v>
      </c>
    </row>
    <row r="62" spans="1:9" ht="17.399999999999999" x14ac:dyDescent="0.3">
      <c r="A62" s="79" t="s">
        <v>510</v>
      </c>
      <c r="B62" s="83">
        <v>-0.31901000000000002</v>
      </c>
      <c r="C62" s="83">
        <v>-0.22755</v>
      </c>
      <c r="D62" s="83">
        <v>-0.16316</v>
      </c>
      <c r="E62" s="83">
        <v>-0.33679000000000003</v>
      </c>
      <c r="F62" s="83">
        <v>-0.40317000000000003</v>
      </c>
      <c r="G62" s="83">
        <v>-0.83398000000000005</v>
      </c>
      <c r="H62" s="83">
        <v>-1.6356700000000002</v>
      </c>
      <c r="I62" s="83">
        <v>-0.73688999999999993</v>
      </c>
    </row>
    <row r="63" spans="1:9" ht="17.399999999999999" x14ac:dyDescent="0.3">
      <c r="A63" s="79" t="s">
        <v>509</v>
      </c>
      <c r="B63" s="83">
        <v>-6.7510000000000001E-2</v>
      </c>
      <c r="C63" s="83">
        <v>-1.154E-2</v>
      </c>
      <c r="D63" s="83">
        <v>-5.5799999999999995E-2</v>
      </c>
      <c r="E63" s="83">
        <v>-7.5379999999999989E-2</v>
      </c>
      <c r="F63" s="83">
        <v>-0.14577999999999999</v>
      </c>
      <c r="G63" s="83">
        <v>-0.28573000000000004</v>
      </c>
      <c r="H63" s="83">
        <v>-0.65060000000000007</v>
      </c>
      <c r="I63" s="83">
        <v>-0.24288999999999999</v>
      </c>
    </row>
    <row r="64" spans="1:9" ht="17.399999999999999" x14ac:dyDescent="0.3">
      <c r="A64" s="79" t="s">
        <v>508</v>
      </c>
      <c r="B64" s="83">
        <v>-0.13903000000000001</v>
      </c>
      <c r="C64" s="83">
        <v>-0.13203999999999999</v>
      </c>
      <c r="D64" s="83">
        <v>-8.7590000000000001E-2</v>
      </c>
      <c r="E64" s="83">
        <v>-0.15123</v>
      </c>
      <c r="F64" s="83">
        <v>-0.26569999999999999</v>
      </c>
      <c r="G64" s="83">
        <v>-0.29441000000000001</v>
      </c>
      <c r="H64" s="83">
        <v>-0.50495000000000001</v>
      </c>
      <c r="I64" s="83">
        <v>-0.35899999999999999</v>
      </c>
    </row>
    <row r="65" spans="1:9" ht="17.399999999999999" x14ac:dyDescent="0.3">
      <c r="A65" s="79" t="s">
        <v>334</v>
      </c>
      <c r="B65" s="83">
        <v>0.76700999999999997</v>
      </c>
      <c r="C65" s="83">
        <v>0.91992999999999991</v>
      </c>
      <c r="D65" s="83">
        <v>0.20362</v>
      </c>
      <c r="E65" s="83">
        <v>-1.3526800000000001</v>
      </c>
      <c r="F65" s="83">
        <v>-1.8190999999999999</v>
      </c>
      <c r="G65" s="83">
        <v>-2.5295799999999997</v>
      </c>
      <c r="H65" s="83">
        <v>-3.8658099999999997</v>
      </c>
      <c r="I65" s="83">
        <v>-3.8505100000000003</v>
      </c>
    </row>
    <row r="66" spans="1:9" ht="17.399999999999999" x14ac:dyDescent="0.3">
      <c r="A66" s="79" t="s">
        <v>507</v>
      </c>
      <c r="B66" s="83">
        <v>-7.0540000000000005E-2</v>
      </c>
      <c r="C66" s="83">
        <v>-0.15271999999999999</v>
      </c>
      <c r="D66" s="83">
        <v>-9.6509999999999999E-2</v>
      </c>
      <c r="E66" s="83">
        <v>-0.13958999999999999</v>
      </c>
      <c r="F66" s="83">
        <v>-0.21306</v>
      </c>
      <c r="G66" s="83">
        <v>-0.28920999999999997</v>
      </c>
      <c r="H66" s="83">
        <v>-0.22046000000000002</v>
      </c>
      <c r="I66" s="83">
        <v>-7.392E-2</v>
      </c>
    </row>
    <row r="67" spans="1:9" ht="17.399999999999999" x14ac:dyDescent="0.3">
      <c r="A67" s="79" t="s">
        <v>506</v>
      </c>
      <c r="B67" s="83">
        <v>-0.15503999999999998</v>
      </c>
      <c r="C67" s="83">
        <v>-0.25251000000000001</v>
      </c>
      <c r="D67" s="83">
        <v>-0.11993000000000001</v>
      </c>
      <c r="E67" s="83">
        <v>-6.7720000000000002E-2</v>
      </c>
      <c r="F67" s="83">
        <v>-0.30475999999999998</v>
      </c>
      <c r="G67" s="83">
        <v>-0.46720999999999996</v>
      </c>
      <c r="H67" s="83">
        <v>-0.8500700000000001</v>
      </c>
      <c r="I67" s="83">
        <v>-0.47738999999999998</v>
      </c>
    </row>
    <row r="68" spans="1:9" ht="17.399999999999999" x14ac:dyDescent="0.3">
      <c r="A68" s="79" t="s">
        <v>505</v>
      </c>
      <c r="B68" s="83">
        <v>-0.24209999999999998</v>
      </c>
      <c r="C68" s="83">
        <v>-0.12722</v>
      </c>
      <c r="D68" s="83">
        <v>-0.13172</v>
      </c>
      <c r="E68" s="83">
        <v>-0.30593999999999999</v>
      </c>
      <c r="F68" s="83">
        <v>-0.46894999999999998</v>
      </c>
      <c r="G68" s="83">
        <v>-0.82950000000000002</v>
      </c>
      <c r="H68" s="83">
        <v>-1.66039</v>
      </c>
      <c r="I68" s="83">
        <v>-0.78134999999999999</v>
      </c>
    </row>
    <row r="69" spans="1:9" ht="17.399999999999999" x14ac:dyDescent="0.3">
      <c r="A69" s="79" t="s">
        <v>504</v>
      </c>
      <c r="B69" s="83">
        <v>6.7930000000000004E-2</v>
      </c>
      <c r="C69" s="83">
        <v>-0.10099</v>
      </c>
      <c r="D69" s="83">
        <v>-0.19535</v>
      </c>
      <c r="E69" s="83">
        <v>-0.35489999999999999</v>
      </c>
      <c r="F69" s="83">
        <v>-0.86414999999999997</v>
      </c>
      <c r="G69" s="83">
        <v>-1.6243800000000002</v>
      </c>
      <c r="H69" s="83">
        <v>-0.98244000000000009</v>
      </c>
      <c r="I69" s="83">
        <v>-0.7045800000000001</v>
      </c>
    </row>
    <row r="70" spans="1:9" ht="17.399999999999999" x14ac:dyDescent="0.3">
      <c r="A70" s="79" t="s">
        <v>503</v>
      </c>
      <c r="B70" s="83">
        <v>-0.15102000000000002</v>
      </c>
      <c r="C70" s="83">
        <v>-0.12029999999999999</v>
      </c>
      <c r="D70" s="83">
        <v>-9.759000000000001E-2</v>
      </c>
      <c r="E70" s="83">
        <v>-0.18947999999999998</v>
      </c>
      <c r="F70" s="83">
        <v>-0.29729</v>
      </c>
      <c r="G70" s="83">
        <v>-0.5569400000000001</v>
      </c>
      <c r="H70" s="83">
        <v>-0.33945999999999998</v>
      </c>
      <c r="I70" s="83">
        <v>-0.21818000000000001</v>
      </c>
    </row>
    <row r="71" spans="1:9" ht="17.399999999999999" x14ac:dyDescent="0.3">
      <c r="A71" s="79" t="s">
        <v>502</v>
      </c>
      <c r="B71" s="83">
        <v>0</v>
      </c>
      <c r="C71" s="83">
        <v>0</v>
      </c>
      <c r="D71" s="83">
        <v>0</v>
      </c>
      <c r="E71" s="83">
        <v>0</v>
      </c>
      <c r="F71" s="83">
        <v>0</v>
      </c>
      <c r="G71" s="83">
        <v>0</v>
      </c>
      <c r="H71" s="83">
        <v>0</v>
      </c>
      <c r="I71" s="83">
        <v>0</v>
      </c>
    </row>
    <row r="72" spans="1:9" ht="17.399999999999999" x14ac:dyDescent="0.3">
      <c r="A72" s="79" t="s">
        <v>501</v>
      </c>
      <c r="B72" s="83">
        <v>0</v>
      </c>
      <c r="C72" s="83">
        <v>0</v>
      </c>
      <c r="D72" s="83">
        <v>0</v>
      </c>
      <c r="E72" s="83">
        <v>0</v>
      </c>
      <c r="F72" s="83">
        <v>0</v>
      </c>
      <c r="G72" s="83">
        <v>0</v>
      </c>
      <c r="H72" s="83">
        <v>0</v>
      </c>
      <c r="I72" s="83">
        <v>0</v>
      </c>
    </row>
    <row r="73" spans="1:9" ht="17.399999999999999" x14ac:dyDescent="0.3">
      <c r="A73" s="79" t="s">
        <v>500</v>
      </c>
      <c r="B73" s="83">
        <v>-0.15161000000000002</v>
      </c>
      <c r="C73" s="83">
        <v>-6.6909999999999997E-2</v>
      </c>
      <c r="D73" s="83">
        <v>-0.11011</v>
      </c>
      <c r="E73" s="83">
        <v>-0.39922000000000002</v>
      </c>
      <c r="F73" s="83">
        <v>-0.36701</v>
      </c>
      <c r="G73" s="83">
        <v>-0.64222000000000001</v>
      </c>
      <c r="H73" s="83">
        <v>-1.2763499999999999</v>
      </c>
      <c r="I73" s="83">
        <v>-0.57455000000000001</v>
      </c>
    </row>
    <row r="74" spans="1:9" ht="17.399999999999999" x14ac:dyDescent="0.3">
      <c r="A74" s="79" t="s">
        <v>499</v>
      </c>
      <c r="B74" s="83">
        <v>15.499469999999999</v>
      </c>
      <c r="C74" s="83">
        <v>7.1425799999999997</v>
      </c>
      <c r="D74" s="83">
        <v>5.5802100000000001</v>
      </c>
      <c r="E74" s="83">
        <v>-1.88608</v>
      </c>
      <c r="F74" s="83">
        <v>8.1060000000000007E-2</v>
      </c>
      <c r="G74" s="83">
        <v>10.24311</v>
      </c>
      <c r="H74" s="83">
        <v>7.4527999999999999</v>
      </c>
      <c r="I74" s="83">
        <v>-5.5064299999999999</v>
      </c>
    </row>
    <row r="75" spans="1:9" ht="17.399999999999999" x14ac:dyDescent="0.3">
      <c r="A75" s="79" t="s">
        <v>347</v>
      </c>
      <c r="B75" s="83">
        <v>19.85594</v>
      </c>
      <c r="C75" s="83">
        <v>47.9895</v>
      </c>
      <c r="D75" s="83">
        <v>67.745159999999998</v>
      </c>
      <c r="E75" s="83">
        <v>51.264749999999999</v>
      </c>
      <c r="F75" s="83">
        <v>67.278310000000005</v>
      </c>
      <c r="G75" s="83">
        <v>98.095190000000002</v>
      </c>
      <c r="H75" s="83">
        <v>21.637</v>
      </c>
      <c r="I75" s="83">
        <v>10.31781</v>
      </c>
    </row>
    <row r="76" spans="1:9" ht="17.399999999999999" x14ac:dyDescent="0.3">
      <c r="A76" s="79" t="s">
        <v>498</v>
      </c>
      <c r="B76" s="83">
        <v>0</v>
      </c>
      <c r="C76" s="83">
        <v>0</v>
      </c>
      <c r="D76" s="83">
        <v>0</v>
      </c>
      <c r="E76" s="83">
        <v>0</v>
      </c>
      <c r="F76" s="83">
        <v>0</v>
      </c>
      <c r="G76" s="83">
        <v>0</v>
      </c>
      <c r="H76" s="83">
        <v>0</v>
      </c>
      <c r="I76" s="83">
        <v>0</v>
      </c>
    </row>
    <row r="77" spans="1:9" ht="17.399999999999999" x14ac:dyDescent="0.3">
      <c r="A77" s="79" t="s">
        <v>497</v>
      </c>
      <c r="B77" s="83">
        <v>0</v>
      </c>
      <c r="C77" s="83">
        <v>0</v>
      </c>
      <c r="D77" s="83">
        <v>0</v>
      </c>
      <c r="E77" s="83">
        <v>0</v>
      </c>
      <c r="F77" s="83">
        <v>0</v>
      </c>
      <c r="G77" s="83">
        <v>0</v>
      </c>
      <c r="H77" s="83">
        <v>0</v>
      </c>
      <c r="I77" s="83">
        <v>0</v>
      </c>
    </row>
    <row r="78" spans="1:9" ht="17.399999999999999" x14ac:dyDescent="0.3">
      <c r="A78" s="79" t="s">
        <v>496</v>
      </c>
      <c r="B78" s="83">
        <v>0</v>
      </c>
      <c r="C78" s="83">
        <v>0</v>
      </c>
      <c r="D78" s="83">
        <v>0</v>
      </c>
      <c r="E78" s="83">
        <v>0</v>
      </c>
      <c r="F78" s="83">
        <v>0</v>
      </c>
      <c r="G78" s="83">
        <v>0</v>
      </c>
      <c r="H78" s="83">
        <v>0</v>
      </c>
      <c r="I78" s="83">
        <v>0</v>
      </c>
    </row>
    <row r="79" spans="1:9" ht="17.399999999999999" x14ac:dyDescent="0.3">
      <c r="A79" s="79" t="s">
        <v>495</v>
      </c>
      <c r="B79" s="83">
        <v>-3.6139999999999999E-2</v>
      </c>
      <c r="C79" s="83">
        <v>-4.2340000000000003E-2</v>
      </c>
      <c r="D79" s="83">
        <v>-8.7290000000000006E-2</v>
      </c>
      <c r="E79" s="83">
        <v>-0.23046</v>
      </c>
      <c r="F79" s="83">
        <v>-0.22784000000000001</v>
      </c>
      <c r="G79" s="83">
        <v>-0.48999000000000004</v>
      </c>
      <c r="H79" s="83">
        <v>-0.26027999999999996</v>
      </c>
      <c r="I79" s="83">
        <v>-7.7359999999999998E-2</v>
      </c>
    </row>
    <row r="80" spans="1:9" ht="17.399999999999999" x14ac:dyDescent="0.3">
      <c r="A80" s="79" t="s">
        <v>494</v>
      </c>
      <c r="B80" s="83">
        <v>-0.25330000000000003</v>
      </c>
      <c r="C80" s="83">
        <v>-0.11615</v>
      </c>
      <c r="D80" s="83">
        <v>-0.12640000000000001</v>
      </c>
      <c r="E80" s="83">
        <v>-0.30251999999999996</v>
      </c>
      <c r="F80" s="83">
        <v>-0.41064000000000001</v>
      </c>
      <c r="G80" s="83">
        <v>-0.79274999999999995</v>
      </c>
      <c r="H80" s="83">
        <v>-1.6301199999999998</v>
      </c>
      <c r="I80" s="83">
        <v>-0.73194000000000004</v>
      </c>
    </row>
    <row r="81" spans="1:9" ht="17.399999999999999" x14ac:dyDescent="0.3">
      <c r="A81" s="79" t="s">
        <v>493</v>
      </c>
      <c r="B81" s="83">
        <v>-0.19428999999999999</v>
      </c>
      <c r="C81" s="83">
        <v>-0.14756</v>
      </c>
      <c r="D81" s="83">
        <v>-0.14958000000000002</v>
      </c>
      <c r="E81" s="83">
        <v>-0.16559000000000001</v>
      </c>
      <c r="F81" s="83">
        <v>-0.33252999999999999</v>
      </c>
      <c r="G81" s="83">
        <v>-0.32017000000000001</v>
      </c>
      <c r="H81" s="83">
        <v>-0.19202000000000002</v>
      </c>
      <c r="I81" s="83">
        <v>0.18999000000000002</v>
      </c>
    </row>
    <row r="82" spans="1:9" ht="17.399999999999999" x14ac:dyDescent="0.3">
      <c r="A82" s="79" t="s">
        <v>326</v>
      </c>
      <c r="B82" s="83">
        <v>16.980160000000001</v>
      </c>
      <c r="C82" s="83">
        <v>12.18</v>
      </c>
      <c r="D82" s="83">
        <v>26.408750000000001</v>
      </c>
      <c r="E82" s="83">
        <v>-7.2015600000000006</v>
      </c>
      <c r="F82" s="83">
        <v>-9.5626599999999993</v>
      </c>
      <c r="G82" s="83">
        <v>-13.36612</v>
      </c>
      <c r="H82" s="83">
        <v>-22.069380000000002</v>
      </c>
      <c r="I82" s="83">
        <v>-13.96819</v>
      </c>
    </row>
    <row r="83" spans="1:9" ht="17.399999999999999" x14ac:dyDescent="0.3">
      <c r="A83" s="79" t="s">
        <v>492</v>
      </c>
      <c r="B83" s="83">
        <v>-0.39306999999999997</v>
      </c>
      <c r="C83" s="83">
        <v>-9.2579999999999996E-2</v>
      </c>
      <c r="D83" s="83">
        <v>-0.12794</v>
      </c>
      <c r="E83" s="83">
        <v>-0.18718000000000001</v>
      </c>
      <c r="F83" s="83">
        <v>-0.84126000000000001</v>
      </c>
      <c r="G83" s="83">
        <v>-1.5341300000000002</v>
      </c>
      <c r="H83" s="83">
        <v>-0.36774000000000001</v>
      </c>
      <c r="I83" s="83">
        <v>-1.40147</v>
      </c>
    </row>
    <row r="84" spans="1:9" ht="17.399999999999999" x14ac:dyDescent="0.3">
      <c r="A84" s="79" t="s">
        <v>491</v>
      </c>
      <c r="B84" s="83">
        <v>0</v>
      </c>
      <c r="C84" s="83">
        <v>0</v>
      </c>
      <c r="D84" s="83">
        <v>0</v>
      </c>
      <c r="E84" s="83">
        <v>0</v>
      </c>
      <c r="F84" s="83">
        <v>0</v>
      </c>
      <c r="G84" s="83">
        <v>0</v>
      </c>
      <c r="H84" s="83">
        <v>0</v>
      </c>
      <c r="I84" s="83">
        <v>0</v>
      </c>
    </row>
    <row r="85" spans="1:9" ht="17.399999999999999" x14ac:dyDescent="0.3">
      <c r="A85" s="79" t="s">
        <v>327</v>
      </c>
      <c r="B85" s="83">
        <v>0.73290999999999995</v>
      </c>
      <c r="C85" s="83">
        <v>2.5597699999999999</v>
      </c>
      <c r="D85" s="83">
        <v>4.1583199999999998</v>
      </c>
      <c r="E85" s="83">
        <v>6.6182299999999996</v>
      </c>
      <c r="F85" s="83">
        <v>7.8918900000000001</v>
      </c>
      <c r="G85" s="83">
        <v>8.0498100000000008</v>
      </c>
      <c r="H85" s="83">
        <v>19.378119999999999</v>
      </c>
      <c r="I85" s="83">
        <v>0.27755000000000002</v>
      </c>
    </row>
    <row r="86" spans="1:9" ht="17.399999999999999" x14ac:dyDescent="0.3">
      <c r="A86" s="79" t="s">
        <v>490</v>
      </c>
      <c r="B86" s="83">
        <v>0</v>
      </c>
      <c r="C86" s="83">
        <v>0</v>
      </c>
      <c r="D86" s="83">
        <v>0</v>
      </c>
      <c r="E86" s="83">
        <v>0</v>
      </c>
      <c r="F86" s="83">
        <v>0</v>
      </c>
      <c r="G86" s="83">
        <v>0</v>
      </c>
      <c r="H86" s="83">
        <v>0</v>
      </c>
      <c r="I86" s="83">
        <v>0</v>
      </c>
    </row>
    <row r="87" spans="1:9" ht="17.399999999999999" x14ac:dyDescent="0.3">
      <c r="A87" s="79" t="s">
        <v>489</v>
      </c>
      <c r="B87" s="83">
        <v>-0.24812999999999999</v>
      </c>
      <c r="C87" s="83">
        <v>-0.12611</v>
      </c>
      <c r="D87" s="83">
        <v>-0.18362000000000001</v>
      </c>
      <c r="E87" s="83">
        <v>-0.35639999999999999</v>
      </c>
      <c r="F87" s="83">
        <v>-0.40843000000000002</v>
      </c>
      <c r="G87" s="83">
        <v>-0.76308000000000009</v>
      </c>
      <c r="H87" s="83">
        <v>-1.52033</v>
      </c>
      <c r="I87" s="83">
        <v>-0.65452999999999995</v>
      </c>
    </row>
    <row r="88" spans="1:9" ht="17.399999999999999" x14ac:dyDescent="0.3">
      <c r="A88" s="79" t="s">
        <v>488</v>
      </c>
      <c r="B88" s="83">
        <v>0</v>
      </c>
      <c r="C88" s="83">
        <v>0</v>
      </c>
      <c r="D88" s="83">
        <v>0</v>
      </c>
      <c r="E88" s="83">
        <v>0</v>
      </c>
      <c r="F88" s="83">
        <v>0</v>
      </c>
      <c r="G88" s="83">
        <v>0</v>
      </c>
      <c r="H88" s="83">
        <v>0</v>
      </c>
      <c r="I88" s="83">
        <v>0</v>
      </c>
    </row>
    <row r="89" spans="1:9" ht="17.399999999999999" x14ac:dyDescent="0.3">
      <c r="A89" s="79" t="s">
        <v>487</v>
      </c>
      <c r="B89" s="83">
        <v>0</v>
      </c>
      <c r="C89" s="83">
        <v>0</v>
      </c>
      <c r="D89" s="83">
        <v>0</v>
      </c>
      <c r="E89" s="83">
        <v>0</v>
      </c>
      <c r="F89" s="83">
        <v>0</v>
      </c>
      <c r="G89" s="83">
        <v>0</v>
      </c>
      <c r="H89" s="83">
        <v>0</v>
      </c>
      <c r="I89" s="83">
        <v>0</v>
      </c>
    </row>
    <row r="90" spans="1:9" ht="17.399999999999999" x14ac:dyDescent="0.3">
      <c r="A90" s="79" t="s">
        <v>486</v>
      </c>
      <c r="B90" s="83">
        <v>-8.9469999999999994E-2</v>
      </c>
      <c r="C90" s="83">
        <v>-0.4516</v>
      </c>
      <c r="D90" s="83">
        <v>-0.12007</v>
      </c>
      <c r="E90" s="83">
        <v>-0.15627000000000002</v>
      </c>
      <c r="F90" s="83">
        <v>-0.23535</v>
      </c>
      <c r="G90" s="83">
        <v>-0.36330000000000001</v>
      </c>
      <c r="H90" s="83">
        <v>-0.72911000000000004</v>
      </c>
      <c r="I90" s="83">
        <v>-0.30810999999999999</v>
      </c>
    </row>
    <row r="91" spans="1:9" ht="17.399999999999999" x14ac:dyDescent="0.3">
      <c r="A91" s="79" t="s">
        <v>262</v>
      </c>
      <c r="B91" s="83">
        <v>21.064679999999999</v>
      </c>
      <c r="C91" s="83">
        <v>24.087029999999999</v>
      </c>
      <c r="D91" s="83">
        <v>35.482390000000002</v>
      </c>
      <c r="E91" s="83">
        <v>54.25685</v>
      </c>
      <c r="F91" s="83">
        <v>68.519890000000004</v>
      </c>
      <c r="G91" s="83">
        <v>91.138649999999998</v>
      </c>
      <c r="H91" s="83">
        <v>126.45197999999999</v>
      </c>
      <c r="I91" s="83">
        <v>69.253289999999993</v>
      </c>
    </row>
    <row r="92" spans="1:9" ht="17.399999999999999" x14ac:dyDescent="0.3">
      <c r="A92" s="79" t="s">
        <v>485</v>
      </c>
      <c r="B92" s="83">
        <v>-0.21356999999999998</v>
      </c>
      <c r="C92" s="83">
        <v>-0.28643000000000002</v>
      </c>
      <c r="D92" s="83">
        <v>-0.15441999999999997</v>
      </c>
      <c r="E92" s="83">
        <v>-6.6299999999999998E-2</v>
      </c>
      <c r="F92" s="83">
        <v>-0.26021</v>
      </c>
      <c r="G92" s="83">
        <v>-0.39909</v>
      </c>
      <c r="H92" s="83">
        <v>-0.81170000000000009</v>
      </c>
      <c r="I92" s="83">
        <v>-0.33573999999999998</v>
      </c>
    </row>
    <row r="93" spans="1:9" ht="17.399999999999999" x14ac:dyDescent="0.3">
      <c r="A93" s="79" t="s">
        <v>484</v>
      </c>
      <c r="B93" s="83">
        <v>-0.13387000000000002</v>
      </c>
      <c r="C93" s="83">
        <v>-0.16438</v>
      </c>
      <c r="D93" s="83">
        <v>-9.8729999999999998E-2</v>
      </c>
      <c r="E93" s="83">
        <v>-0.11534</v>
      </c>
      <c r="F93" s="83">
        <v>-0.23513000000000001</v>
      </c>
      <c r="G93" s="83">
        <v>-0.40786</v>
      </c>
      <c r="H93" s="83">
        <v>-0.8510700000000001</v>
      </c>
      <c r="I93" s="83">
        <v>-0.37998000000000004</v>
      </c>
    </row>
    <row r="94" spans="1:9" ht="17.399999999999999" x14ac:dyDescent="0.3">
      <c r="A94" s="79" t="s">
        <v>483</v>
      </c>
      <c r="B94" s="83">
        <v>-0.28943999999999998</v>
      </c>
      <c r="C94" s="83">
        <v>-0.14521999999999999</v>
      </c>
      <c r="D94" s="83">
        <v>-0.19461000000000001</v>
      </c>
      <c r="E94" s="83">
        <v>-0.1154</v>
      </c>
      <c r="F94" s="83">
        <v>-0.49031999999999998</v>
      </c>
      <c r="G94" s="83">
        <v>-0.26162999999999997</v>
      </c>
      <c r="H94" s="83">
        <v>-0.47935</v>
      </c>
      <c r="I94" s="83">
        <v>-0.34825</v>
      </c>
    </row>
    <row r="95" spans="1:9" ht="17.399999999999999" x14ac:dyDescent="0.3">
      <c r="A95" s="79" t="s">
        <v>482</v>
      </c>
      <c r="B95" s="83">
        <v>-0.19037000000000001</v>
      </c>
      <c r="C95" s="83">
        <v>-0.25474999999999998</v>
      </c>
      <c r="D95" s="83">
        <v>-0.27073000000000003</v>
      </c>
      <c r="E95" s="83">
        <v>-0.17161999999999999</v>
      </c>
      <c r="F95" s="83">
        <v>-0.32873000000000002</v>
      </c>
      <c r="G95" s="83">
        <v>-0.44892000000000004</v>
      </c>
      <c r="H95" s="83">
        <v>-0.39549000000000001</v>
      </c>
      <c r="I95" s="83">
        <v>-0.19688</v>
      </c>
    </row>
    <row r="96" spans="1:9" ht="17.399999999999999" x14ac:dyDescent="0.3">
      <c r="A96" s="79" t="s">
        <v>481</v>
      </c>
      <c r="B96" s="83">
        <v>-0.14163999999999999</v>
      </c>
      <c r="C96" s="83">
        <v>-0.28976000000000002</v>
      </c>
      <c r="D96" s="83">
        <v>-0.21348</v>
      </c>
      <c r="E96" s="83">
        <v>-0.27056000000000002</v>
      </c>
      <c r="F96" s="83">
        <v>-0.33539999999999998</v>
      </c>
      <c r="G96" s="83">
        <v>-0.49991000000000002</v>
      </c>
      <c r="H96" s="83">
        <v>-0.83099999999999996</v>
      </c>
      <c r="I96" s="83">
        <v>-0.41223000000000004</v>
      </c>
    </row>
    <row r="97" spans="1:9" ht="17.399999999999999" x14ac:dyDescent="0.3">
      <c r="A97" s="79" t="s">
        <v>480</v>
      </c>
      <c r="B97" s="83">
        <v>14.268709999999999</v>
      </c>
      <c r="C97" s="83">
        <v>10.085799999999999</v>
      </c>
      <c r="D97" s="83">
        <v>4.84673</v>
      </c>
      <c r="E97" s="83">
        <v>17.422699999999999</v>
      </c>
      <c r="F97" s="83">
        <v>15.28912</v>
      </c>
      <c r="G97" s="83">
        <v>0.99259000000000008</v>
      </c>
      <c r="H97" s="83">
        <v>72.384309999999999</v>
      </c>
      <c r="I97" s="83">
        <v>23.726279999999999</v>
      </c>
    </row>
    <row r="98" spans="1:9" ht="17.399999999999999" x14ac:dyDescent="0.3">
      <c r="A98" s="79" t="s">
        <v>479</v>
      </c>
      <c r="B98" s="83">
        <v>-1.4065999999999999</v>
      </c>
      <c r="C98" s="83">
        <v>-1.02823</v>
      </c>
      <c r="D98" s="83">
        <v>-1.5290899999999998</v>
      </c>
      <c r="E98" s="83">
        <v>-2.1632500000000001</v>
      </c>
      <c r="F98" s="83">
        <v>-2.4639699999999998</v>
      </c>
      <c r="G98" s="83">
        <v>-3.28979</v>
      </c>
      <c r="H98" s="83">
        <v>-6.0630100000000002</v>
      </c>
      <c r="I98" s="83">
        <v>-1.3827</v>
      </c>
    </row>
    <row r="99" spans="1:9" ht="17.399999999999999" x14ac:dyDescent="0.3">
      <c r="A99" s="79" t="s">
        <v>478</v>
      </c>
      <c r="B99" s="83">
        <v>-1.6126800000000001</v>
      </c>
      <c r="C99" s="83">
        <v>-2.5304600000000002</v>
      </c>
      <c r="D99" s="83">
        <v>-1.7458499999999999</v>
      </c>
      <c r="E99" s="83">
        <v>-2.2055899999999999</v>
      </c>
      <c r="F99" s="83">
        <v>2.06142</v>
      </c>
      <c r="G99" s="83">
        <v>4.2762600000000006</v>
      </c>
      <c r="H99" s="83">
        <v>0.63229999999999997</v>
      </c>
      <c r="I99" s="83">
        <v>-0.86138999999999999</v>
      </c>
    </row>
    <row r="100" spans="1:9" ht="17.399999999999999" x14ac:dyDescent="0.3">
      <c r="A100" s="79" t="s">
        <v>335</v>
      </c>
      <c r="B100" s="83">
        <v>2.1667299999999998</v>
      </c>
      <c r="C100" s="83">
        <v>-3.18743</v>
      </c>
      <c r="D100" s="83">
        <v>-1.1379600000000001</v>
      </c>
      <c r="E100" s="83">
        <v>-3.89154</v>
      </c>
      <c r="F100" s="83">
        <v>-7.1926000000000005</v>
      </c>
      <c r="G100" s="83">
        <v>-8.2103799999999989</v>
      </c>
      <c r="H100" s="83">
        <v>-11.278879999999999</v>
      </c>
      <c r="I100" s="83">
        <v>-7.9035500000000001</v>
      </c>
    </row>
    <row r="101" spans="1:9" ht="17.399999999999999" x14ac:dyDescent="0.3">
      <c r="A101" s="79" t="s">
        <v>477</v>
      </c>
      <c r="B101" s="83">
        <v>0.15643000000000001</v>
      </c>
      <c r="C101" s="83">
        <v>-2.01831</v>
      </c>
      <c r="D101" s="83">
        <v>-1.3231600000000001</v>
      </c>
      <c r="E101" s="83">
        <v>-4.11341</v>
      </c>
      <c r="F101" s="83">
        <v>-4.7654899999999998</v>
      </c>
      <c r="G101" s="83">
        <v>8.1900200000000005</v>
      </c>
      <c r="H101" s="83">
        <v>35.581449999999997</v>
      </c>
      <c r="I101" s="83">
        <v>-4.9215900000000001</v>
      </c>
    </row>
    <row r="102" spans="1:9" ht="17.399999999999999" x14ac:dyDescent="0.3">
      <c r="A102" s="79" t="s">
        <v>476</v>
      </c>
      <c r="B102" s="83">
        <v>-0.14940999999999999</v>
      </c>
      <c r="C102" s="83">
        <v>-0.14143</v>
      </c>
      <c r="D102" s="83">
        <v>-0.13055</v>
      </c>
      <c r="E102" s="83">
        <v>-0.19518000000000002</v>
      </c>
      <c r="F102" s="83">
        <v>-0.33082999999999996</v>
      </c>
      <c r="G102" s="83">
        <v>-0.60850000000000004</v>
      </c>
      <c r="H102" s="83">
        <v>-0.67355999999999994</v>
      </c>
      <c r="I102" s="83">
        <v>-0.66061999999999999</v>
      </c>
    </row>
    <row r="103" spans="1:9" ht="17.399999999999999" x14ac:dyDescent="0.3">
      <c r="A103" s="79" t="s">
        <v>475</v>
      </c>
      <c r="B103" s="83">
        <v>0</v>
      </c>
      <c r="C103" s="83">
        <v>0</v>
      </c>
      <c r="D103" s="83">
        <v>0</v>
      </c>
      <c r="E103" s="83">
        <v>0</v>
      </c>
      <c r="F103" s="83">
        <v>0</v>
      </c>
      <c r="G103" s="83">
        <v>0</v>
      </c>
      <c r="H103" s="83">
        <v>0</v>
      </c>
      <c r="I103" s="83">
        <v>0</v>
      </c>
    </row>
    <row r="104" spans="1:9" ht="17.399999999999999" x14ac:dyDescent="0.3">
      <c r="A104" s="79" t="s">
        <v>293</v>
      </c>
      <c r="B104" s="83">
        <v>175.07469</v>
      </c>
      <c r="C104" s="83">
        <v>225.58658</v>
      </c>
      <c r="D104" s="83">
        <v>316.18781000000001</v>
      </c>
      <c r="E104" s="83">
        <v>385.52834000000001</v>
      </c>
      <c r="F104" s="83">
        <v>441.24311999999998</v>
      </c>
      <c r="G104" s="83">
        <v>523.55944</v>
      </c>
      <c r="H104" s="83">
        <v>706.45712000000003</v>
      </c>
      <c r="I104" s="83">
        <v>636.66700000000003</v>
      </c>
    </row>
    <row r="105" spans="1:9" ht="17.399999999999999" x14ac:dyDescent="0.3">
      <c r="A105" s="79" t="s">
        <v>260</v>
      </c>
      <c r="B105" s="83">
        <v>0</v>
      </c>
      <c r="C105" s="83">
        <v>0</v>
      </c>
      <c r="D105" s="83">
        <v>0</v>
      </c>
      <c r="E105" s="83">
        <v>0</v>
      </c>
      <c r="F105" s="83">
        <v>0</v>
      </c>
      <c r="G105" s="83">
        <v>0</v>
      </c>
      <c r="H105" s="83">
        <v>0</v>
      </c>
      <c r="I105" s="83">
        <v>0</v>
      </c>
    </row>
    <row r="106" spans="1:9" ht="17.399999999999999" x14ac:dyDescent="0.3">
      <c r="A106" s="79" t="s">
        <v>474</v>
      </c>
      <c r="B106" s="83">
        <v>3.2714499999999997</v>
      </c>
      <c r="C106" s="83">
        <v>1.24637</v>
      </c>
      <c r="D106" s="83">
        <v>2.71766</v>
      </c>
      <c r="E106" s="83">
        <v>5.03</v>
      </c>
      <c r="F106" s="83">
        <v>2.6623800000000002</v>
      </c>
      <c r="G106" s="83">
        <v>3.75441</v>
      </c>
      <c r="H106" s="83">
        <v>6.8243400000000003</v>
      </c>
      <c r="I106" s="83">
        <v>2.5218699999999998</v>
      </c>
    </row>
    <row r="107" spans="1:9" ht="17.399999999999999" x14ac:dyDescent="0.3">
      <c r="A107" s="79" t="s">
        <v>473</v>
      </c>
      <c r="B107" s="83">
        <v>-1.81945</v>
      </c>
      <c r="C107" s="83">
        <v>-2.0349200000000001</v>
      </c>
      <c r="D107" s="83">
        <v>-2.5434099999999997</v>
      </c>
      <c r="E107" s="83">
        <v>-19.589830000000003</v>
      </c>
      <c r="F107" s="83">
        <v>-5.9649999999999999</v>
      </c>
      <c r="G107" s="83">
        <v>-4.4474999999999998</v>
      </c>
      <c r="H107" s="83">
        <v>-0.90922000000000003</v>
      </c>
      <c r="I107" s="83">
        <v>5.7651400000000006</v>
      </c>
    </row>
    <row r="108" spans="1:9" ht="17.399999999999999" x14ac:dyDescent="0.3">
      <c r="A108" s="79" t="s">
        <v>472</v>
      </c>
      <c r="B108" s="83">
        <v>-0.32741000000000003</v>
      </c>
      <c r="C108" s="83">
        <v>-0.22255</v>
      </c>
      <c r="D108" s="83">
        <v>-0.31007999999999997</v>
      </c>
      <c r="E108" s="83">
        <v>-0.51307000000000003</v>
      </c>
      <c r="F108" s="83">
        <v>-0.42837000000000003</v>
      </c>
      <c r="G108" s="83">
        <v>-0.15023</v>
      </c>
      <c r="H108" s="83">
        <v>-0.56614999999999993</v>
      </c>
      <c r="I108" s="83">
        <v>-0.15181</v>
      </c>
    </row>
    <row r="109" spans="1:9" ht="17.399999999999999" x14ac:dyDescent="0.3">
      <c r="A109" s="79" t="s">
        <v>348</v>
      </c>
      <c r="B109" s="83">
        <v>36.540939999999999</v>
      </c>
      <c r="C109" s="83">
        <v>26.976749999999999</v>
      </c>
      <c r="D109" s="83">
        <v>52.994589999999995</v>
      </c>
      <c r="E109" s="83">
        <v>72.432810000000003</v>
      </c>
      <c r="F109" s="83">
        <v>134.96894</v>
      </c>
      <c r="G109" s="83">
        <v>125.04238000000001</v>
      </c>
      <c r="H109" s="83">
        <v>149.70761999999999</v>
      </c>
      <c r="I109" s="83">
        <v>49.89669</v>
      </c>
    </row>
    <row r="110" spans="1:9" ht="17.399999999999999" x14ac:dyDescent="0.3">
      <c r="A110" s="79" t="s">
        <v>264</v>
      </c>
      <c r="B110" s="83">
        <v>55.276730000000001</v>
      </c>
      <c r="C110" s="83">
        <v>32.208979999999997</v>
      </c>
      <c r="D110" s="83">
        <v>31.94115</v>
      </c>
      <c r="E110" s="83">
        <v>24.13129</v>
      </c>
      <c r="F110" s="83">
        <v>39.759809999999995</v>
      </c>
      <c r="G110" s="83">
        <v>52.040059999999997</v>
      </c>
      <c r="H110" s="83">
        <v>89.747679999999988</v>
      </c>
      <c r="I110" s="83">
        <v>36.071440000000003</v>
      </c>
    </row>
    <row r="111" spans="1:9" ht="17.399999999999999" x14ac:dyDescent="0.3">
      <c r="A111" s="79" t="s">
        <v>471</v>
      </c>
      <c r="B111" s="83">
        <v>1.84474</v>
      </c>
      <c r="C111" s="83">
        <v>1.21282</v>
      </c>
      <c r="D111" s="83">
        <v>1.8570599999999999</v>
      </c>
      <c r="E111" s="83">
        <v>2.7625799999999998</v>
      </c>
      <c r="F111" s="83">
        <v>7.25502</v>
      </c>
      <c r="G111" s="83">
        <v>4.6785699999999997</v>
      </c>
      <c r="H111" s="83">
        <v>7.1150699999999993</v>
      </c>
      <c r="I111" s="83">
        <v>5.1782399999999997</v>
      </c>
    </row>
    <row r="112" spans="1:9" ht="17.399999999999999" x14ac:dyDescent="0.3">
      <c r="A112" s="79" t="s">
        <v>470</v>
      </c>
      <c r="B112" s="83">
        <v>-9.7209999999999991E-2</v>
      </c>
      <c r="C112" s="83">
        <v>-0.23774000000000001</v>
      </c>
      <c r="D112" s="83">
        <v>-0.15933</v>
      </c>
      <c r="E112" s="83">
        <v>-0.15688999999999997</v>
      </c>
      <c r="F112" s="83">
        <v>-0.39967000000000003</v>
      </c>
      <c r="G112" s="83">
        <v>2.8910800000000001</v>
      </c>
      <c r="H112" s="83">
        <v>6.7495500000000002</v>
      </c>
      <c r="I112" s="83">
        <v>1.9080899999999998</v>
      </c>
    </row>
    <row r="113" spans="1:9" ht="17.399999999999999" x14ac:dyDescent="0.3">
      <c r="A113" s="79" t="s">
        <v>469</v>
      </c>
      <c r="B113" s="83">
        <v>-0.43456</v>
      </c>
      <c r="C113" s="83">
        <v>-0.25931999999999999</v>
      </c>
      <c r="D113" s="83">
        <v>-0.32694000000000001</v>
      </c>
      <c r="E113" s="83">
        <v>-0.58050999999999997</v>
      </c>
      <c r="F113" s="83">
        <v>-0.69855</v>
      </c>
      <c r="G113" s="83">
        <v>-1.1696800000000001</v>
      </c>
      <c r="H113" s="83">
        <v>-2.6284899999999998</v>
      </c>
      <c r="I113" s="83">
        <v>-0.64612999999999998</v>
      </c>
    </row>
    <row r="114" spans="1:9" ht="17.399999999999999" x14ac:dyDescent="0.3">
      <c r="A114" s="79" t="s">
        <v>468</v>
      </c>
      <c r="B114" s="83">
        <v>-0.19491</v>
      </c>
      <c r="C114" s="83">
        <v>-8.6370000000000002E-2</v>
      </c>
      <c r="D114" s="83">
        <v>-0.11656999999999999</v>
      </c>
      <c r="E114" s="83">
        <v>-0.28743999999999997</v>
      </c>
      <c r="F114" s="83">
        <v>-0.36506</v>
      </c>
      <c r="G114" s="83">
        <v>-0.72424999999999995</v>
      </c>
      <c r="H114" s="83">
        <v>-1.49455</v>
      </c>
      <c r="I114" s="83">
        <v>-0.68465999999999994</v>
      </c>
    </row>
    <row r="115" spans="1:9" ht="17.399999999999999" x14ac:dyDescent="0.3">
      <c r="A115" s="79" t="s">
        <v>467</v>
      </c>
      <c r="B115" s="83">
        <v>0</v>
      </c>
      <c r="C115" s="83">
        <v>0</v>
      </c>
      <c r="D115" s="83">
        <v>0</v>
      </c>
      <c r="E115" s="83">
        <v>0</v>
      </c>
      <c r="F115" s="83">
        <v>0</v>
      </c>
      <c r="G115" s="83">
        <v>0</v>
      </c>
      <c r="H115" s="83">
        <v>0</v>
      </c>
      <c r="I115" s="83">
        <v>0</v>
      </c>
    </row>
    <row r="116" spans="1:9" ht="17.399999999999999" x14ac:dyDescent="0.3">
      <c r="A116" s="79" t="s">
        <v>466</v>
      </c>
      <c r="B116" s="83">
        <v>10.74705</v>
      </c>
      <c r="C116" s="83">
        <v>6.2148900000000005</v>
      </c>
      <c r="D116" s="83">
        <v>5.2474799999999995</v>
      </c>
      <c r="E116" s="83">
        <v>12.06452</v>
      </c>
      <c r="F116" s="83">
        <v>30.60247</v>
      </c>
      <c r="G116" s="83">
        <v>40.606839999999998</v>
      </c>
      <c r="H116" s="83">
        <v>33.92756</v>
      </c>
      <c r="I116" s="83">
        <v>-10.77186</v>
      </c>
    </row>
    <row r="117" spans="1:9" ht="17.399999999999999" x14ac:dyDescent="0.3">
      <c r="A117" s="79" t="s">
        <v>295</v>
      </c>
      <c r="B117" s="83">
        <v>-0.25872000000000001</v>
      </c>
      <c r="C117" s="83">
        <v>-0.31448000000000004</v>
      </c>
      <c r="D117" s="83">
        <v>-0.22287000000000001</v>
      </c>
      <c r="E117" s="83">
        <v>-0.22852</v>
      </c>
      <c r="F117" s="83">
        <v>-0.94596999999999998</v>
      </c>
      <c r="G117" s="83">
        <v>-0.95895000000000008</v>
      </c>
      <c r="H117" s="83">
        <v>-0.59094000000000002</v>
      </c>
      <c r="I117" s="83">
        <v>-1.4182399999999999</v>
      </c>
    </row>
    <row r="118" spans="1:9" ht="17.399999999999999" x14ac:dyDescent="0.3">
      <c r="A118" s="79" t="s">
        <v>465</v>
      </c>
      <c r="B118" s="83">
        <v>-8.6699999999999999E-2</v>
      </c>
      <c r="C118" s="83">
        <v>-0.10689</v>
      </c>
      <c r="D118" s="83">
        <v>-7.1239999999999998E-2</v>
      </c>
      <c r="E118" s="83">
        <v>-9.2760000000000009E-2</v>
      </c>
      <c r="F118" s="83">
        <v>-0.19631999999999999</v>
      </c>
      <c r="G118" s="83">
        <v>-0.38779000000000002</v>
      </c>
      <c r="H118" s="83">
        <v>-0.75266999999999995</v>
      </c>
      <c r="I118" s="83">
        <v>-0.16669</v>
      </c>
    </row>
    <row r="119" spans="1:9" ht="17.399999999999999" x14ac:dyDescent="0.3">
      <c r="A119" s="79" t="s">
        <v>464</v>
      </c>
      <c r="B119" s="83">
        <v>-8.6779999999999996E-2</v>
      </c>
      <c r="C119" s="83">
        <v>-7.6540000000000011E-2</v>
      </c>
      <c r="D119" s="83">
        <v>-9.5019999999999993E-2</v>
      </c>
      <c r="E119" s="83">
        <v>-0.12479999999999999</v>
      </c>
      <c r="F119" s="83">
        <v>-0.28052999999999995</v>
      </c>
      <c r="G119" s="83">
        <v>-0.23948</v>
      </c>
      <c r="H119" s="83">
        <v>-0.43947000000000003</v>
      </c>
      <c r="I119" s="83">
        <v>-0.29781000000000002</v>
      </c>
    </row>
    <row r="120" spans="1:9" ht="17.399999999999999" x14ac:dyDescent="0.3">
      <c r="A120" s="79" t="s">
        <v>463</v>
      </c>
      <c r="B120" s="83">
        <v>-0.31900000000000001</v>
      </c>
      <c r="C120" s="83">
        <v>-0.87799000000000005</v>
      </c>
      <c r="D120" s="83">
        <v>-0.10256999999999999</v>
      </c>
      <c r="E120" s="83">
        <v>-0.26993</v>
      </c>
      <c r="F120" s="83">
        <v>-0.30669000000000002</v>
      </c>
      <c r="G120" s="83">
        <v>-0.33843000000000001</v>
      </c>
      <c r="H120" s="83">
        <v>-0.46833999999999998</v>
      </c>
      <c r="I120" s="83">
        <v>-0.44845000000000002</v>
      </c>
    </row>
    <row r="121" spans="1:9" ht="17.399999999999999" x14ac:dyDescent="0.3">
      <c r="A121" s="79" t="s">
        <v>462</v>
      </c>
      <c r="B121" s="83">
        <v>-0.60309000000000001</v>
      </c>
      <c r="C121" s="83">
        <v>-0.20104</v>
      </c>
      <c r="D121" s="83">
        <v>-2.6499999999999999E-2</v>
      </c>
      <c r="E121" s="83">
        <v>-5.7450000000000001E-2</v>
      </c>
      <c r="F121" s="83">
        <v>1.0464500000000001</v>
      </c>
      <c r="G121" s="83">
        <v>1.6095999999999999</v>
      </c>
      <c r="H121" s="83">
        <v>2.2085700000000004</v>
      </c>
      <c r="I121" s="83">
        <v>0.83804999999999996</v>
      </c>
    </row>
    <row r="122" spans="1:9" ht="17.399999999999999" x14ac:dyDescent="0.3">
      <c r="A122" s="79" t="s">
        <v>461</v>
      </c>
      <c r="B122" s="83">
        <v>-0.21228</v>
      </c>
      <c r="C122" s="83">
        <v>-9.7979999999999998E-2</v>
      </c>
      <c r="D122" s="83">
        <v>-0.11318</v>
      </c>
      <c r="E122" s="83">
        <v>-0.27905999999999997</v>
      </c>
      <c r="F122" s="83">
        <v>-0.37398999999999999</v>
      </c>
      <c r="G122" s="83">
        <v>-0.74336000000000002</v>
      </c>
      <c r="H122" s="83">
        <v>-1.5108499999999998</v>
      </c>
      <c r="I122" s="83">
        <v>-0.69994000000000001</v>
      </c>
    </row>
    <row r="123" spans="1:9" ht="17.399999999999999" x14ac:dyDescent="0.3">
      <c r="A123" s="79" t="s">
        <v>460</v>
      </c>
      <c r="B123" s="83">
        <v>-0.94799999999999995</v>
      </c>
      <c r="C123" s="83">
        <v>-0.41857</v>
      </c>
      <c r="D123" s="83">
        <v>-0.52029999999999998</v>
      </c>
      <c r="E123" s="83">
        <v>-1.48709</v>
      </c>
      <c r="F123" s="83">
        <v>-1.73499</v>
      </c>
      <c r="G123" s="83">
        <v>-0.80422000000000005</v>
      </c>
      <c r="H123" s="83">
        <v>-1.2310399999999999</v>
      </c>
      <c r="I123" s="83">
        <v>-0.76912999999999998</v>
      </c>
    </row>
    <row r="124" spans="1:9" ht="17.399999999999999" x14ac:dyDescent="0.3">
      <c r="A124" s="79" t="s">
        <v>459</v>
      </c>
      <c r="B124" s="83">
        <v>-0.15203</v>
      </c>
      <c r="C124" s="83">
        <v>-0.54928999999999994</v>
      </c>
      <c r="D124" s="83">
        <v>-0.10659</v>
      </c>
      <c r="E124" s="83">
        <v>-0.11650000000000001</v>
      </c>
      <c r="F124" s="83">
        <v>-0.18029000000000001</v>
      </c>
      <c r="G124" s="83">
        <v>-0.44612000000000002</v>
      </c>
      <c r="H124" s="83">
        <v>-0.4123</v>
      </c>
      <c r="I124" s="83">
        <v>-0.51563999999999999</v>
      </c>
    </row>
    <row r="125" spans="1:9" ht="17.399999999999999" x14ac:dyDescent="0.3">
      <c r="A125" s="79" t="s">
        <v>254</v>
      </c>
      <c r="B125" s="83">
        <v>5.1633900000000006</v>
      </c>
      <c r="C125" s="83">
        <v>1.5475300000000001</v>
      </c>
      <c r="D125" s="83">
        <v>12.01784</v>
      </c>
      <c r="E125" s="83">
        <v>16.05902</v>
      </c>
      <c r="F125" s="83">
        <v>22.59853</v>
      </c>
      <c r="G125" s="83">
        <v>26.840209999999999</v>
      </c>
      <c r="H125" s="83">
        <v>22.2258</v>
      </c>
      <c r="I125" s="83">
        <v>20.712340000000001</v>
      </c>
    </row>
    <row r="126" spans="1:9" ht="17.399999999999999" x14ac:dyDescent="0.3">
      <c r="A126" s="79" t="s">
        <v>458</v>
      </c>
      <c r="B126" s="83">
        <v>-0.42342000000000002</v>
      </c>
      <c r="C126" s="83">
        <v>-0.26752999999999999</v>
      </c>
      <c r="D126" s="83">
        <v>-0.30825000000000002</v>
      </c>
      <c r="E126" s="83">
        <v>-0.34577999999999998</v>
      </c>
      <c r="F126" s="83">
        <v>-0.13061</v>
      </c>
      <c r="G126" s="83">
        <v>-0.91459999999999997</v>
      </c>
      <c r="H126" s="83">
        <v>-0.44877999999999996</v>
      </c>
      <c r="I126" s="83">
        <v>-0.35620999999999997</v>
      </c>
    </row>
    <row r="127" spans="1:9" ht="17.399999999999999" x14ac:dyDescent="0.3">
      <c r="A127" s="79" t="s">
        <v>292</v>
      </c>
      <c r="B127" s="83">
        <v>310.92106000000001</v>
      </c>
      <c r="C127" s="83">
        <v>368.30819000000002</v>
      </c>
      <c r="D127" s="83">
        <v>475.69650000000001</v>
      </c>
      <c r="E127" s="83">
        <v>582.21006000000011</v>
      </c>
      <c r="F127" s="83">
        <v>746.53287999999998</v>
      </c>
      <c r="G127" s="83">
        <v>780.56838000000005</v>
      </c>
      <c r="H127" s="83">
        <v>1060</v>
      </c>
      <c r="I127" s="83">
        <v>929.79938000000004</v>
      </c>
    </row>
    <row r="128" spans="1:9" ht="17.399999999999999" x14ac:dyDescent="0.3">
      <c r="A128" s="79" t="s">
        <v>457</v>
      </c>
      <c r="B128" s="83">
        <v>-0.28733999999999998</v>
      </c>
      <c r="C128" s="83">
        <v>-0.23383999999999999</v>
      </c>
      <c r="D128" s="83">
        <v>-0.22663999999999998</v>
      </c>
      <c r="E128" s="83">
        <v>-0.23430999999999999</v>
      </c>
      <c r="F128" s="83">
        <v>-0.49554999999999999</v>
      </c>
      <c r="G128" s="83">
        <v>-0.87987000000000004</v>
      </c>
      <c r="H128" s="83">
        <v>-2.3915500000000001</v>
      </c>
      <c r="I128" s="83">
        <v>-1.2986900000000001</v>
      </c>
    </row>
    <row r="129" spans="1:9" ht="17.399999999999999" x14ac:dyDescent="0.3">
      <c r="A129" s="79" t="s">
        <v>456</v>
      </c>
      <c r="B129" s="83">
        <v>-0.13063999999999998</v>
      </c>
      <c r="C129" s="83">
        <v>-0.23300000000000001</v>
      </c>
      <c r="D129" s="83">
        <v>-9.7409999999999997E-2</v>
      </c>
      <c r="E129" s="83">
        <v>-7.9980000000000009E-2</v>
      </c>
      <c r="F129" s="83">
        <v>-0.15731000000000001</v>
      </c>
      <c r="G129" s="83">
        <v>-0.20818</v>
      </c>
      <c r="H129" s="83">
        <v>-0.44491000000000003</v>
      </c>
      <c r="I129" s="83">
        <v>-0.15512999999999999</v>
      </c>
    </row>
    <row r="130" spans="1:9" ht="17.399999999999999" x14ac:dyDescent="0.3">
      <c r="A130" s="79" t="s">
        <v>455</v>
      </c>
      <c r="B130" s="83">
        <v>-0.18256</v>
      </c>
      <c r="C130" s="83">
        <v>-0.39631</v>
      </c>
      <c r="D130" s="83">
        <v>-0.14211000000000001</v>
      </c>
      <c r="E130" s="83">
        <v>-0.11444</v>
      </c>
      <c r="F130" s="83">
        <v>-0.27250999999999997</v>
      </c>
      <c r="G130" s="83">
        <v>-0.39517000000000002</v>
      </c>
      <c r="H130" s="83">
        <v>-0.83211999999999997</v>
      </c>
      <c r="I130" s="83">
        <v>-0.42320999999999998</v>
      </c>
    </row>
    <row r="131" spans="1:9" ht="17.399999999999999" x14ac:dyDescent="0.3">
      <c r="A131" s="79" t="s">
        <v>454</v>
      </c>
      <c r="B131" s="83">
        <v>-6.7849999999999994E-2</v>
      </c>
      <c r="C131" s="83">
        <v>-0.17541999999999999</v>
      </c>
      <c r="D131" s="83">
        <v>-0.17016000000000001</v>
      </c>
      <c r="E131" s="83">
        <v>-0.39818000000000003</v>
      </c>
      <c r="F131" s="83">
        <v>-0.50305999999999995</v>
      </c>
      <c r="G131" s="83">
        <v>-0.83928999999999998</v>
      </c>
      <c r="H131" s="83">
        <v>-1.6477299999999999</v>
      </c>
      <c r="I131" s="83">
        <v>-0.75909000000000004</v>
      </c>
    </row>
    <row r="132" spans="1:9" ht="17.399999999999999" x14ac:dyDescent="0.3">
      <c r="A132" s="79" t="s">
        <v>328</v>
      </c>
      <c r="B132" s="83">
        <v>-2.4414499999999997</v>
      </c>
      <c r="C132" s="83">
        <v>-1.2942899999999999</v>
      </c>
      <c r="D132" s="83">
        <v>0.82658000000000009</v>
      </c>
      <c r="E132" s="83">
        <v>3.3768099999999999</v>
      </c>
      <c r="F132" s="83">
        <v>0.92601</v>
      </c>
      <c r="G132" s="83">
        <v>5.6780499999999998</v>
      </c>
      <c r="H132" s="83">
        <v>4.6270699999999998</v>
      </c>
      <c r="I132" s="83">
        <v>-4.3520399999999997</v>
      </c>
    </row>
    <row r="133" spans="1:9" ht="17.399999999999999" x14ac:dyDescent="0.3">
      <c r="A133" s="79" t="s">
        <v>453</v>
      </c>
      <c r="B133" s="83">
        <v>-0.13096000000000002</v>
      </c>
      <c r="C133" s="83">
        <v>-0.15916</v>
      </c>
      <c r="D133" s="83">
        <v>-9.0700000000000003E-2</v>
      </c>
      <c r="E133" s="83">
        <v>-0.16169999999999998</v>
      </c>
      <c r="F133" s="83">
        <v>-0.29475999999999997</v>
      </c>
      <c r="G133" s="83">
        <v>-0.54709000000000008</v>
      </c>
      <c r="H133" s="83">
        <v>-1.1320999999999999</v>
      </c>
      <c r="I133" s="83">
        <v>-0.59365999999999997</v>
      </c>
    </row>
    <row r="134" spans="1:9" ht="17.399999999999999" x14ac:dyDescent="0.3">
      <c r="A134" s="79" t="s">
        <v>452</v>
      </c>
      <c r="B134" s="83">
        <v>-0.23411999999999999</v>
      </c>
      <c r="C134" s="83">
        <v>-0.13714999999999999</v>
      </c>
      <c r="D134" s="83">
        <v>-0.16119</v>
      </c>
      <c r="E134" s="83">
        <v>-7.0949999999999999E-2</v>
      </c>
      <c r="F134" s="83">
        <v>-0.24702000000000002</v>
      </c>
      <c r="G134" s="83">
        <v>-0.30992000000000003</v>
      </c>
      <c r="H134" s="83">
        <v>-0.31729000000000002</v>
      </c>
      <c r="I134" s="83">
        <v>-0.22590000000000002</v>
      </c>
    </row>
    <row r="135" spans="1:9" ht="17.399999999999999" x14ac:dyDescent="0.3">
      <c r="A135" s="79" t="s">
        <v>451</v>
      </c>
      <c r="B135" s="83">
        <v>-1.92492</v>
      </c>
      <c r="C135" s="83">
        <v>-2.0885100000000003</v>
      </c>
      <c r="D135" s="83">
        <v>-2.1648700000000001</v>
      </c>
      <c r="E135" s="83">
        <v>-3.1246499999999999</v>
      </c>
      <c r="F135" s="83">
        <v>-3.8869199999999999</v>
      </c>
      <c r="G135" s="83">
        <v>-0.41120999999999996</v>
      </c>
      <c r="H135" s="83">
        <v>-0.64088000000000001</v>
      </c>
      <c r="I135" s="83">
        <v>-0.32674000000000003</v>
      </c>
    </row>
    <row r="136" spans="1:9" ht="17.399999999999999" x14ac:dyDescent="0.3">
      <c r="A136" s="79" t="s">
        <v>450</v>
      </c>
      <c r="B136" s="83">
        <v>0</v>
      </c>
      <c r="C136" s="83">
        <v>0</v>
      </c>
      <c r="D136" s="83">
        <v>0</v>
      </c>
      <c r="E136" s="83">
        <v>0</v>
      </c>
      <c r="F136" s="83">
        <v>0</v>
      </c>
      <c r="G136" s="83">
        <v>0</v>
      </c>
      <c r="H136" s="83">
        <v>0</v>
      </c>
      <c r="I136" s="83">
        <v>0</v>
      </c>
    </row>
    <row r="137" spans="1:9" ht="17.399999999999999" x14ac:dyDescent="0.3">
      <c r="A137" s="79" t="s">
        <v>449</v>
      </c>
      <c r="B137" s="83">
        <v>0</v>
      </c>
      <c r="C137" s="83">
        <v>0</v>
      </c>
      <c r="D137" s="83">
        <v>0</v>
      </c>
      <c r="E137" s="83">
        <v>0</v>
      </c>
      <c r="F137" s="83">
        <v>0</v>
      </c>
      <c r="G137" s="83">
        <v>0</v>
      </c>
      <c r="H137" s="83">
        <v>0</v>
      </c>
      <c r="I137" s="83">
        <v>0</v>
      </c>
    </row>
    <row r="138" spans="1:9" ht="17.399999999999999" x14ac:dyDescent="0.3">
      <c r="A138" s="79" t="s">
        <v>448</v>
      </c>
      <c r="B138" s="83">
        <v>-0.14723</v>
      </c>
      <c r="C138" s="83">
        <v>-0.11541999999999999</v>
      </c>
      <c r="D138" s="83">
        <v>-0.10511</v>
      </c>
      <c r="E138" s="83">
        <v>-0.10437</v>
      </c>
      <c r="F138" s="83">
        <v>-0.24389</v>
      </c>
      <c r="G138" s="83">
        <v>-0.58462000000000003</v>
      </c>
      <c r="H138" s="83">
        <v>-1.0663399999999998</v>
      </c>
      <c r="I138" s="83">
        <v>-0.44644</v>
      </c>
    </row>
    <row r="139" spans="1:9" ht="17.399999999999999" x14ac:dyDescent="0.3">
      <c r="A139" s="79" t="s">
        <v>447</v>
      </c>
      <c r="B139" s="83">
        <v>-1.3983599999999998</v>
      </c>
      <c r="C139" s="83">
        <v>-1.07057</v>
      </c>
      <c r="D139" s="83">
        <v>-1.4</v>
      </c>
      <c r="E139" s="83">
        <v>-1.26898</v>
      </c>
      <c r="F139" s="83">
        <v>-2.7007600000000003</v>
      </c>
      <c r="G139" s="83">
        <v>-1.7665999999999999</v>
      </c>
      <c r="H139" s="83">
        <v>-2.4108200000000002</v>
      </c>
      <c r="I139" s="83">
        <v>-1.4480599999999999</v>
      </c>
    </row>
    <row r="140" spans="1:9" ht="17.399999999999999" x14ac:dyDescent="0.3">
      <c r="A140" s="79" t="s">
        <v>446</v>
      </c>
      <c r="B140" s="83">
        <v>0</v>
      </c>
      <c r="C140" s="83">
        <v>0</v>
      </c>
      <c r="D140" s="83">
        <v>0</v>
      </c>
      <c r="E140" s="83">
        <v>0</v>
      </c>
      <c r="F140" s="83">
        <v>0</v>
      </c>
      <c r="G140" s="83">
        <v>0</v>
      </c>
      <c r="H140" s="83">
        <v>0</v>
      </c>
      <c r="I140" s="83">
        <v>0</v>
      </c>
    </row>
    <row r="141" spans="1:9" ht="17.399999999999999" x14ac:dyDescent="0.3">
      <c r="A141" s="79" t="s">
        <v>445</v>
      </c>
      <c r="B141" s="83">
        <v>12.447419999999999</v>
      </c>
      <c r="C141" s="83">
        <v>10.42489</v>
      </c>
      <c r="D141" s="83">
        <v>12.48481</v>
      </c>
      <c r="E141" s="83">
        <v>16.342479999999998</v>
      </c>
      <c r="F141" s="83">
        <v>23.0533</v>
      </c>
      <c r="G141" s="83">
        <v>35.632199999999997</v>
      </c>
      <c r="H141" s="83">
        <v>28.346830000000001</v>
      </c>
      <c r="I141" s="83">
        <v>76.206829999999997</v>
      </c>
    </row>
    <row r="142" spans="1:9" ht="17.399999999999999" x14ac:dyDescent="0.3">
      <c r="A142" s="79" t="s">
        <v>444</v>
      </c>
      <c r="B142" s="83">
        <v>0</v>
      </c>
      <c r="C142" s="83">
        <v>0</v>
      </c>
      <c r="D142" s="83">
        <v>0</v>
      </c>
      <c r="E142" s="83">
        <v>0</v>
      </c>
      <c r="F142" s="83">
        <v>0</v>
      </c>
      <c r="G142" s="83">
        <v>0</v>
      </c>
      <c r="H142" s="83">
        <v>0</v>
      </c>
      <c r="I142" s="83">
        <v>0</v>
      </c>
    </row>
    <row r="143" spans="1:9" ht="17.399999999999999" x14ac:dyDescent="0.3">
      <c r="A143" s="79" t="s">
        <v>443</v>
      </c>
      <c r="B143" s="83">
        <v>-0.13880000000000001</v>
      </c>
      <c r="C143" s="83">
        <v>-0.19797999999999999</v>
      </c>
      <c r="D143" s="83">
        <v>-9.9599999999999994E-2</v>
      </c>
      <c r="E143" s="83">
        <v>-9.570999999999999E-2</v>
      </c>
      <c r="F143" s="83">
        <v>-0.24259999999999998</v>
      </c>
      <c r="G143" s="83">
        <v>-0.40112000000000003</v>
      </c>
      <c r="H143" s="83">
        <v>-0.8624400000000001</v>
      </c>
      <c r="I143" s="83">
        <v>-0.22424000000000002</v>
      </c>
    </row>
    <row r="144" spans="1:9" ht="17.399999999999999" x14ac:dyDescent="0.3">
      <c r="A144" s="79" t="s">
        <v>442</v>
      </c>
      <c r="B144" s="83">
        <v>0</v>
      </c>
      <c r="C144" s="83">
        <v>0</v>
      </c>
      <c r="D144" s="83">
        <v>0</v>
      </c>
      <c r="E144" s="83">
        <v>0</v>
      </c>
      <c r="F144" s="83">
        <v>0</v>
      </c>
      <c r="G144" s="83">
        <v>0</v>
      </c>
      <c r="H144" s="83">
        <v>0</v>
      </c>
      <c r="I144" s="83">
        <v>0</v>
      </c>
    </row>
    <row r="145" spans="1:9" ht="17.399999999999999" x14ac:dyDescent="0.3">
      <c r="A145" s="79" t="s">
        <v>441</v>
      </c>
      <c r="B145" s="83">
        <v>-8.3920000000000008E-2</v>
      </c>
      <c r="C145" s="83">
        <v>-8.5419999999999996E-2</v>
      </c>
      <c r="D145" s="83">
        <v>-8.2489999999999994E-2</v>
      </c>
      <c r="E145" s="83">
        <v>-0.11015999999999999</v>
      </c>
      <c r="F145" s="83">
        <v>-0.19955000000000001</v>
      </c>
      <c r="G145" s="83">
        <v>-0.37683</v>
      </c>
      <c r="H145" s="83">
        <v>-0.32569999999999999</v>
      </c>
      <c r="I145" s="83">
        <v>-0.35775999999999997</v>
      </c>
    </row>
    <row r="146" spans="1:9" ht="17.399999999999999" x14ac:dyDescent="0.3">
      <c r="A146" s="79" t="s">
        <v>440</v>
      </c>
      <c r="B146" s="83">
        <v>0</v>
      </c>
      <c r="C146" s="83">
        <v>0</v>
      </c>
      <c r="D146" s="83">
        <v>0</v>
      </c>
      <c r="E146" s="83">
        <v>0</v>
      </c>
      <c r="F146" s="83">
        <v>0</v>
      </c>
      <c r="G146" s="83">
        <v>0</v>
      </c>
      <c r="H146" s="83">
        <v>0</v>
      </c>
      <c r="I146" s="83">
        <v>0</v>
      </c>
    </row>
    <row r="147" spans="1:9" ht="17.399999999999999" x14ac:dyDescent="0.3">
      <c r="A147" s="79" t="s">
        <v>439</v>
      </c>
      <c r="B147" s="83">
        <v>0</v>
      </c>
      <c r="C147" s="83">
        <v>0</v>
      </c>
      <c r="D147" s="83">
        <v>0</v>
      </c>
      <c r="E147" s="83">
        <v>0</v>
      </c>
      <c r="F147" s="83">
        <v>0</v>
      </c>
      <c r="G147" s="83">
        <v>0</v>
      </c>
      <c r="H147" s="83">
        <v>0</v>
      </c>
      <c r="I147" s="83">
        <v>0</v>
      </c>
    </row>
    <row r="148" spans="1:9" ht="17.399999999999999" x14ac:dyDescent="0.3">
      <c r="A148" s="79" t="s">
        <v>438</v>
      </c>
      <c r="B148" s="83">
        <v>-0.86856</v>
      </c>
      <c r="C148" s="83">
        <v>-0.51666999999999996</v>
      </c>
      <c r="D148" s="83">
        <v>-1.3851</v>
      </c>
      <c r="E148" s="83">
        <v>-9.462000000000001E-2</v>
      </c>
      <c r="F148" s="83">
        <v>-0.45394000000000001</v>
      </c>
      <c r="G148" s="83">
        <v>-0.38603999999999999</v>
      </c>
      <c r="H148" s="83">
        <v>-1.4830699999999999</v>
      </c>
      <c r="I148" s="83">
        <v>-0.40482999999999997</v>
      </c>
    </row>
    <row r="149" spans="1:9" ht="17.399999999999999" x14ac:dyDescent="0.3">
      <c r="A149" s="79" t="s">
        <v>437</v>
      </c>
      <c r="B149" s="83">
        <v>-0.10514</v>
      </c>
      <c r="C149" s="83">
        <v>-0.17208999999999999</v>
      </c>
      <c r="D149" s="83">
        <v>-8.931E-2</v>
      </c>
      <c r="E149" s="83">
        <v>-0.10843000000000001</v>
      </c>
      <c r="F149" s="83">
        <v>-0.21364</v>
      </c>
      <c r="G149" s="83">
        <v>-0.40411000000000002</v>
      </c>
      <c r="H149" s="83">
        <v>-0.80989999999999995</v>
      </c>
      <c r="I149" s="83">
        <v>-0.40203</v>
      </c>
    </row>
    <row r="150" spans="1:9" ht="17.399999999999999" x14ac:dyDescent="0.3">
      <c r="A150" s="79" t="s">
        <v>436</v>
      </c>
      <c r="B150" s="83">
        <v>-0.10784999999999999</v>
      </c>
      <c r="C150" s="83">
        <v>-0.10557999999999999</v>
      </c>
      <c r="D150" s="83">
        <v>-7.1819999999999995E-2</v>
      </c>
      <c r="E150" s="83">
        <v>-0.15293999999999999</v>
      </c>
      <c r="F150" s="83">
        <v>-0.24381</v>
      </c>
      <c r="G150" s="83">
        <v>-0.51287000000000005</v>
      </c>
      <c r="H150" s="83">
        <v>-1.0523900000000002</v>
      </c>
      <c r="I150" s="83">
        <v>-0.55828</v>
      </c>
    </row>
    <row r="151" spans="1:9" ht="17.399999999999999" x14ac:dyDescent="0.3">
      <c r="A151" s="79" t="s">
        <v>435</v>
      </c>
      <c r="B151" s="83">
        <v>0.19306000000000001</v>
      </c>
      <c r="C151" s="83">
        <v>0.11453000000000001</v>
      </c>
      <c r="D151" s="83">
        <v>0.16395999999999999</v>
      </c>
      <c r="E151" s="83">
        <v>0.24631999999999998</v>
      </c>
      <c r="F151" s="83">
        <v>2.29E-2</v>
      </c>
      <c r="G151" s="83">
        <v>-0.35142000000000001</v>
      </c>
      <c r="H151" s="83">
        <v>-8.0640000000000003E-2</v>
      </c>
      <c r="I151" s="83">
        <v>-0.23952000000000001</v>
      </c>
    </row>
    <row r="152" spans="1:9" ht="17.399999999999999" x14ac:dyDescent="0.3">
      <c r="A152" s="79" t="s">
        <v>434</v>
      </c>
      <c r="B152" s="83">
        <v>0</v>
      </c>
      <c r="C152" s="83">
        <v>0</v>
      </c>
      <c r="D152" s="83">
        <v>0</v>
      </c>
      <c r="E152" s="83">
        <v>0</v>
      </c>
      <c r="F152" s="83">
        <v>0</v>
      </c>
      <c r="G152" s="83">
        <v>0</v>
      </c>
      <c r="H152" s="83">
        <v>0</v>
      </c>
      <c r="I152" s="83">
        <v>0</v>
      </c>
    </row>
    <row r="153" spans="1:9" ht="17.399999999999999" x14ac:dyDescent="0.3">
      <c r="A153" s="79" t="s">
        <v>433</v>
      </c>
      <c r="B153" s="83">
        <v>-8.9010000000000006E-2</v>
      </c>
      <c r="C153" s="83">
        <v>-0.19275</v>
      </c>
      <c r="D153" s="83">
        <v>-8.7370000000000003E-2</v>
      </c>
      <c r="E153" s="83">
        <v>-0.11331999999999999</v>
      </c>
      <c r="F153" s="83">
        <v>-0.22116999999999998</v>
      </c>
      <c r="G153" s="83">
        <v>-0.41820000000000002</v>
      </c>
      <c r="H153" s="83">
        <v>-0.84353999999999996</v>
      </c>
      <c r="I153" s="83">
        <v>-0.37870999999999999</v>
      </c>
    </row>
    <row r="154" spans="1:9" ht="17.399999999999999" x14ac:dyDescent="0.3">
      <c r="A154" s="79" t="s">
        <v>342</v>
      </c>
      <c r="B154" s="83">
        <v>-1.9032500000000001</v>
      </c>
      <c r="C154" s="83">
        <v>27.287470000000003</v>
      </c>
      <c r="D154" s="83">
        <v>-0.92922000000000005</v>
      </c>
      <c r="E154" s="83">
        <v>-7.5773100000000007</v>
      </c>
      <c r="F154" s="83">
        <v>179.32369</v>
      </c>
      <c r="G154" s="83">
        <v>229.06628000000001</v>
      </c>
      <c r="H154" s="83">
        <v>258.2</v>
      </c>
      <c r="I154" s="83">
        <v>136.25111999999999</v>
      </c>
    </row>
    <row r="155" spans="1:9" ht="17.399999999999999" x14ac:dyDescent="0.3">
      <c r="A155" s="79" t="s">
        <v>432</v>
      </c>
      <c r="B155" s="83">
        <v>4.9001200000000003</v>
      </c>
      <c r="C155" s="83">
        <v>1.6839000000000002</v>
      </c>
      <c r="D155" s="83">
        <v>0</v>
      </c>
      <c r="E155" s="83">
        <v>0</v>
      </c>
      <c r="F155" s="83">
        <v>2.6831499999999999</v>
      </c>
      <c r="G155" s="83">
        <v>2.04243</v>
      </c>
      <c r="H155" s="83">
        <v>1.9356300000000002</v>
      </c>
      <c r="I155" s="83">
        <v>6.8139200000000004</v>
      </c>
    </row>
    <row r="156" spans="1:9" ht="17.399999999999999" x14ac:dyDescent="0.3">
      <c r="A156" s="79" t="s">
        <v>431</v>
      </c>
      <c r="B156" s="83">
        <v>0</v>
      </c>
      <c r="C156" s="83">
        <v>0</v>
      </c>
      <c r="D156" s="83">
        <v>0</v>
      </c>
      <c r="E156" s="83">
        <v>0</v>
      </c>
      <c r="F156" s="83">
        <v>0</v>
      </c>
      <c r="G156" s="83">
        <v>0</v>
      </c>
      <c r="H156" s="83">
        <v>0</v>
      </c>
      <c r="I156" s="83">
        <v>0</v>
      </c>
    </row>
    <row r="157" spans="1:9" ht="17.399999999999999" x14ac:dyDescent="0.3">
      <c r="A157" s="79" t="s">
        <v>430</v>
      </c>
      <c r="B157" s="83">
        <v>0.42352999999999996</v>
      </c>
      <c r="C157" s="83">
        <v>0.46767000000000003</v>
      </c>
      <c r="D157" s="83">
        <v>2.0489099999999998</v>
      </c>
      <c r="E157" s="83">
        <v>2.1251100000000003</v>
      </c>
      <c r="F157" s="83">
        <v>2.9190000000000001E-2</v>
      </c>
      <c r="G157" s="83">
        <v>-0.66877999999999993</v>
      </c>
      <c r="H157" s="83">
        <v>-0.55613000000000001</v>
      </c>
      <c r="I157" s="83">
        <v>-0.69180999999999993</v>
      </c>
    </row>
    <row r="158" spans="1:9" ht="17.399999999999999" x14ac:dyDescent="0.3">
      <c r="A158" s="79" t="s">
        <v>429</v>
      </c>
      <c r="B158" s="83">
        <v>-0.14121</v>
      </c>
      <c r="C158" s="83">
        <v>-0.16694000000000001</v>
      </c>
      <c r="D158" s="83">
        <v>-0.20665</v>
      </c>
      <c r="E158" s="83">
        <v>-0.25025999999999998</v>
      </c>
      <c r="F158" s="83">
        <v>-0.31569999999999998</v>
      </c>
      <c r="G158" s="83">
        <v>-0.45357999999999998</v>
      </c>
      <c r="H158" s="83">
        <v>-0.80973000000000006</v>
      </c>
      <c r="I158" s="83">
        <v>-0.34629000000000004</v>
      </c>
    </row>
    <row r="159" spans="1:9" ht="17.399999999999999" x14ac:dyDescent="0.3">
      <c r="A159" s="79" t="s">
        <v>428</v>
      </c>
      <c r="B159" s="83">
        <v>-0.22497999999999999</v>
      </c>
      <c r="C159" s="83">
        <v>-0.38400000000000001</v>
      </c>
      <c r="D159" s="83">
        <v>-0.28772000000000003</v>
      </c>
      <c r="E159" s="83">
        <v>-8.8450000000000001E-2</v>
      </c>
      <c r="F159" s="83">
        <v>-0.30630000000000002</v>
      </c>
      <c r="G159" s="83">
        <v>-0.45068999999999998</v>
      </c>
      <c r="H159" s="83">
        <v>-0.92647999999999997</v>
      </c>
      <c r="I159" s="83">
        <v>-0.43529000000000001</v>
      </c>
    </row>
    <row r="160" spans="1:9" ht="17.399999999999999" x14ac:dyDescent="0.3">
      <c r="A160" s="79" t="s">
        <v>427</v>
      </c>
      <c r="B160" s="83">
        <v>-0.60596000000000005</v>
      </c>
      <c r="C160" s="83">
        <v>-0.36637000000000003</v>
      </c>
      <c r="D160" s="83">
        <v>-0.48008000000000001</v>
      </c>
      <c r="E160" s="83">
        <v>-0.77154</v>
      </c>
      <c r="F160" s="83">
        <v>2.45581</v>
      </c>
      <c r="G160" s="83">
        <v>3.5668800000000003</v>
      </c>
      <c r="H160" s="83">
        <v>6.5943000000000005</v>
      </c>
      <c r="I160" s="83">
        <v>3.7425799999999998</v>
      </c>
    </row>
    <row r="161" spans="1:9" ht="17.399999999999999" x14ac:dyDescent="0.3">
      <c r="A161" s="79" t="s">
        <v>426</v>
      </c>
      <c r="B161" s="83">
        <v>0</v>
      </c>
      <c r="C161" s="83">
        <v>0</v>
      </c>
      <c r="D161" s="83">
        <v>0</v>
      </c>
      <c r="E161" s="83">
        <v>0</v>
      </c>
      <c r="F161" s="83">
        <v>0</v>
      </c>
      <c r="G161" s="83">
        <v>0</v>
      </c>
      <c r="H161" s="83">
        <v>0</v>
      </c>
      <c r="I161" s="83">
        <v>0</v>
      </c>
    </row>
    <row r="162" spans="1:9" ht="17.399999999999999" x14ac:dyDescent="0.3">
      <c r="A162" s="79" t="s">
        <v>425</v>
      </c>
      <c r="B162" s="83">
        <v>0</v>
      </c>
      <c r="C162" s="83">
        <v>0</v>
      </c>
      <c r="D162" s="83">
        <v>0</v>
      </c>
      <c r="E162" s="83">
        <v>0</v>
      </c>
      <c r="F162" s="83">
        <v>0</v>
      </c>
      <c r="G162" s="83">
        <v>0</v>
      </c>
      <c r="H162" s="83">
        <v>0</v>
      </c>
      <c r="I162" s="83">
        <v>0</v>
      </c>
    </row>
    <row r="163" spans="1:9" ht="17.399999999999999" x14ac:dyDescent="0.3">
      <c r="A163" s="79" t="s">
        <v>424</v>
      </c>
      <c r="B163" s="83">
        <v>-0.82138</v>
      </c>
      <c r="C163" s="83">
        <v>-1.1852799999999999</v>
      </c>
      <c r="D163" s="83">
        <v>-1.5321300000000002</v>
      </c>
      <c r="E163" s="83">
        <v>-2.4191799999999999</v>
      </c>
      <c r="F163" s="83">
        <v>0.63623000000000007</v>
      </c>
      <c r="G163" s="83">
        <v>11.457549999999999</v>
      </c>
      <c r="H163" s="83">
        <v>7.4928299999999997</v>
      </c>
      <c r="I163" s="83">
        <v>-10.065110000000001</v>
      </c>
    </row>
    <row r="164" spans="1:9" ht="17.399999999999999" x14ac:dyDescent="0.3">
      <c r="A164" s="79" t="s">
        <v>423</v>
      </c>
      <c r="B164" s="83">
        <v>-0.31114999999999998</v>
      </c>
      <c r="C164" s="83">
        <v>-0.22931000000000001</v>
      </c>
      <c r="D164" s="83">
        <v>-0.14777000000000001</v>
      </c>
      <c r="E164" s="83">
        <v>-0.17813999999999999</v>
      </c>
      <c r="F164" s="83">
        <v>0.23107</v>
      </c>
      <c r="G164" s="83">
        <v>0.74688999999999994</v>
      </c>
      <c r="H164" s="83">
        <v>3.2158600000000002</v>
      </c>
      <c r="I164" s="83">
        <v>1.89683</v>
      </c>
    </row>
    <row r="165" spans="1:9" ht="17.399999999999999" x14ac:dyDescent="0.3">
      <c r="A165" s="79" t="s">
        <v>422</v>
      </c>
      <c r="B165" s="83">
        <v>-3.9710000000000002E-2</v>
      </c>
      <c r="C165" s="83">
        <v>0.48405999999999999</v>
      </c>
      <c r="D165" s="83">
        <v>0.82901000000000002</v>
      </c>
      <c r="E165" s="83">
        <v>0.99997000000000003</v>
      </c>
      <c r="F165" s="83">
        <v>1.71817</v>
      </c>
      <c r="G165" s="83">
        <v>2.1252399999999998</v>
      </c>
      <c r="H165" s="83">
        <v>2.3445900000000002</v>
      </c>
      <c r="I165" s="83">
        <v>-0.15024999999999999</v>
      </c>
    </row>
    <row r="166" spans="1:9" ht="17.399999999999999" x14ac:dyDescent="0.3">
      <c r="A166" s="79" t="s">
        <v>421</v>
      </c>
      <c r="B166" s="83">
        <v>0</v>
      </c>
      <c r="C166" s="83">
        <v>0</v>
      </c>
      <c r="D166" s="83">
        <v>0</v>
      </c>
      <c r="E166" s="83">
        <v>0</v>
      </c>
      <c r="F166" s="83">
        <v>0</v>
      </c>
      <c r="G166" s="83">
        <v>0</v>
      </c>
      <c r="H166" s="83">
        <v>0</v>
      </c>
      <c r="I166" s="83">
        <v>0</v>
      </c>
    </row>
    <row r="167" spans="1:9" ht="17.399999999999999" x14ac:dyDescent="0.3">
      <c r="A167" s="79" t="s">
        <v>332</v>
      </c>
      <c r="B167" s="83">
        <v>-0.92149999999999999</v>
      </c>
      <c r="C167" s="83">
        <v>-1.02969</v>
      </c>
      <c r="D167" s="83">
        <v>-2.24071</v>
      </c>
      <c r="E167" s="83">
        <v>-2.0080399999999998</v>
      </c>
      <c r="F167" s="83">
        <v>-2.1991700000000001</v>
      </c>
      <c r="G167" s="83">
        <v>-2.8555000000000001</v>
      </c>
      <c r="H167" s="83">
        <v>-3.9225400000000001</v>
      </c>
      <c r="I167" s="83">
        <v>-2.5555700000000003</v>
      </c>
    </row>
    <row r="168" spans="1:9" ht="17.399999999999999" x14ac:dyDescent="0.3">
      <c r="A168" s="79" t="s">
        <v>420</v>
      </c>
      <c r="B168" s="83">
        <v>-1.0772299999999999</v>
      </c>
      <c r="C168" s="83">
        <v>-0.77400000000000002</v>
      </c>
      <c r="D168" s="83">
        <v>-0.98541999999999996</v>
      </c>
      <c r="E168" s="83">
        <v>-0.88449999999999995</v>
      </c>
      <c r="F168" s="83">
        <v>-1.7167300000000001</v>
      </c>
      <c r="G168" s="83">
        <v>-1.2529600000000001</v>
      </c>
      <c r="H168" s="83">
        <v>-2.11083</v>
      </c>
      <c r="I168" s="83">
        <v>-1.6928599999999998</v>
      </c>
    </row>
    <row r="169" spans="1:9" ht="17.399999999999999" x14ac:dyDescent="0.3">
      <c r="A169" s="79" t="s">
        <v>419</v>
      </c>
      <c r="B169" s="83">
        <v>-8.473E-2</v>
      </c>
      <c r="C169" s="83">
        <v>-6.2149999999999997E-2</v>
      </c>
      <c r="D169" s="83">
        <v>-7.9459999999999989E-2</v>
      </c>
      <c r="E169" s="83">
        <v>-9.826E-2</v>
      </c>
      <c r="F169" s="83">
        <v>-0.17313999999999999</v>
      </c>
      <c r="G169" s="83">
        <v>-0.32535000000000003</v>
      </c>
      <c r="H169" s="83">
        <v>-0.27598</v>
      </c>
      <c r="I169" s="83">
        <v>-0.14252000000000001</v>
      </c>
    </row>
    <row r="170" spans="1:9" ht="17.399999999999999" x14ac:dyDescent="0.3">
      <c r="A170" s="79" t="s">
        <v>418</v>
      </c>
      <c r="B170" s="83">
        <v>1.03653</v>
      </c>
      <c r="C170" s="83">
        <v>1.6315200000000001</v>
      </c>
      <c r="D170" s="83">
        <v>1.284</v>
      </c>
      <c r="E170" s="83">
        <v>1.4071500000000001</v>
      </c>
      <c r="F170" s="83">
        <v>3.7449499999999998</v>
      </c>
      <c r="G170" s="83">
        <v>5.2997200000000007</v>
      </c>
      <c r="H170" s="83">
        <v>13.808639999999999</v>
      </c>
      <c r="I170" s="83">
        <v>6.43492</v>
      </c>
    </row>
    <row r="171" spans="1:9" ht="17.399999999999999" x14ac:dyDescent="0.3">
      <c r="A171" s="79" t="s">
        <v>417</v>
      </c>
      <c r="B171" s="83">
        <v>-0.8029400000000001</v>
      </c>
      <c r="C171" s="83">
        <v>-0.45027</v>
      </c>
      <c r="D171" s="83">
        <v>-0.38572000000000001</v>
      </c>
      <c r="E171" s="83">
        <v>-0.19868</v>
      </c>
      <c r="F171" s="83">
        <v>0.38439000000000001</v>
      </c>
      <c r="G171" s="83">
        <v>2.79535</v>
      </c>
      <c r="H171" s="83">
        <v>4.1966299999999999</v>
      </c>
      <c r="I171" s="83">
        <v>-0.94516999999999995</v>
      </c>
    </row>
    <row r="172" spans="1:9" ht="17.399999999999999" x14ac:dyDescent="0.3">
      <c r="A172" s="79" t="s">
        <v>416</v>
      </c>
      <c r="B172" s="83">
        <v>0</v>
      </c>
      <c r="C172" s="83">
        <v>0</v>
      </c>
      <c r="D172" s="83">
        <v>0</v>
      </c>
      <c r="E172" s="83">
        <v>0</v>
      </c>
      <c r="F172" s="83">
        <v>0</v>
      </c>
      <c r="G172" s="83">
        <v>0</v>
      </c>
      <c r="H172" s="83">
        <v>0</v>
      </c>
      <c r="I172" s="83">
        <v>0</v>
      </c>
    </row>
    <row r="173" spans="1:9" ht="17.399999999999999" x14ac:dyDescent="0.3">
      <c r="A173" s="79" t="s">
        <v>415</v>
      </c>
      <c r="B173" s="83">
        <v>-0.68079000000000001</v>
      </c>
      <c r="C173" s="83">
        <v>-0.64800999999999997</v>
      </c>
      <c r="D173" s="83">
        <v>-2.0888100000000001</v>
      </c>
      <c r="E173" s="83">
        <v>-6.3759999999999997E-2</v>
      </c>
      <c r="F173" s="83">
        <v>-0.38411000000000001</v>
      </c>
      <c r="G173" s="83">
        <v>-4.9202899999999996</v>
      </c>
      <c r="H173" s="83">
        <v>-1.83904</v>
      </c>
      <c r="I173" s="83">
        <v>-1.8204899999999999</v>
      </c>
    </row>
    <row r="174" spans="1:9" ht="17.399999999999999" x14ac:dyDescent="0.3">
      <c r="A174" s="79" t="s">
        <v>414</v>
      </c>
      <c r="B174" s="83">
        <v>2.1838899999999999</v>
      </c>
      <c r="C174" s="83">
        <v>5.33399</v>
      </c>
      <c r="D174" s="83">
        <v>17.358360000000001</v>
      </c>
      <c r="E174" s="83">
        <v>25.689959999999999</v>
      </c>
      <c r="F174" s="83">
        <v>27.0473</v>
      </c>
      <c r="G174" s="83">
        <v>8.0927199999999999</v>
      </c>
      <c r="H174" s="83">
        <v>-2.2904599999999999</v>
      </c>
      <c r="I174" s="83">
        <v>-1.5212399999999999</v>
      </c>
    </row>
    <row r="175" spans="1:9" ht="17.399999999999999" x14ac:dyDescent="0.3">
      <c r="A175" s="79" t="s">
        <v>413</v>
      </c>
      <c r="B175" s="83">
        <v>0</v>
      </c>
      <c r="C175" s="83">
        <v>0</v>
      </c>
      <c r="D175" s="83">
        <v>0</v>
      </c>
      <c r="E175" s="83">
        <v>0</v>
      </c>
      <c r="F175" s="83">
        <v>0</v>
      </c>
      <c r="G175" s="83">
        <v>0</v>
      </c>
      <c r="H175" s="83">
        <v>0</v>
      </c>
      <c r="I175" s="83">
        <v>0</v>
      </c>
    </row>
    <row r="176" spans="1:9" ht="17.399999999999999" x14ac:dyDescent="0.3">
      <c r="A176" s="79" t="s">
        <v>412</v>
      </c>
      <c r="B176" s="83">
        <v>-0.87536999999999998</v>
      </c>
      <c r="C176" s="83">
        <v>-0.60872000000000004</v>
      </c>
      <c r="D176" s="83">
        <v>-0.63380999999999998</v>
      </c>
      <c r="E176" s="83">
        <v>-0.33387</v>
      </c>
      <c r="F176" s="83">
        <v>-0.99308000000000007</v>
      </c>
      <c r="G176" s="83">
        <v>-1.31332</v>
      </c>
      <c r="H176" s="83">
        <v>-1.09036</v>
      </c>
      <c r="I176" s="83">
        <v>-0.68006</v>
      </c>
    </row>
    <row r="177" spans="1:9" ht="17.399999999999999" x14ac:dyDescent="0.3">
      <c r="A177" s="79" t="s">
        <v>411</v>
      </c>
      <c r="B177" s="83">
        <v>-0.58265</v>
      </c>
      <c r="C177" s="83">
        <v>-4.4700000000000004E-2</v>
      </c>
      <c r="D177" s="83">
        <v>7.1910000000000002E-2</v>
      </c>
      <c r="E177" s="83">
        <v>0.25518000000000002</v>
      </c>
      <c r="F177" s="83">
        <v>0.84025000000000005</v>
      </c>
      <c r="G177" s="83">
        <v>2.22112</v>
      </c>
      <c r="H177" s="83">
        <v>0.46625</v>
      </c>
      <c r="I177" s="83">
        <v>-1.4127799999999999</v>
      </c>
    </row>
    <row r="178" spans="1:9" ht="17.399999999999999" x14ac:dyDescent="0.3">
      <c r="A178" s="79" t="s">
        <v>410</v>
      </c>
      <c r="B178" s="83">
        <v>12.729040000000001</v>
      </c>
      <c r="C178" s="83">
        <v>17.077439999999999</v>
      </c>
      <c r="D178" s="83">
        <v>24.976869999999998</v>
      </c>
      <c r="E178" s="83">
        <v>54.275210000000001</v>
      </c>
      <c r="F178" s="83">
        <v>50.122050000000002</v>
      </c>
      <c r="G178" s="83">
        <v>82.396259999999998</v>
      </c>
      <c r="H178" s="83">
        <v>110.20819999999999</v>
      </c>
      <c r="I178" s="83">
        <v>25.444479999999999</v>
      </c>
    </row>
    <row r="179" spans="1:9" ht="17.399999999999999" x14ac:dyDescent="0.3">
      <c r="A179" s="79" t="s">
        <v>409</v>
      </c>
      <c r="B179" s="83">
        <v>-0.22608</v>
      </c>
      <c r="C179" s="83">
        <v>-0.20258999999999999</v>
      </c>
      <c r="D179" s="83">
        <v>-0.14411000000000002</v>
      </c>
      <c r="E179" s="83">
        <v>-0.15419999999999998</v>
      </c>
      <c r="F179" s="83">
        <v>-0.35038999999999998</v>
      </c>
      <c r="G179" s="83">
        <v>-0.61204999999999998</v>
      </c>
      <c r="H179" s="83">
        <v>-1.16232</v>
      </c>
      <c r="I179" s="83">
        <v>-0.55164999999999997</v>
      </c>
    </row>
    <row r="180" spans="1:9" ht="17.399999999999999" x14ac:dyDescent="0.3">
      <c r="A180" s="79" t="s">
        <v>408</v>
      </c>
      <c r="B180" s="83">
        <v>0</v>
      </c>
      <c r="C180" s="83">
        <v>0</v>
      </c>
      <c r="D180" s="83">
        <v>0</v>
      </c>
      <c r="E180" s="83">
        <v>0</v>
      </c>
      <c r="F180" s="83">
        <v>0</v>
      </c>
      <c r="G180" s="83">
        <v>0</v>
      </c>
      <c r="H180" s="83">
        <v>0</v>
      </c>
      <c r="I180" s="83">
        <v>0</v>
      </c>
    </row>
    <row r="181" spans="1:9" ht="17.399999999999999" x14ac:dyDescent="0.3">
      <c r="A181" s="79" t="s">
        <v>407</v>
      </c>
      <c r="B181" s="83">
        <v>-0.11033</v>
      </c>
      <c r="C181" s="83">
        <v>-5.8049999999999997E-2</v>
      </c>
      <c r="D181" s="83">
        <v>-8.9620000000000005E-2</v>
      </c>
      <c r="E181" s="83">
        <v>-0.18512000000000001</v>
      </c>
      <c r="F181" s="83">
        <v>-0.24912000000000001</v>
      </c>
      <c r="G181" s="83">
        <v>-0.49487000000000003</v>
      </c>
      <c r="H181" s="83">
        <v>-1.01254</v>
      </c>
      <c r="I181" s="83">
        <v>-0.48820999999999998</v>
      </c>
    </row>
    <row r="182" spans="1:9" ht="17.399999999999999" x14ac:dyDescent="0.3">
      <c r="A182" s="79" t="s">
        <v>406</v>
      </c>
      <c r="B182" s="83">
        <v>0</v>
      </c>
      <c r="C182" s="83">
        <v>0</v>
      </c>
      <c r="D182" s="83">
        <v>0</v>
      </c>
      <c r="E182" s="83">
        <v>0</v>
      </c>
      <c r="F182" s="83">
        <v>0</v>
      </c>
      <c r="G182" s="83">
        <v>0</v>
      </c>
      <c r="H182" s="83">
        <v>0</v>
      </c>
      <c r="I182" s="83">
        <v>0</v>
      </c>
    </row>
    <row r="183" spans="1:9" ht="17.399999999999999" x14ac:dyDescent="0.3">
      <c r="A183" s="79" t="s">
        <v>405</v>
      </c>
      <c r="B183" s="83">
        <v>-1.17689</v>
      </c>
      <c r="C183" s="83">
        <v>-2.8963200000000002</v>
      </c>
      <c r="D183" s="83">
        <v>-1.1234900000000001</v>
      </c>
      <c r="E183" s="83">
        <v>-1.0686800000000001</v>
      </c>
      <c r="F183" s="83">
        <v>-1.47383</v>
      </c>
      <c r="G183" s="83">
        <v>-3.3498899999999998</v>
      </c>
      <c r="H183" s="83">
        <v>-0.80720000000000003</v>
      </c>
      <c r="I183" s="83">
        <v>-1.8472899999999999</v>
      </c>
    </row>
    <row r="184" spans="1:9" ht="17.399999999999999" x14ac:dyDescent="0.3">
      <c r="A184" s="79" t="s">
        <v>404</v>
      </c>
      <c r="B184" s="83">
        <v>-0.32776</v>
      </c>
      <c r="C184" s="83">
        <v>-0.19299000000000002</v>
      </c>
      <c r="D184" s="83">
        <v>-0.21196000000000001</v>
      </c>
      <c r="E184" s="83">
        <v>-0.22525999999999999</v>
      </c>
      <c r="F184" s="83">
        <v>-0.22128</v>
      </c>
      <c r="G184" s="83">
        <v>-0.46506999999999998</v>
      </c>
      <c r="H184" s="83">
        <v>-1.16717</v>
      </c>
      <c r="I184" s="83">
        <v>-0.39600000000000002</v>
      </c>
    </row>
    <row r="185" spans="1:9" ht="17.399999999999999" x14ac:dyDescent="0.3">
      <c r="A185" s="79" t="s">
        <v>403</v>
      </c>
      <c r="B185" s="83">
        <v>-0.32627999999999996</v>
      </c>
      <c r="C185" s="83">
        <v>-0.93452000000000002</v>
      </c>
      <c r="D185" s="83">
        <v>-0.24101</v>
      </c>
      <c r="E185" s="83">
        <v>-0.21406999999999998</v>
      </c>
      <c r="F185" s="83">
        <v>-0.51230999999999993</v>
      </c>
      <c r="G185" s="83">
        <v>-0.76329999999999998</v>
      </c>
      <c r="H185" s="83">
        <v>-1.2550999999999999</v>
      </c>
      <c r="I185" s="83">
        <v>-5.527E-2</v>
      </c>
    </row>
    <row r="186" spans="1:9" ht="17.399999999999999" x14ac:dyDescent="0.3">
      <c r="A186" s="79" t="s">
        <v>402</v>
      </c>
      <c r="B186" s="83">
        <v>-0.31827</v>
      </c>
      <c r="C186" s="83">
        <v>-0.36219999999999997</v>
      </c>
      <c r="D186" s="83">
        <v>-0.19159000000000001</v>
      </c>
      <c r="E186" s="83">
        <v>-0.27788000000000002</v>
      </c>
      <c r="F186" s="83">
        <v>-0.38023000000000001</v>
      </c>
      <c r="G186" s="83">
        <v>-0.80679999999999996</v>
      </c>
      <c r="H186" s="83">
        <v>-0.37857999999999997</v>
      </c>
      <c r="I186" s="83">
        <v>-0.22081000000000001</v>
      </c>
    </row>
    <row r="187" spans="1:9" ht="17.399999999999999" x14ac:dyDescent="0.3">
      <c r="A187" s="79" t="s">
        <v>401</v>
      </c>
      <c r="B187" s="83">
        <v>-0.24977000000000002</v>
      </c>
      <c r="C187" s="83">
        <v>-0.12132999999999999</v>
      </c>
      <c r="D187" s="83">
        <v>-0.13421</v>
      </c>
      <c r="E187" s="83">
        <v>-0.32122000000000001</v>
      </c>
      <c r="F187" s="83">
        <v>-0.44701000000000002</v>
      </c>
      <c r="G187" s="83">
        <v>-0.82489999999999997</v>
      </c>
      <c r="H187" s="83">
        <v>-1.6718</v>
      </c>
      <c r="I187" s="83">
        <v>-0.74997999999999998</v>
      </c>
    </row>
    <row r="188" spans="1:9" ht="17.399999999999999" x14ac:dyDescent="0.3">
      <c r="A188" s="79" t="s">
        <v>329</v>
      </c>
      <c r="B188" s="83">
        <v>-3.5307399999999998</v>
      </c>
      <c r="C188" s="83">
        <v>-1.73221</v>
      </c>
      <c r="D188" s="83">
        <v>8.7340000000000001E-2</v>
      </c>
      <c r="E188" s="83">
        <v>2.6899799999999998</v>
      </c>
      <c r="F188" s="83">
        <v>4.7601199999999997</v>
      </c>
      <c r="G188" s="83">
        <v>6.5591899999999992</v>
      </c>
      <c r="H188" s="83">
        <v>11.196719999999999</v>
      </c>
      <c r="I188" s="83">
        <v>11.264430000000001</v>
      </c>
    </row>
    <row r="189" spans="1:9" ht="17.399999999999999" x14ac:dyDescent="0.3">
      <c r="A189" s="79" t="s">
        <v>400</v>
      </c>
      <c r="B189" s="83">
        <v>0.61626999999999998</v>
      </c>
      <c r="C189" s="83">
        <v>0.96975</v>
      </c>
      <c r="D189" s="83">
        <v>1.5102599999999999</v>
      </c>
      <c r="E189" s="83">
        <v>3.20689</v>
      </c>
      <c r="F189" s="83">
        <v>3.8109799999999998</v>
      </c>
      <c r="G189" s="83">
        <v>4.1048599999999995</v>
      </c>
      <c r="H189" s="83">
        <v>4.4987899999999996</v>
      </c>
      <c r="I189" s="83">
        <v>-0.82023999999999997</v>
      </c>
    </row>
    <row r="190" spans="1:9" ht="17.399999999999999" x14ac:dyDescent="0.3">
      <c r="A190" s="79" t="s">
        <v>399</v>
      </c>
      <c r="B190" s="83">
        <v>-8.6819999999999994E-2</v>
      </c>
      <c r="C190" s="83">
        <v>5.185E-2</v>
      </c>
      <c r="D190" s="83">
        <v>0.14730000000000001</v>
      </c>
      <c r="E190" s="83">
        <v>0.2429</v>
      </c>
      <c r="F190" s="83">
        <v>0.36976999999999999</v>
      </c>
      <c r="G190" s="83">
        <v>0.83709</v>
      </c>
      <c r="H190" s="83">
        <v>1.7186900000000001</v>
      </c>
      <c r="I190" s="83">
        <v>-0.13466999999999998</v>
      </c>
    </row>
    <row r="191" spans="1:9" ht="17.399999999999999" x14ac:dyDescent="0.3">
      <c r="A191" s="79" t="s">
        <v>398</v>
      </c>
      <c r="B191" s="83">
        <v>-0.17809</v>
      </c>
      <c r="C191" s="83">
        <v>-7.8579999999999997E-2</v>
      </c>
      <c r="D191" s="83">
        <v>-0.10418999999999999</v>
      </c>
      <c r="E191" s="83">
        <v>-0.26275999999999999</v>
      </c>
      <c r="F191" s="83">
        <v>-0.33692</v>
      </c>
      <c r="G191" s="83">
        <v>-0.68279000000000001</v>
      </c>
      <c r="H191" s="83">
        <v>-1.3944700000000001</v>
      </c>
      <c r="I191" s="83">
        <v>-0.68003000000000002</v>
      </c>
    </row>
    <row r="192" spans="1:9" ht="17.399999999999999" x14ac:dyDescent="0.3">
      <c r="A192" s="79" t="s">
        <v>397</v>
      </c>
      <c r="B192" s="83">
        <v>0</v>
      </c>
      <c r="C192" s="83">
        <v>0</v>
      </c>
      <c r="D192" s="83">
        <v>0</v>
      </c>
      <c r="E192" s="83">
        <v>0</v>
      </c>
      <c r="F192" s="83">
        <v>0</v>
      </c>
      <c r="G192" s="83">
        <v>0</v>
      </c>
      <c r="H192" s="83">
        <v>0</v>
      </c>
      <c r="I192" s="83">
        <v>0</v>
      </c>
    </row>
    <row r="193" spans="1:9" ht="17.399999999999999" x14ac:dyDescent="0.3">
      <c r="A193" s="79" t="s">
        <v>396</v>
      </c>
      <c r="B193" s="83">
        <v>2.4444499999999998</v>
      </c>
      <c r="C193" s="83">
        <v>3.26532</v>
      </c>
      <c r="D193" s="83">
        <v>3.6471499999999999</v>
      </c>
      <c r="E193" s="83">
        <v>3.0447700000000002</v>
      </c>
      <c r="F193" s="83">
        <v>0.93441999999999992</v>
      </c>
      <c r="G193" s="83">
        <v>13.543569999999999</v>
      </c>
      <c r="H193" s="83">
        <v>21.65146</v>
      </c>
      <c r="I193" s="83">
        <v>-3.3163400000000003</v>
      </c>
    </row>
    <row r="194" spans="1:9" ht="17.399999999999999" x14ac:dyDescent="0.3">
      <c r="A194" s="79" t="s">
        <v>395</v>
      </c>
      <c r="B194" s="83">
        <v>11.887790000000001</v>
      </c>
      <c r="C194" s="83">
        <v>22.24483</v>
      </c>
      <c r="D194" s="83">
        <v>38.828160000000004</v>
      </c>
      <c r="E194" s="83">
        <v>37.981910000000006</v>
      </c>
      <c r="F194" s="83">
        <v>29.83991</v>
      </c>
      <c r="G194" s="83">
        <v>55.695689999999999</v>
      </c>
      <c r="H194" s="83">
        <v>102.20459</v>
      </c>
      <c r="I194" s="83">
        <v>40.481589999999997</v>
      </c>
    </row>
    <row r="195" spans="1:9" ht="17.399999999999999" x14ac:dyDescent="0.3">
      <c r="A195" s="79" t="s">
        <v>394</v>
      </c>
      <c r="B195" s="83">
        <v>-0.22119999999999998</v>
      </c>
      <c r="C195" s="83">
        <v>-0.12991</v>
      </c>
      <c r="D195" s="83">
        <v>-0.29183999999999999</v>
      </c>
      <c r="E195" s="83">
        <v>-0.17150000000000001</v>
      </c>
      <c r="F195" s="83">
        <v>-0.48816000000000004</v>
      </c>
      <c r="G195" s="83">
        <v>-0.25724999999999998</v>
      </c>
      <c r="H195" s="83">
        <v>-0.31779000000000002</v>
      </c>
      <c r="I195" s="83">
        <v>-0.16138</v>
      </c>
    </row>
    <row r="196" spans="1:9" ht="17.399999999999999" x14ac:dyDescent="0.3">
      <c r="A196" s="79" t="s">
        <v>393</v>
      </c>
      <c r="B196" s="83">
        <v>0</v>
      </c>
      <c r="C196" s="83">
        <v>0</v>
      </c>
      <c r="D196" s="83">
        <v>0</v>
      </c>
      <c r="E196" s="83">
        <v>0</v>
      </c>
      <c r="F196" s="83">
        <v>0</v>
      </c>
      <c r="G196" s="83">
        <v>0</v>
      </c>
      <c r="H196" s="83">
        <v>0</v>
      </c>
      <c r="I196" s="83">
        <v>0</v>
      </c>
    </row>
    <row r="197" spans="1:9" ht="17.399999999999999" x14ac:dyDescent="0.3">
      <c r="A197" s="79" t="s">
        <v>392</v>
      </c>
      <c r="B197" s="83">
        <v>-0.30619000000000002</v>
      </c>
      <c r="C197" s="83">
        <v>-0.14998</v>
      </c>
      <c r="D197" s="83">
        <v>-0.21747</v>
      </c>
      <c r="E197" s="83">
        <v>-0.40561000000000003</v>
      </c>
      <c r="F197" s="83">
        <v>-0.50892000000000004</v>
      </c>
      <c r="G197" s="83">
        <v>-0.92064000000000001</v>
      </c>
      <c r="H197" s="83">
        <v>-1.7639500000000001</v>
      </c>
      <c r="I197" s="83">
        <v>-0.79728999999999994</v>
      </c>
    </row>
    <row r="198" spans="1:9" ht="17.399999999999999" x14ac:dyDescent="0.3">
      <c r="A198" s="79" t="s">
        <v>391</v>
      </c>
      <c r="B198" s="83">
        <v>-0.24390999999999999</v>
      </c>
      <c r="C198" s="83">
        <v>-0.12279999999999999</v>
      </c>
      <c r="D198" s="83">
        <v>-0.17785000000000001</v>
      </c>
      <c r="E198" s="83">
        <v>-0.35294999999999999</v>
      </c>
      <c r="F198" s="83">
        <v>-0.44788</v>
      </c>
      <c r="G198" s="83">
        <v>-0.81184000000000001</v>
      </c>
      <c r="H198" s="83">
        <v>-1.57348</v>
      </c>
      <c r="I198" s="83">
        <v>-0.65229999999999999</v>
      </c>
    </row>
    <row r="199" spans="1:9" ht="17.399999999999999" x14ac:dyDescent="0.3">
      <c r="A199" s="79" t="s">
        <v>390</v>
      </c>
      <c r="B199" s="83">
        <v>0</v>
      </c>
      <c r="C199" s="83">
        <v>0</v>
      </c>
      <c r="D199" s="83">
        <v>0</v>
      </c>
      <c r="E199" s="83">
        <v>0</v>
      </c>
      <c r="F199" s="83">
        <v>0</v>
      </c>
      <c r="G199" s="83">
        <v>0</v>
      </c>
      <c r="H199" s="83">
        <v>0</v>
      </c>
      <c r="I199" s="83">
        <v>0</v>
      </c>
    </row>
    <row r="200" spans="1:9" ht="17.399999999999999" x14ac:dyDescent="0.3">
      <c r="A200" s="79" t="s">
        <v>389</v>
      </c>
      <c r="B200" s="83">
        <v>-0.25573000000000001</v>
      </c>
      <c r="C200" s="83">
        <v>-0.10931999999999999</v>
      </c>
      <c r="D200" s="83">
        <v>-0.15387000000000001</v>
      </c>
      <c r="E200" s="83">
        <v>-0.37694</v>
      </c>
      <c r="F200" s="83">
        <v>-0.42897000000000002</v>
      </c>
      <c r="G200" s="83">
        <v>-0.83883000000000008</v>
      </c>
      <c r="H200" s="83">
        <v>-1.6490100000000001</v>
      </c>
      <c r="I200" s="83">
        <v>-0.71617999999999993</v>
      </c>
    </row>
    <row r="201" spans="1:9" ht="17.399999999999999" x14ac:dyDescent="0.3">
      <c r="A201" s="79" t="s">
        <v>388</v>
      </c>
      <c r="B201" s="83">
        <v>-0.23638000000000001</v>
      </c>
      <c r="C201" s="83">
        <v>-0.45918999999999999</v>
      </c>
      <c r="D201" s="83">
        <v>-0.16844000000000001</v>
      </c>
      <c r="E201" s="83">
        <v>-0.25835000000000002</v>
      </c>
      <c r="F201" s="83">
        <v>-0.45665</v>
      </c>
      <c r="G201" s="83">
        <v>-0.77122999999999997</v>
      </c>
      <c r="H201" s="83">
        <v>-1.5461099999999999</v>
      </c>
      <c r="I201" s="83">
        <v>-0.73863000000000001</v>
      </c>
    </row>
    <row r="202" spans="1:9" ht="17.399999999999999" x14ac:dyDescent="0.3">
      <c r="A202" s="79" t="s">
        <v>387</v>
      </c>
      <c r="B202" s="83">
        <v>0</v>
      </c>
      <c r="C202" s="83">
        <v>0</v>
      </c>
      <c r="D202" s="83">
        <v>0</v>
      </c>
      <c r="E202" s="83">
        <v>0</v>
      </c>
      <c r="F202" s="83">
        <v>0</v>
      </c>
      <c r="G202" s="83">
        <v>0</v>
      </c>
      <c r="H202" s="83">
        <v>0</v>
      </c>
      <c r="I202" s="83">
        <v>0</v>
      </c>
    </row>
    <row r="203" spans="1:9" ht="17.399999999999999" x14ac:dyDescent="0.3">
      <c r="A203" s="79" t="s">
        <v>386</v>
      </c>
      <c r="B203" s="83">
        <v>-0.26244999999999996</v>
      </c>
      <c r="C203" s="83">
        <v>-0.20871000000000001</v>
      </c>
      <c r="D203" s="83">
        <v>-0.17868999999999999</v>
      </c>
      <c r="E203" s="83">
        <v>-0.39183000000000001</v>
      </c>
      <c r="F203" s="83">
        <v>-0.59180999999999995</v>
      </c>
      <c r="G203" s="83">
        <v>-1.1409</v>
      </c>
      <c r="H203" s="83">
        <v>-1.9347300000000001</v>
      </c>
      <c r="I203" s="83">
        <v>-0.40214</v>
      </c>
    </row>
    <row r="204" spans="1:9" ht="17.399999999999999" x14ac:dyDescent="0.3">
      <c r="A204" s="79" t="s">
        <v>385</v>
      </c>
      <c r="B204" s="83">
        <v>1.63533</v>
      </c>
      <c r="C204" s="83">
        <v>0.73133999999999999</v>
      </c>
      <c r="D204" s="83">
        <v>4.0168999999999997</v>
      </c>
      <c r="E204" s="83">
        <v>-0.75703999999999994</v>
      </c>
      <c r="F204" s="83">
        <v>9.2490900000000007</v>
      </c>
      <c r="G204" s="83">
        <v>18.62312</v>
      </c>
      <c r="H204" s="83">
        <v>9.0769500000000001</v>
      </c>
      <c r="I204" s="83">
        <v>6.6605499999999997</v>
      </c>
    </row>
    <row r="205" spans="1:9" ht="17.399999999999999" x14ac:dyDescent="0.3">
      <c r="A205" s="79" t="s">
        <v>346</v>
      </c>
      <c r="B205" s="83">
        <v>115.71522999999999</v>
      </c>
      <c r="C205" s="83">
        <v>106.15664</v>
      </c>
      <c r="D205" s="83">
        <v>116.6525</v>
      </c>
      <c r="E205" s="83">
        <v>122.09516000000001</v>
      </c>
      <c r="F205" s="83">
        <v>117.00569</v>
      </c>
      <c r="G205" s="83">
        <v>110.56594</v>
      </c>
      <c r="H205" s="83">
        <v>101.46438000000001</v>
      </c>
      <c r="I205" s="83">
        <v>93.860969999999995</v>
      </c>
    </row>
    <row r="206" spans="1:9" ht="17.399999999999999" x14ac:dyDescent="0.3">
      <c r="A206" s="79" t="s">
        <v>384</v>
      </c>
      <c r="B206" s="83">
        <v>-0.12257</v>
      </c>
      <c r="C206" s="83">
        <v>-0.57040999999999997</v>
      </c>
      <c r="D206" s="83">
        <v>-0.10853</v>
      </c>
      <c r="E206" s="83">
        <v>-0.11291</v>
      </c>
      <c r="F206" s="83">
        <v>-0.27449000000000001</v>
      </c>
      <c r="G206" s="83">
        <v>-0.44016000000000005</v>
      </c>
      <c r="H206" s="83">
        <v>-0.87858000000000003</v>
      </c>
      <c r="I206" s="83">
        <v>-0.41908000000000001</v>
      </c>
    </row>
    <row r="207" spans="1:9" ht="17.399999999999999" x14ac:dyDescent="0.3">
      <c r="A207" s="79" t="s">
        <v>383</v>
      </c>
      <c r="B207" s="83">
        <v>-9.7689999999999999E-2</v>
      </c>
      <c r="C207" s="83">
        <v>-0.14924000000000001</v>
      </c>
      <c r="D207" s="83">
        <v>-7.8379999999999991E-2</v>
      </c>
      <c r="E207" s="83">
        <v>-9.4579999999999997E-2</v>
      </c>
      <c r="F207" s="83">
        <v>-0.19975999999999999</v>
      </c>
      <c r="G207" s="83">
        <v>-0.36155000000000004</v>
      </c>
      <c r="H207" s="83">
        <v>-0.75412999999999997</v>
      </c>
      <c r="I207" s="83">
        <v>-0.34187000000000001</v>
      </c>
    </row>
    <row r="208" spans="1:9" ht="17.399999999999999" x14ac:dyDescent="0.3">
      <c r="A208" s="79" t="s">
        <v>382</v>
      </c>
      <c r="B208" s="83">
        <v>-1.2605899999999999</v>
      </c>
      <c r="C208" s="83">
        <v>11.60773</v>
      </c>
      <c r="D208" s="83">
        <v>14.14264</v>
      </c>
      <c r="E208" s="83">
        <v>13.05011</v>
      </c>
      <c r="F208" s="83">
        <v>16.024139999999999</v>
      </c>
      <c r="G208" s="83">
        <v>24.19359</v>
      </c>
      <c r="H208" s="83">
        <v>29.136950000000002</v>
      </c>
      <c r="I208" s="83">
        <v>29.170030000000001</v>
      </c>
    </row>
    <row r="209" spans="1:9" ht="17.399999999999999" x14ac:dyDescent="0.3">
      <c r="A209" s="79" t="s">
        <v>381</v>
      </c>
      <c r="B209" s="83">
        <v>-8.5319999999999993E-2</v>
      </c>
      <c r="C209" s="83">
        <v>-9.8650000000000002E-2</v>
      </c>
      <c r="D209" s="83">
        <v>-7.2989999999999999E-2</v>
      </c>
      <c r="E209" s="83">
        <v>-9.0249999999999997E-2</v>
      </c>
      <c r="F209" s="83">
        <v>-0.19535</v>
      </c>
      <c r="G209" s="83">
        <v>-0.38795999999999997</v>
      </c>
      <c r="H209" s="83">
        <v>-0.74705999999999995</v>
      </c>
      <c r="I209" s="83">
        <v>-0.34661999999999998</v>
      </c>
    </row>
    <row r="210" spans="1:9" ht="17.399999999999999" x14ac:dyDescent="0.3">
      <c r="A210" s="79" t="s">
        <v>380</v>
      </c>
      <c r="B210" s="83">
        <v>-0.22409000000000001</v>
      </c>
      <c r="C210" s="83">
        <v>-0.24884999999999999</v>
      </c>
      <c r="D210" s="83">
        <v>-0.12648000000000001</v>
      </c>
      <c r="E210" s="83">
        <v>-0.25668000000000002</v>
      </c>
      <c r="F210" s="83">
        <v>-0.36481999999999998</v>
      </c>
      <c r="G210" s="83">
        <v>-0.78110000000000002</v>
      </c>
      <c r="H210" s="83">
        <v>-1.6331199999999999</v>
      </c>
      <c r="I210" s="83">
        <v>-0.78792999999999991</v>
      </c>
    </row>
    <row r="211" spans="1:9" ht="17.399999999999999" x14ac:dyDescent="0.3">
      <c r="A211" s="79" t="s">
        <v>379</v>
      </c>
      <c r="B211" s="83">
        <v>0.40926000000000001</v>
      </c>
      <c r="C211" s="83">
        <v>0.74961999999999995</v>
      </c>
      <c r="D211" s="83">
        <v>-1.2097500000000001</v>
      </c>
      <c r="E211" s="83">
        <v>0.83905999999999992</v>
      </c>
      <c r="F211" s="83">
        <v>-0.34726999999999997</v>
      </c>
      <c r="G211" s="83">
        <v>0.50920999999999994</v>
      </c>
      <c r="H211" s="83">
        <v>2.8029999999999999</v>
      </c>
      <c r="I211" s="83">
        <v>-4.3209999999999997</v>
      </c>
    </row>
    <row r="212" spans="1:9" ht="17.399999999999999" x14ac:dyDescent="0.3">
      <c r="A212" s="79" t="s">
        <v>378</v>
      </c>
      <c r="B212" s="83">
        <v>0</v>
      </c>
      <c r="C212" s="83">
        <v>0</v>
      </c>
      <c r="D212" s="83">
        <v>0</v>
      </c>
      <c r="E212" s="83">
        <v>0</v>
      </c>
      <c r="F212" s="83">
        <v>-0.20332</v>
      </c>
      <c r="G212" s="83">
        <v>-0.39232</v>
      </c>
      <c r="H212" s="83">
        <v>-0.7984</v>
      </c>
      <c r="I212" s="83">
        <v>-0.45904</v>
      </c>
    </row>
    <row r="213" spans="1:9" ht="17.399999999999999" x14ac:dyDescent="0.3">
      <c r="A213" s="79" t="s">
        <v>377</v>
      </c>
      <c r="B213" s="83">
        <v>-0.12186</v>
      </c>
      <c r="C213" s="83">
        <v>-4.5759999999999995E-2</v>
      </c>
      <c r="D213" s="83">
        <v>-5.391E-2</v>
      </c>
      <c r="E213" s="83">
        <v>2.7800000000000002E-2</v>
      </c>
      <c r="F213" s="83">
        <v>-0.22896</v>
      </c>
      <c r="G213" s="83">
        <v>-0.36981000000000003</v>
      </c>
      <c r="H213" s="83">
        <v>-0.9585499999999999</v>
      </c>
      <c r="I213" s="83">
        <v>-0.47563</v>
      </c>
    </row>
    <row r="214" spans="1:9" ht="17.399999999999999" x14ac:dyDescent="0.3">
      <c r="A214" s="79" t="s">
        <v>376</v>
      </c>
      <c r="B214" s="83">
        <v>0</v>
      </c>
      <c r="C214" s="83">
        <v>0</v>
      </c>
      <c r="D214" s="83">
        <v>0</v>
      </c>
      <c r="E214" s="83">
        <v>0</v>
      </c>
      <c r="F214" s="83">
        <v>0</v>
      </c>
      <c r="G214" s="83">
        <v>0</v>
      </c>
      <c r="H214" s="83">
        <v>0</v>
      </c>
      <c r="I214" s="83">
        <v>0</v>
      </c>
    </row>
    <row r="215" spans="1:9" ht="17.399999999999999" x14ac:dyDescent="0.3">
      <c r="A215" s="79" t="s">
        <v>375</v>
      </c>
      <c r="B215" s="83">
        <v>-0.17258000000000001</v>
      </c>
      <c r="C215" s="83">
        <v>-7.4310000000000001E-2</v>
      </c>
      <c r="D215" s="83">
        <v>-0.10274</v>
      </c>
      <c r="E215" s="83">
        <v>-0.26018999999999998</v>
      </c>
      <c r="F215" s="83">
        <v>-0.34039999999999998</v>
      </c>
      <c r="G215" s="83">
        <v>-0.63375999999999999</v>
      </c>
      <c r="H215" s="83">
        <v>-0.30860000000000004</v>
      </c>
      <c r="I215" s="83">
        <v>-0.62939000000000001</v>
      </c>
    </row>
    <row r="216" spans="1:9" ht="17.399999999999999" x14ac:dyDescent="0.3">
      <c r="A216" s="79" t="s">
        <v>374</v>
      </c>
      <c r="B216" s="83">
        <v>-0.13100000000000001</v>
      </c>
      <c r="C216" s="83">
        <v>-0.16571</v>
      </c>
      <c r="D216" s="83">
        <v>-0.16769000000000001</v>
      </c>
      <c r="E216" s="83">
        <v>-0.33649000000000001</v>
      </c>
      <c r="F216" s="83">
        <v>-0.35217000000000004</v>
      </c>
      <c r="G216" s="83">
        <v>-0.92653999999999992</v>
      </c>
      <c r="H216" s="83">
        <v>-1.95455</v>
      </c>
      <c r="I216" s="83">
        <v>-0.89137999999999995</v>
      </c>
    </row>
    <row r="217" spans="1:9" ht="17.399999999999999" x14ac:dyDescent="0.3">
      <c r="A217" s="79" t="s">
        <v>373</v>
      </c>
      <c r="B217" s="83">
        <v>-5.851E-2</v>
      </c>
      <c r="C217" s="83">
        <v>0.15405000000000002</v>
      </c>
      <c r="D217" s="83">
        <v>0.20557</v>
      </c>
      <c r="E217" s="83">
        <v>0.35681000000000002</v>
      </c>
      <c r="F217" s="83">
        <v>0.22055000000000002</v>
      </c>
      <c r="G217" s="83">
        <v>0.64944000000000002</v>
      </c>
      <c r="H217" s="83">
        <v>0.48064000000000001</v>
      </c>
      <c r="I217" s="83">
        <v>0.56380999999999992</v>
      </c>
    </row>
    <row r="218" spans="1:9" ht="17.399999999999999" x14ac:dyDescent="0.3">
      <c r="A218" s="79" t="s">
        <v>372</v>
      </c>
      <c r="B218" s="83">
        <v>0.7446799999999999</v>
      </c>
      <c r="C218" s="83">
        <v>-0.72772000000000003</v>
      </c>
      <c r="D218" s="83">
        <v>0.48150999999999999</v>
      </c>
      <c r="E218" s="83">
        <v>1.0704500000000001</v>
      </c>
      <c r="F218" s="83">
        <v>4.2904600000000004</v>
      </c>
      <c r="G218" s="83">
        <v>3.2005300000000001</v>
      </c>
      <c r="H218" s="83">
        <v>13.41432</v>
      </c>
      <c r="I218" s="83">
        <v>-0.82511999999999996</v>
      </c>
    </row>
    <row r="219" spans="1:9" ht="17.399999999999999" x14ac:dyDescent="0.3">
      <c r="A219" s="79" t="s">
        <v>371</v>
      </c>
      <c r="B219" s="83">
        <v>-8.0840000000000009E-2</v>
      </c>
      <c r="C219" s="83">
        <v>-6.3820000000000002E-2</v>
      </c>
      <c r="D219" s="83">
        <v>-7.2249999999999995E-2</v>
      </c>
      <c r="E219" s="83">
        <v>-9.1159999999999991E-2</v>
      </c>
      <c r="F219" s="83">
        <v>-0.20286999999999999</v>
      </c>
      <c r="G219" s="83">
        <v>-0.35761000000000004</v>
      </c>
      <c r="H219" s="83">
        <v>-0.74096000000000006</v>
      </c>
      <c r="I219" s="83">
        <v>-0.35152999999999995</v>
      </c>
    </row>
    <row r="220" spans="1:9" ht="17.399999999999999" x14ac:dyDescent="0.3">
      <c r="A220" s="79" t="s">
        <v>370</v>
      </c>
      <c r="B220" s="83">
        <v>0</v>
      </c>
      <c r="C220" s="83">
        <v>0</v>
      </c>
      <c r="D220" s="83">
        <v>0</v>
      </c>
      <c r="E220" s="83">
        <v>0</v>
      </c>
      <c r="F220" s="83">
        <v>0</v>
      </c>
      <c r="G220" s="83">
        <v>0</v>
      </c>
      <c r="H220" s="83">
        <v>0</v>
      </c>
      <c r="I220" s="83">
        <v>0</v>
      </c>
    </row>
    <row r="221" spans="1:9" ht="17.399999999999999" x14ac:dyDescent="0.3">
      <c r="A221" s="79" t="s">
        <v>369</v>
      </c>
      <c r="B221" s="83">
        <v>0</v>
      </c>
      <c r="C221" s="83">
        <v>0</v>
      </c>
      <c r="D221" s="83">
        <v>0</v>
      </c>
      <c r="E221" s="83">
        <v>0</v>
      </c>
      <c r="F221" s="83">
        <v>0</v>
      </c>
      <c r="G221" s="83">
        <v>0</v>
      </c>
      <c r="H221" s="83">
        <v>0</v>
      </c>
      <c r="I221" s="83">
        <v>0</v>
      </c>
    </row>
    <row r="222" spans="1:9" ht="17.399999999999999" x14ac:dyDescent="0.3">
      <c r="A222" s="79" t="s">
        <v>368</v>
      </c>
      <c r="B222" s="83">
        <v>-0.24475999999999998</v>
      </c>
      <c r="C222" s="83">
        <v>-0.19062000000000001</v>
      </c>
      <c r="D222" s="83">
        <v>-0.12977</v>
      </c>
      <c r="E222" s="83">
        <v>-0.28223000000000004</v>
      </c>
      <c r="F222" s="83">
        <v>-0.40349000000000002</v>
      </c>
      <c r="G222" s="83">
        <v>-0.79033000000000009</v>
      </c>
      <c r="H222" s="83">
        <v>-1.66818</v>
      </c>
      <c r="I222" s="83">
        <v>-0.79753999999999992</v>
      </c>
    </row>
    <row r="223" spans="1:9" ht="17.399999999999999" x14ac:dyDescent="0.3">
      <c r="A223" s="79" t="s">
        <v>367</v>
      </c>
      <c r="B223" s="83">
        <v>-0.14582000000000001</v>
      </c>
      <c r="C223" s="83">
        <v>7.2870000000000004E-2</v>
      </c>
      <c r="D223" s="83">
        <v>1.7610000000000001E-2</v>
      </c>
      <c r="E223" s="83">
        <v>9.0020000000000003E-2</v>
      </c>
      <c r="F223" s="83">
        <v>-0.16902</v>
      </c>
      <c r="G223" s="83">
        <v>-6.089E-2</v>
      </c>
      <c r="H223" s="83">
        <v>-1.3781700000000001</v>
      </c>
      <c r="I223" s="83">
        <v>-0.45171</v>
      </c>
    </row>
    <row r="224" spans="1:9" ht="17.399999999999999" x14ac:dyDescent="0.3">
      <c r="A224" s="79" t="s">
        <v>366</v>
      </c>
      <c r="B224" s="83">
        <v>-0.75649999999999995</v>
      </c>
      <c r="C224" s="83">
        <v>-1.17164</v>
      </c>
      <c r="D224" s="83">
        <v>-1.2358699999999998</v>
      </c>
      <c r="E224" s="83">
        <v>-2.3555000000000001</v>
      </c>
      <c r="F224" s="83">
        <v>-1.39005</v>
      </c>
      <c r="G224" s="83">
        <v>-1.3087299999999999</v>
      </c>
      <c r="H224" s="83">
        <v>-0.85499999999999998</v>
      </c>
      <c r="I224" s="83">
        <v>-0.6583</v>
      </c>
    </row>
    <row r="225" spans="1:9" ht="17.399999999999999" x14ac:dyDescent="0.3">
      <c r="A225" s="79" t="s">
        <v>330</v>
      </c>
      <c r="B225" s="83">
        <v>113.32656</v>
      </c>
      <c r="C225" s="83">
        <v>34.355620000000002</v>
      </c>
      <c r="D225" s="83">
        <v>13.85425</v>
      </c>
      <c r="E225" s="83">
        <v>30.74662</v>
      </c>
      <c r="F225" s="83">
        <v>-48.687379999999997</v>
      </c>
      <c r="G225" s="83">
        <v>-64.275379999999998</v>
      </c>
      <c r="H225" s="83">
        <v>-105</v>
      </c>
      <c r="I225" s="83">
        <v>-59.569690000000001</v>
      </c>
    </row>
    <row r="226" spans="1:9" ht="17.399999999999999" x14ac:dyDescent="0.3">
      <c r="A226" s="79" t="s">
        <v>341</v>
      </c>
      <c r="B226" s="83">
        <v>411.12238000000002</v>
      </c>
      <c r="C226" s="83">
        <v>298.54750000000001</v>
      </c>
      <c r="D226" s="83">
        <v>340.68574999999998</v>
      </c>
      <c r="E226" s="83">
        <v>381.82612</v>
      </c>
      <c r="F226" s="83">
        <v>279.15138000000002</v>
      </c>
      <c r="G226" s="83">
        <v>186.756</v>
      </c>
      <c r="H226" s="83">
        <v>192.08699999999999</v>
      </c>
      <c r="I226" s="83">
        <v>177.02875</v>
      </c>
    </row>
    <row r="227" spans="1:9" ht="17.399999999999999" x14ac:dyDescent="0.3">
      <c r="A227" s="79" t="s">
        <v>365</v>
      </c>
      <c r="B227" s="83">
        <v>0</v>
      </c>
      <c r="C227" s="83">
        <v>0</v>
      </c>
      <c r="D227" s="83">
        <v>0</v>
      </c>
      <c r="E227" s="83">
        <v>0</v>
      </c>
      <c r="F227" s="83">
        <v>0</v>
      </c>
      <c r="G227" s="83">
        <v>0</v>
      </c>
      <c r="H227" s="83">
        <v>0</v>
      </c>
      <c r="I227" s="83">
        <v>0</v>
      </c>
    </row>
    <row r="228" spans="1:9" ht="17.399999999999999" x14ac:dyDescent="0.3">
      <c r="A228" s="79" t="s">
        <v>364</v>
      </c>
      <c r="B228" s="83">
        <v>-9.6370000000000011E-2</v>
      </c>
      <c r="C228" s="83">
        <v>-9.126999999999999E-2</v>
      </c>
      <c r="D228" s="83">
        <v>-0.13278999999999999</v>
      </c>
      <c r="E228" s="83">
        <v>-0.16322</v>
      </c>
      <c r="F228" s="83">
        <v>-0.22399000000000002</v>
      </c>
      <c r="G228" s="83">
        <v>9.0510000000000007E-2</v>
      </c>
      <c r="H228" s="83">
        <v>-0.18983</v>
      </c>
      <c r="I228" s="83">
        <v>-0.20627999999999999</v>
      </c>
    </row>
    <row r="229" spans="1:9" ht="17.399999999999999" x14ac:dyDescent="0.3">
      <c r="A229" s="79" t="s">
        <v>363</v>
      </c>
      <c r="B229" s="83">
        <v>-7.9040000000000013E-2</v>
      </c>
      <c r="C229" s="83">
        <v>-6.021E-2</v>
      </c>
      <c r="D229" s="83">
        <v>-7.3120000000000004E-2</v>
      </c>
      <c r="E229" s="83">
        <v>-8.9520000000000002E-2</v>
      </c>
      <c r="F229" s="83">
        <v>-0.19814999999999999</v>
      </c>
      <c r="G229" s="83">
        <v>-0.35675000000000001</v>
      </c>
      <c r="H229" s="83">
        <v>-0.74457000000000007</v>
      </c>
      <c r="I229" s="83">
        <v>-0.34963</v>
      </c>
    </row>
    <row r="230" spans="1:9" ht="17.399999999999999" x14ac:dyDescent="0.3">
      <c r="A230" s="79" t="s">
        <v>362</v>
      </c>
      <c r="B230" s="83">
        <v>-0.23078000000000001</v>
      </c>
      <c r="C230" s="83">
        <v>-0.16705</v>
      </c>
      <c r="D230" s="83">
        <v>-0.13968</v>
      </c>
      <c r="E230" s="83">
        <v>-0.21783000000000002</v>
      </c>
      <c r="F230" s="83">
        <v>-0.36460999999999999</v>
      </c>
      <c r="G230" s="83">
        <v>-0.68216999999999994</v>
      </c>
      <c r="H230" s="83">
        <v>-1.37768</v>
      </c>
      <c r="I230" s="83">
        <v>-0.68430999999999997</v>
      </c>
    </row>
    <row r="231" spans="1:9" ht="17.399999999999999" x14ac:dyDescent="0.3">
      <c r="A231" s="79" t="s">
        <v>361</v>
      </c>
      <c r="B231" s="83">
        <v>0</v>
      </c>
      <c r="C231" s="83">
        <v>0</v>
      </c>
      <c r="D231" s="83">
        <v>0</v>
      </c>
      <c r="E231" s="83">
        <v>0</v>
      </c>
      <c r="F231" s="83">
        <v>0</v>
      </c>
      <c r="G231" s="83">
        <v>0</v>
      </c>
      <c r="H231" s="83">
        <v>0</v>
      </c>
      <c r="I231" s="83">
        <v>0</v>
      </c>
    </row>
    <row r="232" spans="1:9" ht="17.399999999999999" x14ac:dyDescent="0.3">
      <c r="A232" s="79" t="s">
        <v>360</v>
      </c>
      <c r="B232" s="83">
        <v>1.4244100000000002</v>
      </c>
      <c r="C232" s="83">
        <v>2.0424000000000002</v>
      </c>
      <c r="D232" s="83">
        <v>2.7556100000000003</v>
      </c>
      <c r="E232" s="83">
        <v>3.8726700000000003</v>
      </c>
      <c r="F232" s="83">
        <v>2.67679</v>
      </c>
      <c r="G232" s="83">
        <v>4.2771600000000003</v>
      </c>
      <c r="H232" s="83">
        <v>2.7288600000000001</v>
      </c>
      <c r="I232" s="83">
        <v>-0.30422000000000005</v>
      </c>
    </row>
    <row r="233" spans="1:9" ht="17.399999999999999" x14ac:dyDescent="0.3">
      <c r="A233" s="79" t="s">
        <v>359</v>
      </c>
      <c r="B233" s="83">
        <v>-0.28212999999999999</v>
      </c>
      <c r="C233" s="83">
        <v>-0.28563</v>
      </c>
      <c r="D233" s="83">
        <v>-0.30537999999999998</v>
      </c>
      <c r="E233" s="83">
        <v>-0.44973000000000002</v>
      </c>
      <c r="F233" s="83">
        <v>-0.61371000000000009</v>
      </c>
      <c r="G233" s="83">
        <v>0.14127999999999999</v>
      </c>
      <c r="H233" s="83">
        <v>3.04183</v>
      </c>
      <c r="I233" s="83">
        <v>2.1433200000000001</v>
      </c>
    </row>
    <row r="234" spans="1:9" ht="17.399999999999999" x14ac:dyDescent="0.3">
      <c r="A234" s="79" t="s">
        <v>358</v>
      </c>
      <c r="B234" s="83">
        <v>0</v>
      </c>
      <c r="C234" s="83">
        <v>0</v>
      </c>
      <c r="D234" s="83">
        <v>0</v>
      </c>
      <c r="E234" s="83">
        <v>0</v>
      </c>
      <c r="F234" s="83">
        <v>0</v>
      </c>
      <c r="G234" s="83">
        <v>0</v>
      </c>
      <c r="H234" s="83">
        <v>0</v>
      </c>
      <c r="I234" s="83">
        <v>0</v>
      </c>
    </row>
    <row r="235" spans="1:9" ht="17.399999999999999" x14ac:dyDescent="0.3">
      <c r="A235" s="79" t="s">
        <v>357</v>
      </c>
      <c r="B235" s="83">
        <v>0</v>
      </c>
      <c r="C235" s="83">
        <v>0</v>
      </c>
      <c r="D235" s="83">
        <v>0</v>
      </c>
      <c r="E235" s="83">
        <v>0</v>
      </c>
      <c r="F235" s="83">
        <v>0</v>
      </c>
      <c r="G235" s="83">
        <v>0</v>
      </c>
      <c r="H235" s="83">
        <v>0</v>
      </c>
      <c r="I235" s="83">
        <v>0</v>
      </c>
    </row>
    <row r="236" spans="1:9" ht="17.399999999999999" x14ac:dyDescent="0.3">
      <c r="A236" s="79" t="s">
        <v>356</v>
      </c>
      <c r="B236" s="83">
        <v>0</v>
      </c>
      <c r="C236" s="83">
        <v>0</v>
      </c>
      <c r="D236" s="83">
        <v>0</v>
      </c>
      <c r="E236" s="83">
        <v>0</v>
      </c>
      <c r="F236" s="83">
        <v>0</v>
      </c>
      <c r="G236" s="83">
        <v>0</v>
      </c>
      <c r="H236" s="83">
        <v>0</v>
      </c>
      <c r="I236" s="83">
        <v>0</v>
      </c>
    </row>
    <row r="237" spans="1:9" ht="17.399999999999999" x14ac:dyDescent="0.3">
      <c r="A237" s="79" t="s">
        <v>355</v>
      </c>
      <c r="B237" s="83">
        <v>0</v>
      </c>
      <c r="C237" s="83">
        <v>0</v>
      </c>
      <c r="D237" s="83">
        <v>0</v>
      </c>
      <c r="E237" s="83">
        <v>0</v>
      </c>
      <c r="F237" s="83">
        <v>0</v>
      </c>
      <c r="G237" s="83">
        <v>0</v>
      </c>
      <c r="H237" s="83">
        <v>0</v>
      </c>
      <c r="I237" s="83">
        <v>0</v>
      </c>
    </row>
    <row r="238" spans="1:9" ht="17.399999999999999" x14ac:dyDescent="0.3">
      <c r="A238" s="79" t="s">
        <v>354</v>
      </c>
      <c r="B238" s="83">
        <v>0</v>
      </c>
      <c r="C238" s="83">
        <v>0</v>
      </c>
      <c r="D238" s="83">
        <v>0</v>
      </c>
      <c r="E238" s="83">
        <v>0</v>
      </c>
      <c r="F238" s="83">
        <v>0</v>
      </c>
      <c r="G238" s="83">
        <v>0</v>
      </c>
      <c r="H238" s="83">
        <v>0</v>
      </c>
      <c r="I238" s="83">
        <v>0</v>
      </c>
    </row>
    <row r="239" spans="1:9" ht="17.399999999999999" x14ac:dyDescent="0.3">
      <c r="A239" s="79" t="s">
        <v>353</v>
      </c>
      <c r="B239" s="83">
        <v>-0.17002</v>
      </c>
      <c r="C239" s="83">
        <v>-0.20280999999999999</v>
      </c>
      <c r="D239" s="83">
        <v>-0.13113999999999998</v>
      </c>
      <c r="E239" s="83">
        <v>-0.21487000000000001</v>
      </c>
      <c r="F239" s="83">
        <v>-0.34317999999999999</v>
      </c>
      <c r="G239" s="83">
        <v>-0.60747000000000007</v>
      </c>
      <c r="H239" s="83">
        <v>-1.1273</v>
      </c>
      <c r="I239" s="83">
        <v>-0.55862000000000001</v>
      </c>
    </row>
    <row r="240" spans="1:9" ht="17.399999999999999" x14ac:dyDescent="0.3">
      <c r="A240" s="79" t="s">
        <v>352</v>
      </c>
      <c r="B240" s="83">
        <v>-0.37042999999999998</v>
      </c>
      <c r="C240" s="83">
        <v>-0.19818</v>
      </c>
      <c r="D240" s="83">
        <v>-0.19628999999999999</v>
      </c>
      <c r="E240" s="83">
        <v>-0.44016000000000005</v>
      </c>
      <c r="F240" s="83">
        <v>-0.50963999999999998</v>
      </c>
      <c r="G240" s="83">
        <v>-1.0611900000000001</v>
      </c>
      <c r="H240" s="83">
        <v>-0.48419999999999996</v>
      </c>
      <c r="I240" s="83">
        <v>-0.19658</v>
      </c>
    </row>
    <row r="241" spans="1:9" ht="17.399999999999999" x14ac:dyDescent="0.3">
      <c r="A241" s="79" t="s">
        <v>351</v>
      </c>
      <c r="B241" s="83">
        <v>-0.13300000000000001</v>
      </c>
      <c r="C241" s="83">
        <v>-0.2326</v>
      </c>
      <c r="D241" s="83">
        <v>-0.18073</v>
      </c>
      <c r="E241" s="83">
        <v>-0.56347000000000003</v>
      </c>
      <c r="F241" s="83">
        <v>-0.35438999999999998</v>
      </c>
      <c r="G241" s="83">
        <v>-1.42248</v>
      </c>
      <c r="H241" s="83">
        <v>-0.83848999999999996</v>
      </c>
      <c r="I241" s="83">
        <v>-0.53459000000000001</v>
      </c>
    </row>
    <row r="242" spans="1:9" ht="18" thickBot="1" x14ac:dyDescent="0.35">
      <c r="A242" s="89" t="s">
        <v>561</v>
      </c>
      <c r="B242" s="415">
        <v>0</v>
      </c>
      <c r="C242" s="415">
        <v>-4.4134899999999995</v>
      </c>
      <c r="D242" s="415">
        <v>-1.2764500000000001</v>
      </c>
      <c r="E242" s="415">
        <v>-8.0840600000000009</v>
      </c>
      <c r="F242" s="415">
        <v>-0.39848</v>
      </c>
      <c r="G242" s="415">
        <v>-0.60400999999999994</v>
      </c>
      <c r="H242" s="415">
        <v>-2.6850000000000002E-2</v>
      </c>
      <c r="I242" s="415">
        <v>-1.01949</v>
      </c>
    </row>
    <row r="243" spans="1:9" ht="16.2" thickTop="1" x14ac:dyDescent="0.3">
      <c r="B243" s="123"/>
      <c r="C243" s="123"/>
      <c r="D243" s="123"/>
      <c r="E243" s="123"/>
      <c r="F243" s="123"/>
      <c r="G243" s="123"/>
      <c r="H243" s="123"/>
      <c r="I243" s="123"/>
    </row>
  </sheetData>
  <mergeCells count="1">
    <mergeCell ref="A2:I2"/>
  </mergeCells>
  <phoneticPr fontId="13" type="noConversion"/>
  <pageMargins left="0.75" right="0.75" top="1" bottom="1" header="0.5" footer="0.5"/>
  <pageSetup paperSize="9" scale="53" fitToHeight="4" orientation="portrait" horizontalDpi="4294967292" verticalDpi="4294967292"/>
  <extLst>
    <ext xmlns:mx="http://schemas.microsoft.com/office/mac/excel/2008/main" uri="{64002731-A6B0-56B0-2670-7721B7C09600}">
      <mx:PLV Mode="0" OnePage="0" WScale="100"/>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2:J245"/>
  <sheetViews>
    <sheetView zoomScale="70" zoomScaleNormal="70" zoomScalePageLayoutView="70" workbookViewId="0">
      <pane xSplit="1" ySplit="4" topLeftCell="B20" activePane="bottomRight" state="frozen"/>
      <selection pane="topRight" activeCell="B1" sqref="B1"/>
      <selection pane="bottomLeft" activeCell="A5" sqref="A5"/>
      <selection pane="bottomRight"/>
    </sheetView>
  </sheetViews>
  <sheetFormatPr baseColWidth="10" defaultColWidth="10.7265625" defaultRowHeight="17.399999999999999" x14ac:dyDescent="0.3"/>
  <cols>
    <col min="1" max="1" width="36.1796875" style="79" customWidth="1"/>
    <col min="2" max="9" width="11.54296875" style="79" customWidth="1"/>
    <col min="10" max="16384" width="10.7265625" style="79"/>
  </cols>
  <sheetData>
    <row r="2" spans="1:10" ht="28.2" x14ac:dyDescent="0.5">
      <c r="A2" s="729" t="s">
        <v>618</v>
      </c>
      <c r="B2" s="729"/>
      <c r="C2" s="729"/>
      <c r="D2" s="729"/>
      <c r="E2" s="729"/>
      <c r="F2" s="729"/>
      <c r="G2" s="729"/>
      <c r="H2" s="729"/>
      <c r="I2" s="729"/>
      <c r="J2" s="413"/>
    </row>
    <row r="3" spans="1:10" ht="18" thickBot="1" x14ac:dyDescent="0.35">
      <c r="A3" s="89"/>
      <c r="B3" s="89"/>
      <c r="C3" s="89"/>
      <c r="D3" s="89"/>
      <c r="E3" s="89"/>
      <c r="F3" s="89"/>
      <c r="G3" s="89"/>
      <c r="H3" s="89"/>
      <c r="I3" s="89"/>
    </row>
    <row r="4" spans="1:10" ht="18" thickTop="1" x14ac:dyDescent="0.3">
      <c r="B4" s="124">
        <v>2001</v>
      </c>
      <c r="C4" s="124">
        <v>2002</v>
      </c>
      <c r="D4" s="124">
        <v>2003</v>
      </c>
      <c r="E4" s="124">
        <v>2004</v>
      </c>
      <c r="F4" s="124">
        <v>2005</v>
      </c>
      <c r="G4" s="124">
        <v>2006</v>
      </c>
      <c r="H4" s="124">
        <v>2007</v>
      </c>
      <c r="I4" s="124">
        <v>2008</v>
      </c>
    </row>
    <row r="5" spans="1:10" x14ac:dyDescent="0.3">
      <c r="A5" s="79" t="s">
        <v>560</v>
      </c>
      <c r="B5" s="416">
        <v>0</v>
      </c>
      <c r="C5" s="416">
        <v>0</v>
      </c>
      <c r="D5" s="416">
        <v>0</v>
      </c>
      <c r="E5" s="416">
        <v>0</v>
      </c>
      <c r="F5" s="416">
        <v>0</v>
      </c>
      <c r="G5" s="416">
        <v>0</v>
      </c>
      <c r="H5" s="416">
        <v>0</v>
      </c>
      <c r="I5" s="416">
        <v>0</v>
      </c>
    </row>
    <row r="6" spans="1:10" x14ac:dyDescent="0.3">
      <c r="A6" s="79" t="s">
        <v>559</v>
      </c>
      <c r="B6" s="83">
        <v>0</v>
      </c>
      <c r="C6" s="83">
        <v>0</v>
      </c>
      <c r="D6" s="83">
        <v>0</v>
      </c>
      <c r="E6" s="83">
        <v>0</v>
      </c>
      <c r="F6" s="83">
        <v>0</v>
      </c>
      <c r="G6" s="83">
        <v>0</v>
      </c>
      <c r="H6" s="83">
        <v>-1.8773199999999999</v>
      </c>
      <c r="I6" s="83">
        <v>-3.0346100000000003</v>
      </c>
    </row>
    <row r="7" spans="1:10" x14ac:dyDescent="0.3">
      <c r="A7" s="79" t="s">
        <v>558</v>
      </c>
      <c r="B7" s="83">
        <v>0</v>
      </c>
      <c r="C7" s="83">
        <v>0</v>
      </c>
      <c r="D7" s="83">
        <v>0</v>
      </c>
      <c r="E7" s="83">
        <v>0</v>
      </c>
      <c r="F7" s="83">
        <v>0</v>
      </c>
      <c r="G7" s="83">
        <v>0</v>
      </c>
      <c r="H7" s="83">
        <v>0</v>
      </c>
      <c r="I7" s="83">
        <v>0</v>
      </c>
    </row>
    <row r="8" spans="1:10" x14ac:dyDescent="0.3">
      <c r="A8" s="79" t="s">
        <v>557</v>
      </c>
      <c r="B8" s="83">
        <v>0</v>
      </c>
      <c r="C8" s="83">
        <v>0</v>
      </c>
      <c r="D8" s="83">
        <v>0</v>
      </c>
      <c r="E8" s="83">
        <v>0</v>
      </c>
      <c r="F8" s="83">
        <v>0</v>
      </c>
      <c r="G8" s="83">
        <v>0</v>
      </c>
      <c r="H8" s="83">
        <v>0</v>
      </c>
      <c r="I8" s="83">
        <v>0</v>
      </c>
    </row>
    <row r="9" spans="1:10" x14ac:dyDescent="0.3">
      <c r="A9" s="79" t="s">
        <v>556</v>
      </c>
      <c r="B9" s="83">
        <v>0</v>
      </c>
      <c r="C9" s="83">
        <v>0</v>
      </c>
      <c r="D9" s="83">
        <v>0</v>
      </c>
      <c r="E9" s="83">
        <v>0</v>
      </c>
      <c r="F9" s="83">
        <v>0</v>
      </c>
      <c r="G9" s="83">
        <v>0</v>
      </c>
      <c r="H9" s="83">
        <v>0</v>
      </c>
      <c r="I9" s="83">
        <v>0</v>
      </c>
    </row>
    <row r="10" spans="1:10" x14ac:dyDescent="0.3">
      <c r="A10" s="79" t="s">
        <v>555</v>
      </c>
      <c r="B10" s="83">
        <v>0</v>
      </c>
      <c r="C10" s="83">
        <v>0</v>
      </c>
      <c r="D10" s="83">
        <v>-0.18196000000000001</v>
      </c>
      <c r="E10" s="83">
        <v>-0.35524</v>
      </c>
      <c r="F10" s="83">
        <v>-0.59494000000000002</v>
      </c>
      <c r="G10" s="83">
        <v>-0.49726999999999999</v>
      </c>
      <c r="H10" s="83">
        <v>-1.07833</v>
      </c>
      <c r="I10" s="83">
        <v>-1.01054</v>
      </c>
    </row>
    <row r="11" spans="1:10" x14ac:dyDescent="0.3">
      <c r="A11" s="79" t="s">
        <v>554</v>
      </c>
      <c r="B11" s="83">
        <v>0</v>
      </c>
      <c r="C11" s="83">
        <v>0</v>
      </c>
      <c r="D11" s="83">
        <v>0</v>
      </c>
      <c r="E11" s="83">
        <v>0</v>
      </c>
      <c r="F11" s="83">
        <v>0</v>
      </c>
      <c r="G11" s="83">
        <v>0</v>
      </c>
      <c r="H11" s="83">
        <v>0</v>
      </c>
      <c r="I11" s="83">
        <v>0</v>
      </c>
    </row>
    <row r="12" spans="1:10" x14ac:dyDescent="0.3">
      <c r="A12" s="79" t="s">
        <v>553</v>
      </c>
      <c r="B12" s="83">
        <v>0</v>
      </c>
      <c r="C12" s="83">
        <v>0</v>
      </c>
      <c r="D12" s="83">
        <v>0</v>
      </c>
      <c r="E12" s="83">
        <v>0</v>
      </c>
      <c r="F12" s="83">
        <v>0</v>
      </c>
      <c r="G12" s="83">
        <v>0</v>
      </c>
      <c r="H12" s="83">
        <v>0</v>
      </c>
      <c r="I12" s="83">
        <v>0</v>
      </c>
    </row>
    <row r="13" spans="1:10" x14ac:dyDescent="0.3">
      <c r="A13" s="79" t="s">
        <v>552</v>
      </c>
      <c r="B13" s="83">
        <v>9.6967999999999996</v>
      </c>
      <c r="C13" s="83">
        <v>5.8843100000000002</v>
      </c>
      <c r="D13" s="83">
        <v>10.443340000000001</v>
      </c>
      <c r="E13" s="83">
        <v>6.8036199999999996</v>
      </c>
      <c r="F13" s="83">
        <v>4.6608299999999998</v>
      </c>
      <c r="G13" s="83">
        <v>6.8126699999999998</v>
      </c>
      <c r="H13" s="83">
        <v>7.2460200000000006</v>
      </c>
      <c r="I13" s="83">
        <v>-0.65161000000000002</v>
      </c>
    </row>
    <row r="14" spans="1:10" x14ac:dyDescent="0.3">
      <c r="A14" s="79" t="s">
        <v>551</v>
      </c>
      <c r="B14" s="83">
        <v>-5.8630000000000002E-2</v>
      </c>
      <c r="C14" s="83">
        <v>-7.2160000000000002E-2</v>
      </c>
      <c r="D14" s="83">
        <v>-0.12834999999999999</v>
      </c>
      <c r="E14" s="83">
        <v>-0.28935</v>
      </c>
      <c r="F14" s="83">
        <v>-0.49241000000000001</v>
      </c>
      <c r="G14" s="83">
        <v>-0.70899000000000001</v>
      </c>
      <c r="H14" s="83">
        <v>-0.83660000000000001</v>
      </c>
      <c r="I14" s="83">
        <v>-0.76458999999999999</v>
      </c>
    </row>
    <row r="15" spans="1:10" x14ac:dyDescent="0.3">
      <c r="A15" s="79" t="s">
        <v>550</v>
      </c>
      <c r="B15" s="83">
        <v>-0.65803999999999996</v>
      </c>
      <c r="C15" s="83">
        <v>-0.70565</v>
      </c>
      <c r="D15" s="83">
        <v>-0.75741999999999998</v>
      </c>
      <c r="E15" s="83">
        <v>-0.90549000000000002</v>
      </c>
      <c r="F15" s="83">
        <v>-0.77942</v>
      </c>
      <c r="G15" s="83">
        <v>-1.0611199999999998</v>
      </c>
      <c r="H15" s="83">
        <v>-1.43652</v>
      </c>
      <c r="I15" s="83">
        <v>-2.9710300000000003</v>
      </c>
    </row>
    <row r="16" spans="1:10" x14ac:dyDescent="0.3">
      <c r="A16" s="79" t="s">
        <v>549</v>
      </c>
      <c r="B16" s="83">
        <v>46.894160000000007</v>
      </c>
      <c r="C16" s="83">
        <v>48.414529999999999</v>
      </c>
      <c r="D16" s="83">
        <v>65.109949999999998</v>
      </c>
      <c r="E16" s="83">
        <v>63.093160000000005</v>
      </c>
      <c r="F16" s="83">
        <v>69.318690000000004</v>
      </c>
      <c r="G16" s="83">
        <v>82.928470000000004</v>
      </c>
      <c r="H16" s="83">
        <v>101.08177999999999</v>
      </c>
      <c r="I16" s="83">
        <v>80.736410000000006</v>
      </c>
    </row>
    <row r="17" spans="1:9" x14ac:dyDescent="0.3">
      <c r="A17" s="79" t="s">
        <v>548</v>
      </c>
      <c r="B17" s="83">
        <v>40.001190000000001</v>
      </c>
      <c r="C17" s="83">
        <v>52.207720000000002</v>
      </c>
      <c r="D17" s="83">
        <v>55.811109999999999</v>
      </c>
      <c r="E17" s="83">
        <v>67.935249999999996</v>
      </c>
      <c r="F17" s="83">
        <v>55.343669999999996</v>
      </c>
      <c r="G17" s="83">
        <v>54.402339999999995</v>
      </c>
      <c r="H17" s="83">
        <v>73.281089999999992</v>
      </c>
      <c r="I17" s="83">
        <v>59.807690000000001</v>
      </c>
    </row>
    <row r="18" spans="1:9" x14ac:dyDescent="0.3">
      <c r="A18" s="79" t="s">
        <v>547</v>
      </c>
      <c r="B18" s="83">
        <v>-9.6140000000000003E-2</v>
      </c>
      <c r="C18" s="83">
        <v>-9.4170000000000004E-2</v>
      </c>
      <c r="D18" s="83">
        <v>-0.18806</v>
      </c>
      <c r="E18" s="83">
        <v>-0.34866000000000003</v>
      </c>
      <c r="F18" s="83">
        <v>-0.31981999999999999</v>
      </c>
      <c r="G18" s="83">
        <v>-0.76951999999999998</v>
      </c>
      <c r="H18" s="83">
        <v>-0.98289000000000004</v>
      </c>
      <c r="I18" s="83">
        <v>-0.58805999999999992</v>
      </c>
    </row>
    <row r="19" spans="1:9" x14ac:dyDescent="0.3">
      <c r="A19" s="79" t="s">
        <v>546</v>
      </c>
      <c r="B19" s="83">
        <v>0</v>
      </c>
      <c r="C19" s="83">
        <v>0</v>
      </c>
      <c r="D19" s="83">
        <v>0</v>
      </c>
      <c r="E19" s="83">
        <v>0</v>
      </c>
      <c r="F19" s="83">
        <v>0</v>
      </c>
      <c r="G19" s="83">
        <v>0</v>
      </c>
      <c r="H19" s="83">
        <v>0</v>
      </c>
      <c r="I19" s="83">
        <v>0</v>
      </c>
    </row>
    <row r="20" spans="1:9" x14ac:dyDescent="0.3">
      <c r="A20" s="79" t="s">
        <v>296</v>
      </c>
      <c r="B20" s="83">
        <v>-0.10131</v>
      </c>
      <c r="C20" s="83">
        <v>0.42697000000000002</v>
      </c>
      <c r="D20" s="83">
        <v>0.14105000000000001</v>
      </c>
      <c r="E20" s="83">
        <v>5.6960000000000004E-2</v>
      </c>
      <c r="F20" s="83">
        <v>-0.98020000000000007</v>
      </c>
      <c r="G20" s="83">
        <v>-1.426E-2</v>
      </c>
      <c r="H20" s="83">
        <v>2.2749999999999999E-2</v>
      </c>
      <c r="I20" s="83">
        <v>3.1019200000000002</v>
      </c>
    </row>
    <row r="21" spans="1:9" x14ac:dyDescent="0.3">
      <c r="A21" s="79" t="s">
        <v>545</v>
      </c>
      <c r="B21" s="83">
        <v>-0.10920000000000001</v>
      </c>
      <c r="C21" s="83">
        <v>-0.20415</v>
      </c>
      <c r="D21" s="83">
        <v>-0.27322000000000002</v>
      </c>
      <c r="E21" s="83">
        <v>-0.41492000000000001</v>
      </c>
      <c r="F21" s="83">
        <v>-0.59836999999999996</v>
      </c>
      <c r="G21" s="83">
        <v>-0.57830999999999999</v>
      </c>
      <c r="H21" s="83">
        <v>-0.83540999999999999</v>
      </c>
      <c r="I21" s="83">
        <v>-0.31268000000000001</v>
      </c>
    </row>
    <row r="22" spans="1:9" x14ac:dyDescent="0.3">
      <c r="A22" s="79" t="s">
        <v>544</v>
      </c>
      <c r="B22" s="83">
        <v>0</v>
      </c>
      <c r="C22" s="83">
        <v>0</v>
      </c>
      <c r="D22" s="83">
        <v>0</v>
      </c>
      <c r="E22" s="83">
        <v>0</v>
      </c>
      <c r="F22" s="83">
        <v>0</v>
      </c>
      <c r="G22" s="83">
        <v>0</v>
      </c>
      <c r="H22" s="83">
        <v>0</v>
      </c>
      <c r="I22" s="83">
        <v>0</v>
      </c>
    </row>
    <row r="23" spans="1:9" x14ac:dyDescent="0.3">
      <c r="A23" s="79" t="s">
        <v>543</v>
      </c>
      <c r="B23" s="83">
        <v>-4.0719999999999999E-2</v>
      </c>
      <c r="C23" s="83">
        <v>-6.3920000000000005E-2</v>
      </c>
      <c r="D23" s="83">
        <v>-9.733E-2</v>
      </c>
      <c r="E23" s="83">
        <v>-0.23924000000000001</v>
      </c>
      <c r="F23" s="83">
        <v>-0.47281000000000001</v>
      </c>
      <c r="G23" s="83">
        <v>-0.72220000000000006</v>
      </c>
      <c r="H23" s="83">
        <v>-0.86215999999999993</v>
      </c>
      <c r="I23" s="83">
        <v>-0.79208000000000001</v>
      </c>
    </row>
    <row r="24" spans="1:9" x14ac:dyDescent="0.3">
      <c r="A24" s="79" t="s">
        <v>325</v>
      </c>
      <c r="B24" s="83">
        <v>-4.4879100000000003</v>
      </c>
      <c r="C24" s="83">
        <v>-4.6874099999999999</v>
      </c>
      <c r="D24" s="83">
        <v>-7.5783000000000005</v>
      </c>
      <c r="E24" s="83">
        <v>-11.50745</v>
      </c>
      <c r="F24" s="83">
        <v>-13.3445</v>
      </c>
      <c r="G24" s="83">
        <v>-21.37445</v>
      </c>
      <c r="H24" s="83">
        <v>21.734189999999998</v>
      </c>
      <c r="I24" s="83">
        <v>41.580379999999998</v>
      </c>
    </row>
    <row r="25" spans="1:9" x14ac:dyDescent="0.3">
      <c r="A25" s="79" t="s">
        <v>542</v>
      </c>
      <c r="B25" s="83">
        <v>0</v>
      </c>
      <c r="C25" s="83">
        <v>0</v>
      </c>
      <c r="D25" s="83">
        <v>0</v>
      </c>
      <c r="E25" s="83">
        <v>0</v>
      </c>
      <c r="F25" s="83">
        <v>0</v>
      </c>
      <c r="G25" s="83">
        <v>0</v>
      </c>
      <c r="H25" s="83">
        <v>0</v>
      </c>
      <c r="I25" s="83">
        <v>0</v>
      </c>
    </row>
    <row r="26" spans="1:9" x14ac:dyDescent="0.3">
      <c r="A26" s="79" t="s">
        <v>541</v>
      </c>
      <c r="B26" s="83">
        <v>-6.7479999999999998E-2</v>
      </c>
      <c r="C26" s="83">
        <v>-7.0779999999999996E-2</v>
      </c>
      <c r="D26" s="83">
        <v>-0.16847000000000001</v>
      </c>
      <c r="E26" s="83">
        <v>-0.36013999999999996</v>
      </c>
      <c r="F26" s="83">
        <v>-0.56320000000000003</v>
      </c>
      <c r="G26" s="83">
        <v>-0.82826999999999995</v>
      </c>
      <c r="H26" s="83">
        <v>-1.98746</v>
      </c>
      <c r="I26" s="83">
        <v>-1.4932799999999999</v>
      </c>
    </row>
    <row r="27" spans="1:9" x14ac:dyDescent="0.3">
      <c r="A27" s="79" t="s">
        <v>267</v>
      </c>
      <c r="B27" s="83">
        <v>9.3416200000000007</v>
      </c>
      <c r="C27" s="83">
        <v>7.4361000000000006</v>
      </c>
      <c r="D27" s="83">
        <v>6.6807799999999995</v>
      </c>
      <c r="E27" s="83">
        <v>2.1468099999999999</v>
      </c>
      <c r="F27" s="83">
        <v>0</v>
      </c>
      <c r="G27" s="83">
        <v>0</v>
      </c>
      <c r="H27" s="83">
        <v>4.1612099999999996</v>
      </c>
      <c r="I27" s="83">
        <v>11.180009999999999</v>
      </c>
    </row>
    <row r="28" spans="1:9" x14ac:dyDescent="0.3">
      <c r="A28" s="79" t="s">
        <v>540</v>
      </c>
      <c r="B28" s="83">
        <v>0</v>
      </c>
      <c r="C28" s="83">
        <v>0</v>
      </c>
      <c r="D28" s="83">
        <v>0</v>
      </c>
      <c r="E28" s="83">
        <v>0</v>
      </c>
      <c r="F28" s="83">
        <v>0</v>
      </c>
      <c r="G28" s="83">
        <v>0</v>
      </c>
      <c r="H28" s="83">
        <v>0</v>
      </c>
      <c r="I28" s="83">
        <v>0</v>
      </c>
    </row>
    <row r="29" spans="1:9" x14ac:dyDescent="0.3">
      <c r="A29" s="79" t="s">
        <v>539</v>
      </c>
      <c r="B29" s="83">
        <v>-5.9069999999999998E-2</v>
      </c>
      <c r="C29" s="83">
        <v>-7.9280000000000003E-2</v>
      </c>
      <c r="D29" s="83">
        <v>-0.11609</v>
      </c>
      <c r="E29" s="83">
        <v>-0.22344999999999998</v>
      </c>
      <c r="F29" s="83">
        <v>-0.37855</v>
      </c>
      <c r="G29" s="83">
        <v>-0.59239999999999993</v>
      </c>
      <c r="H29" s="83">
        <v>-1.3769</v>
      </c>
      <c r="I29" s="83">
        <v>-0.83565</v>
      </c>
    </row>
    <row r="30" spans="1:9" x14ac:dyDescent="0.3">
      <c r="A30" s="79" t="s">
        <v>538</v>
      </c>
      <c r="B30" s="83">
        <v>0</v>
      </c>
      <c r="C30" s="83">
        <v>0</v>
      </c>
      <c r="D30" s="83">
        <v>0</v>
      </c>
      <c r="E30" s="83">
        <v>-0.69613999999999998</v>
      </c>
      <c r="F30" s="83">
        <v>-1.7492000000000001</v>
      </c>
      <c r="G30" s="83">
        <v>-1.8220999999999998</v>
      </c>
      <c r="H30" s="83">
        <v>-2.3637600000000001</v>
      </c>
      <c r="I30" s="83">
        <v>-2.5266999999999999</v>
      </c>
    </row>
    <row r="31" spans="1:9" x14ac:dyDescent="0.3">
      <c r="A31" s="79" t="s">
        <v>537</v>
      </c>
      <c r="B31" s="83">
        <v>-8.9569999999999997E-2</v>
      </c>
      <c r="C31" s="83">
        <v>-8.4180000000000005E-2</v>
      </c>
      <c r="D31" s="83">
        <v>-0.10862000000000001</v>
      </c>
      <c r="E31" s="83">
        <v>-0.25083</v>
      </c>
      <c r="F31" s="83">
        <v>-0.51785999999999999</v>
      </c>
      <c r="G31" s="83">
        <v>-0.73911000000000004</v>
      </c>
      <c r="H31" s="83">
        <v>-2.3656899999999998</v>
      </c>
      <c r="I31" s="83">
        <v>-1.71685</v>
      </c>
    </row>
    <row r="32" spans="1:9" x14ac:dyDescent="0.3">
      <c r="A32" s="79" t="s">
        <v>536</v>
      </c>
      <c r="B32" s="83">
        <v>69.031700000000001</v>
      </c>
      <c r="C32" s="83">
        <v>66.778080000000003</v>
      </c>
      <c r="D32" s="83">
        <v>50.99156</v>
      </c>
      <c r="E32" s="83">
        <v>41.69802</v>
      </c>
      <c r="F32" s="83">
        <v>38.280650000000001</v>
      </c>
      <c r="G32" s="83">
        <v>37.441000000000003</v>
      </c>
      <c r="H32" s="83">
        <v>61.530300000000004</v>
      </c>
      <c r="I32" s="83">
        <v>56.236379999999997</v>
      </c>
    </row>
    <row r="33" spans="1:9" x14ac:dyDescent="0.3">
      <c r="A33" s="79" t="s">
        <v>535</v>
      </c>
      <c r="B33" s="83">
        <v>0</v>
      </c>
      <c r="C33" s="83">
        <v>0</v>
      </c>
      <c r="D33" s="83">
        <v>0</v>
      </c>
      <c r="E33" s="83">
        <v>0</v>
      </c>
      <c r="F33" s="83">
        <v>0</v>
      </c>
      <c r="G33" s="83">
        <v>0</v>
      </c>
      <c r="H33" s="83">
        <v>0</v>
      </c>
      <c r="I33" s="83">
        <v>0</v>
      </c>
    </row>
    <row r="34" spans="1:9" x14ac:dyDescent="0.3">
      <c r="A34" s="79" t="s">
        <v>534</v>
      </c>
      <c r="B34" s="83">
        <v>0</v>
      </c>
      <c r="C34" s="83">
        <v>0</v>
      </c>
      <c r="D34" s="83">
        <v>0</v>
      </c>
      <c r="E34" s="83">
        <v>0</v>
      </c>
      <c r="F34" s="83">
        <v>0</v>
      </c>
      <c r="G34" s="83">
        <v>0</v>
      </c>
      <c r="H34" s="83">
        <v>0</v>
      </c>
      <c r="I34" s="83">
        <v>0</v>
      </c>
    </row>
    <row r="35" spans="1:9" x14ac:dyDescent="0.3">
      <c r="A35" s="79" t="s">
        <v>533</v>
      </c>
      <c r="B35" s="83">
        <v>1.1913900000000002</v>
      </c>
      <c r="C35" s="83">
        <v>0.83913000000000004</v>
      </c>
      <c r="D35" s="83">
        <v>7.9000000000000001E-2</v>
      </c>
      <c r="E35" s="83">
        <v>-1.2553599999999998</v>
      </c>
      <c r="F35" s="83">
        <v>-2.16147</v>
      </c>
      <c r="G35" s="83">
        <v>-0.95607000000000009</v>
      </c>
      <c r="H35" s="83">
        <v>-1.3225100000000001</v>
      </c>
      <c r="I35" s="83">
        <v>-1.24943</v>
      </c>
    </row>
    <row r="36" spans="1:9" x14ac:dyDescent="0.3">
      <c r="A36" s="79" t="s">
        <v>532</v>
      </c>
      <c r="B36" s="83">
        <v>-7.2090000000000001E-2</v>
      </c>
      <c r="C36" s="83">
        <v>0</v>
      </c>
      <c r="D36" s="83">
        <v>-0.1736</v>
      </c>
      <c r="E36" s="83">
        <v>-0.38730000000000003</v>
      </c>
      <c r="F36" s="83">
        <v>-0.42531999999999998</v>
      </c>
      <c r="G36" s="83">
        <v>0</v>
      </c>
      <c r="H36" s="83">
        <v>-1.9325899999999998</v>
      </c>
      <c r="I36" s="83">
        <v>-1.3654200000000001</v>
      </c>
    </row>
    <row r="37" spans="1:9" x14ac:dyDescent="0.3">
      <c r="A37" s="79" t="s">
        <v>531</v>
      </c>
      <c r="B37" s="83">
        <v>0</v>
      </c>
      <c r="C37" s="83">
        <v>0</v>
      </c>
      <c r="D37" s="83">
        <v>0</v>
      </c>
      <c r="E37" s="83">
        <v>0</v>
      </c>
      <c r="F37" s="83">
        <v>0</v>
      </c>
      <c r="G37" s="83">
        <v>0</v>
      </c>
      <c r="H37" s="83">
        <v>0</v>
      </c>
      <c r="I37" s="83">
        <v>0</v>
      </c>
    </row>
    <row r="38" spans="1:9" x14ac:dyDescent="0.3">
      <c r="A38" s="79" t="s">
        <v>530</v>
      </c>
      <c r="B38" s="83">
        <v>-0.11971</v>
      </c>
      <c r="C38" s="83">
        <v>-0.15712999999999999</v>
      </c>
      <c r="D38" s="83">
        <v>-0.20466999999999999</v>
      </c>
      <c r="E38" s="83">
        <v>-0.38341000000000003</v>
      </c>
      <c r="F38" s="83">
        <v>-0.37794</v>
      </c>
      <c r="G38" s="83">
        <v>-0.53861999999999999</v>
      </c>
      <c r="H38" s="83">
        <v>-1.3218299999999998</v>
      </c>
      <c r="I38" s="83">
        <v>-0.90061000000000002</v>
      </c>
    </row>
    <row r="39" spans="1:9" x14ac:dyDescent="0.3">
      <c r="A39" s="79" t="s">
        <v>529</v>
      </c>
      <c r="B39" s="83">
        <v>0</v>
      </c>
      <c r="C39" s="83">
        <v>0</v>
      </c>
      <c r="D39" s="83">
        <v>0</v>
      </c>
      <c r="E39" s="83">
        <v>0</v>
      </c>
      <c r="F39" s="83">
        <v>0</v>
      </c>
      <c r="G39" s="83">
        <v>0</v>
      </c>
      <c r="H39" s="83">
        <v>0</v>
      </c>
      <c r="I39" s="83">
        <v>0</v>
      </c>
    </row>
    <row r="40" spans="1:9" x14ac:dyDescent="0.3">
      <c r="A40" s="79" t="s">
        <v>331</v>
      </c>
      <c r="B40" s="83">
        <v>65.437280000000001</v>
      </c>
      <c r="C40" s="83">
        <v>36.18403</v>
      </c>
      <c r="D40" s="83">
        <v>33.668440000000004</v>
      </c>
      <c r="E40" s="83">
        <v>49.318309999999997</v>
      </c>
      <c r="F40" s="83">
        <v>33.426379999999995</v>
      </c>
      <c r="G40" s="83">
        <v>20.219339999999999</v>
      </c>
      <c r="H40" s="83">
        <v>-8.2041900000000005</v>
      </c>
      <c r="I40" s="83">
        <v>-36.394309999999997</v>
      </c>
    </row>
    <row r="41" spans="1:9" x14ac:dyDescent="0.3">
      <c r="A41" s="79" t="s">
        <v>528</v>
      </c>
      <c r="B41" s="83">
        <v>0</v>
      </c>
      <c r="C41" s="83">
        <v>0</v>
      </c>
      <c r="D41" s="83">
        <v>0</v>
      </c>
      <c r="E41" s="83">
        <v>0</v>
      </c>
      <c r="F41" s="83">
        <v>0</v>
      </c>
      <c r="G41" s="83">
        <v>0</v>
      </c>
      <c r="H41" s="83">
        <v>-2.0431599999999999</v>
      </c>
      <c r="I41" s="83">
        <v>-1.5489900000000001</v>
      </c>
    </row>
    <row r="42" spans="1:9" x14ac:dyDescent="0.3">
      <c r="A42" s="79" t="s">
        <v>248</v>
      </c>
      <c r="B42" s="83">
        <v>61.991810000000001</v>
      </c>
      <c r="C42" s="83">
        <v>21.704999999999998</v>
      </c>
      <c r="D42" s="83">
        <v>0</v>
      </c>
      <c r="E42" s="83">
        <v>0</v>
      </c>
      <c r="F42" s="83">
        <v>0</v>
      </c>
      <c r="G42" s="83">
        <v>0</v>
      </c>
      <c r="H42" s="83">
        <v>58.631250000000001</v>
      </c>
      <c r="I42" s="83">
        <v>241.16911999999999</v>
      </c>
    </row>
    <row r="43" spans="1:9" x14ac:dyDescent="0.3">
      <c r="A43" s="79" t="s">
        <v>527</v>
      </c>
      <c r="B43" s="83">
        <v>0</v>
      </c>
      <c r="C43" s="83">
        <v>0</v>
      </c>
      <c r="D43" s="83">
        <v>0</v>
      </c>
      <c r="E43" s="83">
        <v>0</v>
      </c>
      <c r="F43" s="83">
        <v>0</v>
      </c>
      <c r="G43" s="83">
        <v>0</v>
      </c>
      <c r="H43" s="83">
        <v>0</v>
      </c>
      <c r="I43" s="83">
        <v>0</v>
      </c>
    </row>
    <row r="44" spans="1:9" x14ac:dyDescent="0.3">
      <c r="A44" s="79" t="s">
        <v>526</v>
      </c>
      <c r="B44" s="83">
        <v>0</v>
      </c>
      <c r="C44" s="83">
        <v>0</v>
      </c>
      <c r="D44" s="83">
        <v>0</v>
      </c>
      <c r="E44" s="83">
        <v>0</v>
      </c>
      <c r="F44" s="83">
        <v>0</v>
      </c>
      <c r="G44" s="83">
        <v>0</v>
      </c>
      <c r="H44" s="83">
        <v>0</v>
      </c>
      <c r="I44" s="83">
        <v>0</v>
      </c>
    </row>
    <row r="45" spans="1:9" x14ac:dyDescent="0.3">
      <c r="A45" s="79" t="s">
        <v>525</v>
      </c>
      <c r="B45" s="83">
        <v>0.44307999999999997</v>
      </c>
      <c r="C45" s="83">
        <v>1.25031</v>
      </c>
      <c r="D45" s="83">
        <v>-5.8470000000000001E-2</v>
      </c>
      <c r="E45" s="83">
        <v>-1.5281500000000001</v>
      </c>
      <c r="F45" s="83">
        <v>-2.3540300000000003</v>
      </c>
      <c r="G45" s="83">
        <v>-2.1347499999999999</v>
      </c>
      <c r="H45" s="83">
        <v>-3.7705799999999998</v>
      </c>
      <c r="I45" s="83">
        <v>-0.73536999999999997</v>
      </c>
    </row>
    <row r="46" spans="1:9" x14ac:dyDescent="0.3">
      <c r="A46" s="79" t="s">
        <v>337</v>
      </c>
      <c r="B46" s="83">
        <v>0</v>
      </c>
      <c r="C46" s="83">
        <v>0</v>
      </c>
      <c r="D46" s="83">
        <v>0</v>
      </c>
      <c r="E46" s="83">
        <v>-0.33710000000000001</v>
      </c>
      <c r="F46" s="83">
        <v>-2.13788</v>
      </c>
      <c r="G46" s="83">
        <v>-2.8868400000000003</v>
      </c>
      <c r="H46" s="83">
        <v>-4.3160600000000002</v>
      </c>
      <c r="I46" s="83">
        <v>-3.4445999999999999</v>
      </c>
    </row>
    <row r="47" spans="1:9" x14ac:dyDescent="0.3">
      <c r="A47" s="79" t="s">
        <v>524</v>
      </c>
      <c r="B47" s="83">
        <v>0</v>
      </c>
      <c r="C47" s="83">
        <v>0</v>
      </c>
      <c r="D47" s="83">
        <v>0</v>
      </c>
      <c r="E47" s="83">
        <v>0</v>
      </c>
      <c r="F47" s="83">
        <v>0</v>
      </c>
      <c r="G47" s="83">
        <v>0</v>
      </c>
      <c r="H47" s="83">
        <v>0</v>
      </c>
      <c r="I47" s="83">
        <v>0</v>
      </c>
    </row>
    <row r="48" spans="1:9" x14ac:dyDescent="0.3">
      <c r="A48" s="79" t="s">
        <v>523</v>
      </c>
      <c r="B48" s="83">
        <v>0</v>
      </c>
      <c r="C48" s="83">
        <v>0</v>
      </c>
      <c r="D48" s="83">
        <v>0</v>
      </c>
      <c r="E48" s="83">
        <v>0</v>
      </c>
      <c r="F48" s="83">
        <v>0</v>
      </c>
      <c r="G48" s="83">
        <v>0</v>
      </c>
      <c r="H48" s="83">
        <v>0</v>
      </c>
      <c r="I48" s="83">
        <v>0</v>
      </c>
    </row>
    <row r="49" spans="1:9" x14ac:dyDescent="0.3">
      <c r="A49" s="79" t="s">
        <v>522</v>
      </c>
      <c r="B49" s="83">
        <v>5.8283399999999999</v>
      </c>
      <c r="C49" s="83">
        <v>5.4981</v>
      </c>
      <c r="D49" s="83">
        <v>4.0866199999999999</v>
      </c>
      <c r="E49" s="83">
        <v>3.1308499999999997</v>
      </c>
      <c r="F49" s="83">
        <v>1.19249</v>
      </c>
      <c r="G49" s="83">
        <v>0.57763999999999993</v>
      </c>
      <c r="H49" s="83">
        <v>4.0890000000000003E-2</v>
      </c>
      <c r="I49" s="83">
        <v>-9.6390000000000003E-2</v>
      </c>
    </row>
    <row r="50" spans="1:9" x14ac:dyDescent="0.3">
      <c r="A50" s="79" t="s">
        <v>521</v>
      </c>
      <c r="B50" s="83">
        <v>0</v>
      </c>
      <c r="C50" s="83">
        <v>0</v>
      </c>
      <c r="D50" s="83">
        <v>0</v>
      </c>
      <c r="E50" s="83">
        <v>0</v>
      </c>
      <c r="F50" s="83">
        <v>0</v>
      </c>
      <c r="G50" s="83">
        <v>0</v>
      </c>
      <c r="H50" s="83">
        <v>0</v>
      </c>
      <c r="I50" s="83">
        <v>0</v>
      </c>
    </row>
    <row r="51" spans="1:9" x14ac:dyDescent="0.3">
      <c r="A51" s="79" t="s">
        <v>520</v>
      </c>
      <c r="B51" s="83">
        <v>0</v>
      </c>
      <c r="C51" s="83">
        <v>0</v>
      </c>
      <c r="D51" s="83">
        <v>0</v>
      </c>
      <c r="E51" s="83">
        <v>0</v>
      </c>
      <c r="F51" s="83">
        <v>0</v>
      </c>
      <c r="G51" s="83">
        <v>0</v>
      </c>
      <c r="H51" s="83">
        <v>0</v>
      </c>
      <c r="I51" s="83">
        <v>0</v>
      </c>
    </row>
    <row r="52" spans="1:9" x14ac:dyDescent="0.3">
      <c r="A52" s="79" t="s">
        <v>519</v>
      </c>
      <c r="B52" s="83">
        <v>0</v>
      </c>
      <c r="C52" s="83">
        <v>0</v>
      </c>
      <c r="D52" s="83">
        <v>0</v>
      </c>
      <c r="E52" s="83">
        <v>0</v>
      </c>
      <c r="F52" s="83">
        <v>0</v>
      </c>
      <c r="G52" s="83">
        <v>0</v>
      </c>
      <c r="H52" s="83">
        <v>0</v>
      </c>
      <c r="I52" s="83">
        <v>0</v>
      </c>
    </row>
    <row r="53" spans="1:9" x14ac:dyDescent="0.3">
      <c r="A53" s="79" t="s">
        <v>518</v>
      </c>
      <c r="B53" s="83">
        <v>0</v>
      </c>
      <c r="C53" s="83">
        <v>0</v>
      </c>
      <c r="D53" s="83">
        <v>0</v>
      </c>
      <c r="E53" s="83">
        <v>0</v>
      </c>
      <c r="F53" s="83">
        <v>0</v>
      </c>
      <c r="G53" s="83">
        <v>0</v>
      </c>
      <c r="H53" s="83">
        <v>0</v>
      </c>
      <c r="I53" s="83">
        <v>0</v>
      </c>
    </row>
    <row r="54" spans="1:9" x14ac:dyDescent="0.3">
      <c r="A54" s="79" t="s">
        <v>517</v>
      </c>
      <c r="B54" s="83">
        <v>0.10632</v>
      </c>
      <c r="C54" s="83">
        <v>4.5010000000000001E-2</v>
      </c>
      <c r="D54" s="83">
        <v>-6.4049999999999996E-2</v>
      </c>
      <c r="E54" s="83">
        <v>-0.77239999999999998</v>
      </c>
      <c r="F54" s="83">
        <v>-0.94532000000000005</v>
      </c>
      <c r="G54" s="83">
        <v>-1.3742999999999999</v>
      </c>
      <c r="H54" s="83">
        <v>-1.76939</v>
      </c>
      <c r="I54" s="83">
        <v>-1.39882</v>
      </c>
    </row>
    <row r="55" spans="1:9" x14ac:dyDescent="0.3">
      <c r="A55" s="79" t="s">
        <v>516</v>
      </c>
      <c r="B55" s="83">
        <v>-2.188E-2</v>
      </c>
      <c r="C55" s="83">
        <v>0.24238999999999999</v>
      </c>
      <c r="D55" s="83">
        <v>-0.16049000000000002</v>
      </c>
      <c r="E55" s="83">
        <v>-0.93171000000000004</v>
      </c>
      <c r="F55" s="83">
        <v>-0.92882000000000009</v>
      </c>
      <c r="G55" s="83">
        <v>-1.5450200000000001</v>
      </c>
      <c r="H55" s="83">
        <v>-2.0345399999999998</v>
      </c>
      <c r="I55" s="83">
        <v>-1.38097</v>
      </c>
    </row>
    <row r="56" spans="1:9" x14ac:dyDescent="0.3">
      <c r="A56" s="79" t="s">
        <v>515</v>
      </c>
      <c r="B56" s="83">
        <v>0</v>
      </c>
      <c r="C56" s="83">
        <v>0</v>
      </c>
      <c r="D56" s="83">
        <v>0</v>
      </c>
      <c r="E56" s="83">
        <v>0</v>
      </c>
      <c r="F56" s="83">
        <v>0</v>
      </c>
      <c r="G56" s="83">
        <v>0</v>
      </c>
      <c r="H56" s="83">
        <v>0</v>
      </c>
      <c r="I56" s="83">
        <v>0</v>
      </c>
    </row>
    <row r="57" spans="1:9" x14ac:dyDescent="0.3">
      <c r="A57" s="79" t="s">
        <v>333</v>
      </c>
      <c r="B57" s="83">
        <v>-0.6946</v>
      </c>
      <c r="C57" s="83">
        <v>-1.5549000000000002</v>
      </c>
      <c r="D57" s="83">
        <v>-3.1362800000000002</v>
      </c>
      <c r="E57" s="83">
        <v>-1.95445</v>
      </c>
      <c r="F57" s="83">
        <v>-1.21458</v>
      </c>
      <c r="G57" s="83">
        <v>-2.4292800000000003</v>
      </c>
      <c r="H57" s="83">
        <v>-3.0131700000000001</v>
      </c>
      <c r="I57" s="83">
        <v>-3.26946</v>
      </c>
    </row>
    <row r="58" spans="1:9" x14ac:dyDescent="0.3">
      <c r="A58" s="79" t="s">
        <v>514</v>
      </c>
      <c r="B58" s="83">
        <v>-0.83269000000000004</v>
      </c>
      <c r="C58" s="83">
        <v>-0.31445000000000001</v>
      </c>
      <c r="D58" s="83">
        <v>-0.62434000000000001</v>
      </c>
      <c r="E58" s="83">
        <v>-0.23885000000000001</v>
      </c>
      <c r="F58" s="83">
        <v>-0.94228000000000001</v>
      </c>
      <c r="G58" s="83">
        <v>-6.0649999999999996E-2</v>
      </c>
      <c r="H58" s="83">
        <v>-9.9280000000000007E-2</v>
      </c>
      <c r="I58" s="83">
        <v>0.88363000000000003</v>
      </c>
    </row>
    <row r="59" spans="1:9" x14ac:dyDescent="0.3">
      <c r="A59" s="79" t="s">
        <v>513</v>
      </c>
      <c r="B59" s="83">
        <v>-0.35608999999999996</v>
      </c>
      <c r="C59" s="83">
        <v>-0.28693000000000002</v>
      </c>
      <c r="D59" s="83">
        <v>-0.63872000000000007</v>
      </c>
      <c r="E59" s="83">
        <v>-1.11873</v>
      </c>
      <c r="F59" s="83">
        <v>-1.7767500000000001</v>
      </c>
      <c r="G59" s="83">
        <v>-2.0404400000000003</v>
      </c>
      <c r="H59" s="83">
        <v>-3.9049299999999998</v>
      </c>
      <c r="I59" s="83">
        <v>-3.5385500000000003</v>
      </c>
    </row>
    <row r="60" spans="1:9" x14ac:dyDescent="0.3">
      <c r="A60" s="79" t="s">
        <v>512</v>
      </c>
      <c r="B60" s="83">
        <v>27.953589999999998</v>
      </c>
      <c r="C60" s="83">
        <v>17.238379999999999</v>
      </c>
      <c r="D60" s="83">
        <v>22.809169999999998</v>
      </c>
      <c r="E60" s="83">
        <v>23.447080000000003</v>
      </c>
      <c r="F60" s="83">
        <v>11.399520000000001</v>
      </c>
      <c r="G60" s="83">
        <v>25.760390000000001</v>
      </c>
      <c r="H60" s="83">
        <v>36.955529999999996</v>
      </c>
      <c r="I60" s="83">
        <v>64.371110000000002</v>
      </c>
    </row>
    <row r="61" spans="1:9" x14ac:dyDescent="0.3">
      <c r="A61" s="79" t="s">
        <v>511</v>
      </c>
      <c r="B61" s="83">
        <v>0</v>
      </c>
      <c r="C61" s="83">
        <v>0</v>
      </c>
      <c r="D61" s="83">
        <v>0</v>
      </c>
      <c r="E61" s="83">
        <v>0</v>
      </c>
      <c r="F61" s="83">
        <v>0</v>
      </c>
      <c r="G61" s="83">
        <v>0</v>
      </c>
      <c r="H61" s="83">
        <v>0</v>
      </c>
      <c r="I61" s="83">
        <v>0</v>
      </c>
    </row>
    <row r="62" spans="1:9" x14ac:dyDescent="0.3">
      <c r="A62" s="79" t="s">
        <v>510</v>
      </c>
      <c r="B62" s="83">
        <v>0</v>
      </c>
      <c r="C62" s="83">
        <v>0</v>
      </c>
      <c r="D62" s="83">
        <v>0</v>
      </c>
      <c r="E62" s="83">
        <v>0</v>
      </c>
      <c r="F62" s="83">
        <v>0</v>
      </c>
      <c r="G62" s="83">
        <v>0</v>
      </c>
      <c r="H62" s="83">
        <v>0</v>
      </c>
      <c r="I62" s="83">
        <v>0</v>
      </c>
    </row>
    <row r="63" spans="1:9" x14ac:dyDescent="0.3">
      <c r="A63" s="79" t="s">
        <v>509</v>
      </c>
      <c r="B63" s="83">
        <v>0</v>
      </c>
      <c r="C63" s="83">
        <v>6.8330000000000002E-2</v>
      </c>
      <c r="D63" s="83">
        <v>0.13704</v>
      </c>
      <c r="E63" s="83">
        <v>-0.48463000000000001</v>
      </c>
      <c r="F63" s="83">
        <v>-1.20279</v>
      </c>
      <c r="G63" s="83">
        <v>-1.3651900000000001</v>
      </c>
      <c r="H63" s="83">
        <v>-2.5164299999999997</v>
      </c>
      <c r="I63" s="83">
        <v>-1.7885499999999999</v>
      </c>
    </row>
    <row r="64" spans="1:9" x14ac:dyDescent="0.3">
      <c r="A64" s="79" t="s">
        <v>508</v>
      </c>
      <c r="B64" s="83">
        <v>2.15787</v>
      </c>
      <c r="C64" s="83">
        <v>2.34931</v>
      </c>
      <c r="D64" s="83">
        <v>1.54779</v>
      </c>
      <c r="E64" s="83">
        <v>1.13043</v>
      </c>
      <c r="F64" s="83">
        <v>0.95705999999999991</v>
      </c>
      <c r="G64" s="83">
        <v>-0.23391000000000001</v>
      </c>
      <c r="H64" s="83">
        <v>-0.63323000000000007</v>
      </c>
      <c r="I64" s="83">
        <v>0.15737999999999999</v>
      </c>
    </row>
    <row r="65" spans="1:9" x14ac:dyDescent="0.3">
      <c r="A65" s="79" t="s">
        <v>334</v>
      </c>
      <c r="B65" s="83">
        <v>0.28526999999999997</v>
      </c>
      <c r="C65" s="83">
        <v>-2.7320000000000001E-2</v>
      </c>
      <c r="D65" s="83">
        <v>-0.53103999999999996</v>
      </c>
      <c r="E65" s="83">
        <v>-0.82608999999999999</v>
      </c>
      <c r="F65" s="83">
        <v>-1.5597000000000001</v>
      </c>
      <c r="G65" s="83">
        <v>-2.2244200000000003</v>
      </c>
      <c r="H65" s="83">
        <v>-3.2610000000000001</v>
      </c>
      <c r="I65" s="83">
        <v>-3.1427800000000001</v>
      </c>
    </row>
    <row r="66" spans="1:9" x14ac:dyDescent="0.3">
      <c r="A66" s="79" t="s">
        <v>507</v>
      </c>
      <c r="B66" s="83">
        <v>-0.41293999999999997</v>
      </c>
      <c r="C66" s="83">
        <v>2.002E-2</v>
      </c>
      <c r="D66" s="83">
        <v>-0.12052</v>
      </c>
      <c r="E66" s="83">
        <v>-0.77681</v>
      </c>
      <c r="F66" s="83">
        <v>-1.8068900000000001</v>
      </c>
      <c r="G66" s="83">
        <v>-2.1627299999999998</v>
      </c>
      <c r="H66" s="83">
        <v>-3.1615700000000002</v>
      </c>
      <c r="I66" s="83">
        <v>-2.1492300000000002</v>
      </c>
    </row>
    <row r="67" spans="1:9" x14ac:dyDescent="0.3">
      <c r="A67" s="79" t="s">
        <v>506</v>
      </c>
      <c r="B67" s="83">
        <v>0</v>
      </c>
      <c r="C67" s="83">
        <v>0</v>
      </c>
      <c r="D67" s="83">
        <v>0</v>
      </c>
      <c r="E67" s="83">
        <v>0</v>
      </c>
      <c r="F67" s="83">
        <v>0</v>
      </c>
      <c r="G67" s="83">
        <v>0</v>
      </c>
      <c r="H67" s="83">
        <v>0</v>
      </c>
      <c r="I67" s="83">
        <v>0</v>
      </c>
    </row>
    <row r="68" spans="1:9" x14ac:dyDescent="0.3">
      <c r="A68" s="79" t="s">
        <v>505</v>
      </c>
      <c r="B68" s="83">
        <v>0</v>
      </c>
      <c r="C68" s="83">
        <v>0</v>
      </c>
      <c r="D68" s="83">
        <v>0</v>
      </c>
      <c r="E68" s="83">
        <v>0</v>
      </c>
      <c r="F68" s="83">
        <v>0</v>
      </c>
      <c r="G68" s="83">
        <v>0</v>
      </c>
      <c r="H68" s="83">
        <v>0</v>
      </c>
      <c r="I68" s="83">
        <v>0</v>
      </c>
    </row>
    <row r="69" spans="1:9" x14ac:dyDescent="0.3">
      <c r="A69" s="79" t="s">
        <v>504</v>
      </c>
      <c r="B69" s="83">
        <v>-0.44405</v>
      </c>
      <c r="C69" s="83">
        <v>-0.16527</v>
      </c>
      <c r="D69" s="83">
        <v>-0.60787000000000002</v>
      </c>
      <c r="E69" s="83">
        <v>-0.14151</v>
      </c>
      <c r="F69" s="83">
        <v>-1.13984</v>
      </c>
      <c r="G69" s="83">
        <v>-0.87766999999999995</v>
      </c>
      <c r="H69" s="83">
        <v>-1.3386600000000002</v>
      </c>
      <c r="I69" s="83">
        <v>-0.96432000000000007</v>
      </c>
    </row>
    <row r="70" spans="1:9" x14ac:dyDescent="0.3">
      <c r="A70" s="79" t="s">
        <v>503</v>
      </c>
      <c r="B70" s="83">
        <v>0</v>
      </c>
      <c r="C70" s="83">
        <v>0</v>
      </c>
      <c r="D70" s="83">
        <v>0</v>
      </c>
      <c r="E70" s="83">
        <v>0</v>
      </c>
      <c r="F70" s="83">
        <v>0</v>
      </c>
      <c r="G70" s="83">
        <v>0</v>
      </c>
      <c r="H70" s="83">
        <v>0</v>
      </c>
      <c r="I70" s="83">
        <v>0</v>
      </c>
    </row>
    <row r="71" spans="1:9" x14ac:dyDescent="0.3">
      <c r="A71" s="79" t="s">
        <v>502</v>
      </c>
      <c r="B71" s="83">
        <v>0</v>
      </c>
      <c r="C71" s="83">
        <v>0</v>
      </c>
      <c r="D71" s="83">
        <v>0</v>
      </c>
      <c r="E71" s="83">
        <v>0</v>
      </c>
      <c r="F71" s="83">
        <v>0</v>
      </c>
      <c r="G71" s="83">
        <v>0</v>
      </c>
      <c r="H71" s="83">
        <v>0</v>
      </c>
      <c r="I71" s="83">
        <v>0</v>
      </c>
    </row>
    <row r="72" spans="1:9" x14ac:dyDescent="0.3">
      <c r="A72" s="79" t="s">
        <v>501</v>
      </c>
      <c r="B72" s="83">
        <v>0</v>
      </c>
      <c r="C72" s="83">
        <v>0</v>
      </c>
      <c r="D72" s="83">
        <v>0</v>
      </c>
      <c r="E72" s="83">
        <v>0</v>
      </c>
      <c r="F72" s="83">
        <v>0</v>
      </c>
      <c r="G72" s="83">
        <v>0</v>
      </c>
      <c r="H72" s="83">
        <v>0</v>
      </c>
      <c r="I72" s="83">
        <v>0</v>
      </c>
    </row>
    <row r="73" spans="1:9" x14ac:dyDescent="0.3">
      <c r="A73" s="79" t="s">
        <v>500</v>
      </c>
      <c r="B73" s="83">
        <v>0</v>
      </c>
      <c r="C73" s="83">
        <v>0</v>
      </c>
      <c r="D73" s="83">
        <v>0</v>
      </c>
      <c r="E73" s="83">
        <v>0</v>
      </c>
      <c r="F73" s="83">
        <v>0</v>
      </c>
      <c r="G73" s="83">
        <v>0</v>
      </c>
      <c r="H73" s="83">
        <v>0</v>
      </c>
      <c r="I73" s="83">
        <v>0</v>
      </c>
    </row>
    <row r="74" spans="1:9" x14ac:dyDescent="0.3">
      <c r="A74" s="79" t="s">
        <v>499</v>
      </c>
      <c r="B74" s="83">
        <v>6.0503299999999998</v>
      </c>
      <c r="C74" s="83">
        <v>10.332690000000001</v>
      </c>
      <c r="D74" s="83">
        <v>16.655810000000002</v>
      </c>
      <c r="E74" s="83">
        <v>19.262799999999999</v>
      </c>
      <c r="F74" s="83">
        <v>20.116979999999998</v>
      </c>
      <c r="G74" s="83">
        <v>18.753769999999999</v>
      </c>
      <c r="H74" s="83">
        <v>15.151639999999999</v>
      </c>
      <c r="I74" s="83">
        <v>19.775749999999999</v>
      </c>
    </row>
    <row r="75" spans="1:9" x14ac:dyDescent="0.3">
      <c r="A75" s="79" t="s">
        <v>347</v>
      </c>
      <c r="B75" s="83">
        <v>157.94584</v>
      </c>
      <c r="C75" s="83">
        <v>168.84388000000001</v>
      </c>
      <c r="D75" s="83">
        <v>174.36511999999999</v>
      </c>
      <c r="E75" s="83">
        <v>282.38711999999998</v>
      </c>
      <c r="F75" s="83">
        <v>303.51138000000003</v>
      </c>
      <c r="G75" s="83">
        <v>258.92124999999999</v>
      </c>
      <c r="H75" s="83">
        <v>261.86687999999998</v>
      </c>
      <c r="I75" s="83">
        <v>342.04199999999997</v>
      </c>
    </row>
    <row r="76" spans="1:9" x14ac:dyDescent="0.3">
      <c r="A76" s="79" t="s">
        <v>498</v>
      </c>
      <c r="B76" s="83">
        <v>0</v>
      </c>
      <c r="C76" s="83">
        <v>0</v>
      </c>
      <c r="D76" s="83">
        <v>0</v>
      </c>
      <c r="E76" s="83">
        <v>0</v>
      </c>
      <c r="F76" s="83">
        <v>0</v>
      </c>
      <c r="G76" s="83">
        <v>0</v>
      </c>
      <c r="H76" s="83">
        <v>0</v>
      </c>
      <c r="I76" s="83">
        <v>0</v>
      </c>
    </row>
    <row r="77" spans="1:9" x14ac:dyDescent="0.3">
      <c r="A77" s="79" t="s">
        <v>497</v>
      </c>
      <c r="B77" s="83">
        <v>0</v>
      </c>
      <c r="C77" s="83">
        <v>0</v>
      </c>
      <c r="D77" s="83">
        <v>0</v>
      </c>
      <c r="E77" s="83">
        <v>0</v>
      </c>
      <c r="F77" s="83">
        <v>0</v>
      </c>
      <c r="G77" s="83">
        <v>0</v>
      </c>
      <c r="H77" s="83">
        <v>0</v>
      </c>
      <c r="I77" s="83">
        <v>0</v>
      </c>
    </row>
    <row r="78" spans="1:9" x14ac:dyDescent="0.3">
      <c r="A78" s="79" t="s">
        <v>496</v>
      </c>
      <c r="B78" s="83">
        <v>0</v>
      </c>
      <c r="C78" s="83">
        <v>0</v>
      </c>
      <c r="D78" s="83">
        <v>0</v>
      </c>
      <c r="E78" s="83">
        <v>0</v>
      </c>
      <c r="F78" s="83">
        <v>0</v>
      </c>
      <c r="G78" s="83">
        <v>0</v>
      </c>
      <c r="H78" s="83">
        <v>0</v>
      </c>
      <c r="I78" s="83">
        <v>0</v>
      </c>
    </row>
    <row r="79" spans="1:9" x14ac:dyDescent="0.3">
      <c r="A79" s="79" t="s">
        <v>495</v>
      </c>
      <c r="B79" s="83">
        <v>0</v>
      </c>
      <c r="C79" s="83">
        <v>0</v>
      </c>
      <c r="D79" s="83">
        <v>0</v>
      </c>
      <c r="E79" s="83">
        <v>0</v>
      </c>
      <c r="F79" s="83">
        <v>0</v>
      </c>
      <c r="G79" s="83">
        <v>0</v>
      </c>
      <c r="H79" s="83">
        <v>0</v>
      </c>
      <c r="I79" s="83">
        <v>0</v>
      </c>
    </row>
    <row r="80" spans="1:9" x14ac:dyDescent="0.3">
      <c r="A80" s="79" t="s">
        <v>494</v>
      </c>
      <c r="B80" s="83">
        <v>0</v>
      </c>
      <c r="C80" s="83">
        <v>0</v>
      </c>
      <c r="D80" s="83">
        <v>0</v>
      </c>
      <c r="E80" s="83">
        <v>0</v>
      </c>
      <c r="F80" s="83">
        <v>0</v>
      </c>
      <c r="G80" s="83">
        <v>0</v>
      </c>
      <c r="H80" s="83">
        <v>0</v>
      </c>
      <c r="I80" s="83">
        <v>0</v>
      </c>
    </row>
    <row r="81" spans="1:9" x14ac:dyDescent="0.3">
      <c r="A81" s="79" t="s">
        <v>493</v>
      </c>
      <c r="B81" s="83">
        <v>0</v>
      </c>
      <c r="C81" s="83">
        <v>0</v>
      </c>
      <c r="D81" s="83">
        <v>0</v>
      </c>
      <c r="E81" s="83">
        <v>0</v>
      </c>
      <c r="F81" s="83">
        <v>-0.93225000000000002</v>
      </c>
      <c r="G81" s="83">
        <v>-1.0279100000000001</v>
      </c>
      <c r="H81" s="83">
        <v>-1.44896</v>
      </c>
      <c r="I81" s="83">
        <v>-0.58457999999999999</v>
      </c>
    </row>
    <row r="82" spans="1:9" x14ac:dyDescent="0.3">
      <c r="A82" s="79" t="s">
        <v>326</v>
      </c>
      <c r="B82" s="83">
        <v>-57.827190000000002</v>
      </c>
      <c r="C82" s="83">
        <v>-71.453879999999998</v>
      </c>
      <c r="D82" s="83">
        <v>-110</v>
      </c>
      <c r="E82" s="83">
        <v>-147</v>
      </c>
      <c r="F82" s="83">
        <v>-110</v>
      </c>
      <c r="G82" s="83">
        <v>-241</v>
      </c>
      <c r="H82" s="83">
        <v>-125</v>
      </c>
      <c r="I82" s="83">
        <v>-6.0667499999999999</v>
      </c>
    </row>
    <row r="83" spans="1:9" x14ac:dyDescent="0.3">
      <c r="A83" s="79" t="s">
        <v>492</v>
      </c>
      <c r="B83" s="83">
        <v>0</v>
      </c>
      <c r="C83" s="83">
        <v>0</v>
      </c>
      <c r="D83" s="83">
        <v>0</v>
      </c>
      <c r="E83" s="83">
        <v>0</v>
      </c>
      <c r="F83" s="83">
        <v>0</v>
      </c>
      <c r="G83" s="83">
        <v>0</v>
      </c>
      <c r="H83" s="83">
        <v>0</v>
      </c>
      <c r="I83" s="83">
        <v>0</v>
      </c>
    </row>
    <row r="84" spans="1:9" x14ac:dyDescent="0.3">
      <c r="A84" s="79" t="s">
        <v>491</v>
      </c>
      <c r="B84" s="83">
        <v>0</v>
      </c>
      <c r="C84" s="83">
        <v>0</v>
      </c>
      <c r="D84" s="83">
        <v>0</v>
      </c>
      <c r="E84" s="83">
        <v>0</v>
      </c>
      <c r="F84" s="83">
        <v>0</v>
      </c>
      <c r="G84" s="83">
        <v>0</v>
      </c>
      <c r="H84" s="83">
        <v>0</v>
      </c>
      <c r="I84" s="83">
        <v>0</v>
      </c>
    </row>
    <row r="85" spans="1:9" x14ac:dyDescent="0.3">
      <c r="A85" s="79" t="s">
        <v>327</v>
      </c>
      <c r="B85" s="83">
        <v>-2.2910599999999999</v>
      </c>
      <c r="C85" s="83">
        <v>-19.175810000000002</v>
      </c>
      <c r="D85" s="83">
        <v>-8.4967800000000011</v>
      </c>
      <c r="E85" s="83">
        <v>-13.47545</v>
      </c>
      <c r="F85" s="83">
        <v>-7.6577299999999999</v>
      </c>
      <c r="G85" s="83">
        <v>-27.272359999999999</v>
      </c>
      <c r="H85" s="83">
        <v>3.1722299999999999</v>
      </c>
      <c r="I85" s="83">
        <v>16.3185</v>
      </c>
    </row>
    <row r="86" spans="1:9" x14ac:dyDescent="0.3">
      <c r="A86" s="79" t="s">
        <v>490</v>
      </c>
      <c r="B86" s="83">
        <v>0</v>
      </c>
      <c r="C86" s="83">
        <v>0</v>
      </c>
      <c r="D86" s="83">
        <v>0</v>
      </c>
      <c r="E86" s="83">
        <v>0</v>
      </c>
      <c r="F86" s="83">
        <v>0</v>
      </c>
      <c r="G86" s="83">
        <v>0</v>
      </c>
      <c r="H86" s="83">
        <v>0</v>
      </c>
      <c r="I86" s="83">
        <v>0</v>
      </c>
    </row>
    <row r="87" spans="1:9" x14ac:dyDescent="0.3">
      <c r="A87" s="79" t="s">
        <v>489</v>
      </c>
      <c r="B87" s="83">
        <v>0</v>
      </c>
      <c r="C87" s="83">
        <v>0</v>
      </c>
      <c r="D87" s="83">
        <v>0</v>
      </c>
      <c r="E87" s="83">
        <v>0</v>
      </c>
      <c r="F87" s="83">
        <v>0</v>
      </c>
      <c r="G87" s="83">
        <v>0</v>
      </c>
      <c r="H87" s="83">
        <v>0</v>
      </c>
      <c r="I87" s="83">
        <v>0</v>
      </c>
    </row>
    <row r="88" spans="1:9" x14ac:dyDescent="0.3">
      <c r="A88" s="79" t="s">
        <v>488</v>
      </c>
      <c r="B88" s="83">
        <v>0</v>
      </c>
      <c r="C88" s="83">
        <v>0</v>
      </c>
      <c r="D88" s="83">
        <v>0</v>
      </c>
      <c r="E88" s="83">
        <v>0</v>
      </c>
      <c r="F88" s="83">
        <v>0</v>
      </c>
      <c r="G88" s="83">
        <v>0</v>
      </c>
      <c r="H88" s="83">
        <v>0</v>
      </c>
      <c r="I88" s="83">
        <v>0</v>
      </c>
    </row>
    <row r="89" spans="1:9" x14ac:dyDescent="0.3">
      <c r="A89" s="79" t="s">
        <v>487</v>
      </c>
      <c r="B89" s="83">
        <v>0</v>
      </c>
      <c r="C89" s="83">
        <v>0</v>
      </c>
      <c r="D89" s="83">
        <v>0</v>
      </c>
      <c r="E89" s="83">
        <v>0</v>
      </c>
      <c r="F89" s="83">
        <v>0</v>
      </c>
      <c r="G89" s="83">
        <v>0</v>
      </c>
      <c r="H89" s="83">
        <v>0</v>
      </c>
      <c r="I89" s="83">
        <v>0</v>
      </c>
    </row>
    <row r="90" spans="1:9" x14ac:dyDescent="0.3">
      <c r="A90" s="79" t="s">
        <v>486</v>
      </c>
      <c r="B90" s="83">
        <v>0</v>
      </c>
      <c r="C90" s="83">
        <v>0</v>
      </c>
      <c r="D90" s="83">
        <v>0</v>
      </c>
      <c r="E90" s="83">
        <v>0</v>
      </c>
      <c r="F90" s="83">
        <v>-0.75795000000000001</v>
      </c>
      <c r="G90" s="83">
        <v>-1.0352600000000001</v>
      </c>
      <c r="H90" s="83">
        <v>-1.65221</v>
      </c>
      <c r="I90" s="83">
        <v>-1.3834200000000001</v>
      </c>
    </row>
    <row r="91" spans="1:9" x14ac:dyDescent="0.3">
      <c r="A91" s="79" t="s">
        <v>262</v>
      </c>
      <c r="B91" s="83">
        <v>0</v>
      </c>
      <c r="C91" s="83">
        <v>0</v>
      </c>
      <c r="D91" s="83">
        <v>0</v>
      </c>
      <c r="E91" s="83">
        <v>0</v>
      </c>
      <c r="F91" s="83">
        <v>0</v>
      </c>
      <c r="G91" s="83">
        <v>0</v>
      </c>
      <c r="H91" s="83">
        <v>0</v>
      </c>
      <c r="I91" s="83">
        <v>0</v>
      </c>
    </row>
    <row r="92" spans="1:9" x14ac:dyDescent="0.3">
      <c r="A92" s="79" t="s">
        <v>485</v>
      </c>
      <c r="B92" s="83">
        <v>0</v>
      </c>
      <c r="C92" s="83">
        <v>0</v>
      </c>
      <c r="D92" s="83">
        <v>0</v>
      </c>
      <c r="E92" s="83">
        <v>0</v>
      </c>
      <c r="F92" s="83">
        <v>0</v>
      </c>
      <c r="G92" s="83">
        <v>0</v>
      </c>
      <c r="H92" s="83">
        <v>0</v>
      </c>
      <c r="I92" s="83">
        <v>0</v>
      </c>
    </row>
    <row r="93" spans="1:9" x14ac:dyDescent="0.3">
      <c r="A93" s="79" t="s">
        <v>484</v>
      </c>
      <c r="B93" s="83">
        <v>0</v>
      </c>
      <c r="C93" s="83">
        <v>0</v>
      </c>
      <c r="D93" s="83">
        <v>0</v>
      </c>
      <c r="E93" s="83">
        <v>0</v>
      </c>
      <c r="F93" s="83">
        <v>0</v>
      </c>
      <c r="G93" s="83">
        <v>0</v>
      </c>
      <c r="H93" s="83">
        <v>0</v>
      </c>
      <c r="I93" s="83">
        <v>0</v>
      </c>
    </row>
    <row r="94" spans="1:9" x14ac:dyDescent="0.3">
      <c r="A94" s="79" t="s">
        <v>483</v>
      </c>
      <c r="B94" s="83">
        <v>0</v>
      </c>
      <c r="C94" s="83">
        <v>0</v>
      </c>
      <c r="D94" s="83">
        <v>0</v>
      </c>
      <c r="E94" s="83">
        <v>0</v>
      </c>
      <c r="F94" s="83">
        <v>0</v>
      </c>
      <c r="G94" s="83">
        <v>0</v>
      </c>
      <c r="H94" s="83">
        <v>0</v>
      </c>
      <c r="I94" s="83">
        <v>0</v>
      </c>
    </row>
    <row r="95" spans="1:9" x14ac:dyDescent="0.3">
      <c r="A95" s="79" t="s">
        <v>482</v>
      </c>
      <c r="B95" s="83">
        <v>-0.11726</v>
      </c>
      <c r="C95" s="83">
        <v>-0.13205</v>
      </c>
      <c r="D95" s="83">
        <v>-0.20391000000000001</v>
      </c>
      <c r="E95" s="83">
        <v>-0.36349999999999999</v>
      </c>
      <c r="F95" s="83">
        <v>-0.52963000000000005</v>
      </c>
      <c r="G95" s="83">
        <v>-0.81822000000000006</v>
      </c>
      <c r="H95" s="83">
        <v>-1.82057</v>
      </c>
      <c r="I95" s="83">
        <v>-1.3584700000000001</v>
      </c>
    </row>
    <row r="96" spans="1:9" x14ac:dyDescent="0.3">
      <c r="A96" s="79" t="s">
        <v>481</v>
      </c>
      <c r="B96" s="83">
        <v>0</v>
      </c>
      <c r="C96" s="83">
        <v>0</v>
      </c>
      <c r="D96" s="83">
        <v>0</v>
      </c>
      <c r="E96" s="83">
        <v>0</v>
      </c>
      <c r="F96" s="83">
        <v>0</v>
      </c>
      <c r="G96" s="83">
        <v>0</v>
      </c>
      <c r="H96" s="83">
        <v>0</v>
      </c>
      <c r="I96" s="83">
        <v>0</v>
      </c>
    </row>
    <row r="97" spans="1:9" x14ac:dyDescent="0.3">
      <c r="A97" s="79" t="s">
        <v>480</v>
      </c>
      <c r="B97" s="83">
        <v>-0.87665999999999999</v>
      </c>
      <c r="C97" s="83">
        <v>5.1750200000000008</v>
      </c>
      <c r="D97" s="83">
        <v>-1.6663699999999999</v>
      </c>
      <c r="E97" s="83">
        <v>-3.4560500000000003</v>
      </c>
      <c r="F97" s="83">
        <v>-4.0503200000000001</v>
      </c>
      <c r="G97" s="83">
        <v>-4.4185799999999995</v>
      </c>
      <c r="H97" s="83">
        <v>18.969720000000002</v>
      </c>
      <c r="I97" s="83">
        <v>-4.5224599999999997</v>
      </c>
    </row>
    <row r="98" spans="1:9" x14ac:dyDescent="0.3">
      <c r="A98" s="79" t="s">
        <v>479</v>
      </c>
      <c r="B98" s="83">
        <v>-0.35161000000000003</v>
      </c>
      <c r="C98" s="83">
        <v>-0.28989999999999999</v>
      </c>
      <c r="D98" s="83">
        <v>-1.3233299999999999</v>
      </c>
      <c r="E98" s="83">
        <v>-3.6259000000000001</v>
      </c>
      <c r="F98" s="83">
        <v>-0.47474</v>
      </c>
      <c r="G98" s="83">
        <v>-2.6689799999999999</v>
      </c>
      <c r="H98" s="83">
        <v>1.7542500000000001</v>
      </c>
      <c r="I98" s="83">
        <v>4.0397699999999999</v>
      </c>
    </row>
    <row r="99" spans="1:9" x14ac:dyDescent="0.3">
      <c r="A99" s="79" t="s">
        <v>478</v>
      </c>
      <c r="B99" s="83">
        <v>5.2789999999999997E-2</v>
      </c>
      <c r="C99" s="83">
        <v>-16.650029999999997</v>
      </c>
      <c r="D99" s="83">
        <v>-15.35083</v>
      </c>
      <c r="E99" s="83">
        <v>-19.689070000000001</v>
      </c>
      <c r="F99" s="83">
        <v>-2.71027</v>
      </c>
      <c r="G99" s="83">
        <v>5.5287100000000002</v>
      </c>
      <c r="H99" s="83">
        <v>-2.6508000000000003</v>
      </c>
      <c r="I99" s="83">
        <v>24.419349999999998</v>
      </c>
    </row>
    <row r="100" spans="1:9" x14ac:dyDescent="0.3">
      <c r="A100" s="79" t="s">
        <v>335</v>
      </c>
      <c r="B100" s="83">
        <v>9.1998899999999999</v>
      </c>
      <c r="C100" s="83">
        <v>8.5049799999999998</v>
      </c>
      <c r="D100" s="83">
        <v>2.9466700000000001</v>
      </c>
      <c r="E100" s="83">
        <v>2.1224600000000002</v>
      </c>
      <c r="F100" s="83">
        <v>-4.9179300000000001</v>
      </c>
      <c r="G100" s="83">
        <v>-2.1988300000000001</v>
      </c>
      <c r="H100" s="83">
        <v>-2.2491399999999997</v>
      </c>
      <c r="I100" s="83">
        <v>-2.8654899999999999</v>
      </c>
    </row>
    <row r="101" spans="1:9" x14ac:dyDescent="0.3">
      <c r="A101" s="79" t="s">
        <v>477</v>
      </c>
      <c r="B101" s="83">
        <v>5.4712399999999999</v>
      </c>
      <c r="C101" s="83">
        <v>3.7301599999999997</v>
      </c>
      <c r="D101" s="83">
        <v>1.25874</v>
      </c>
      <c r="E101" s="83">
        <v>-0.15447</v>
      </c>
      <c r="F101" s="83">
        <v>2.9536100000000003</v>
      </c>
      <c r="G101" s="83">
        <v>6.5626199999999999</v>
      </c>
      <c r="H101" s="83">
        <v>7.2871899999999998</v>
      </c>
      <c r="I101" s="83">
        <v>10.57667</v>
      </c>
    </row>
    <row r="102" spans="1:9" x14ac:dyDescent="0.3">
      <c r="A102" s="79" t="s">
        <v>476</v>
      </c>
      <c r="B102" s="83">
        <v>0</v>
      </c>
      <c r="C102" s="83">
        <v>0</v>
      </c>
      <c r="D102" s="83">
        <v>0</v>
      </c>
      <c r="E102" s="83">
        <v>0</v>
      </c>
      <c r="F102" s="83">
        <v>0</v>
      </c>
      <c r="G102" s="83">
        <v>0</v>
      </c>
      <c r="H102" s="83">
        <v>0</v>
      </c>
      <c r="I102" s="83">
        <v>0</v>
      </c>
    </row>
    <row r="103" spans="1:9" x14ac:dyDescent="0.3">
      <c r="A103" s="79" t="s">
        <v>475</v>
      </c>
      <c r="B103" s="83">
        <v>0</v>
      </c>
      <c r="C103" s="83">
        <v>0</v>
      </c>
      <c r="D103" s="83">
        <v>0</v>
      </c>
      <c r="E103" s="83">
        <v>0</v>
      </c>
      <c r="F103" s="83">
        <v>0</v>
      </c>
      <c r="G103" s="83">
        <v>0</v>
      </c>
      <c r="H103" s="83">
        <v>0</v>
      </c>
      <c r="I103" s="83">
        <v>0</v>
      </c>
    </row>
    <row r="104" spans="1:9" x14ac:dyDescent="0.3">
      <c r="A104" s="79" t="s">
        <v>293</v>
      </c>
      <c r="B104" s="83">
        <v>-9.7421600000000002</v>
      </c>
      <c r="C104" s="83">
        <v>-5.6946199999999996</v>
      </c>
      <c r="D104" s="83">
        <v>-1.8489100000000001</v>
      </c>
      <c r="E104" s="83">
        <v>47.378410000000002</v>
      </c>
      <c r="F104" s="83">
        <v>74.086780000000005</v>
      </c>
      <c r="G104" s="83">
        <v>3.3138800000000002</v>
      </c>
      <c r="H104" s="83">
        <v>-24.84994</v>
      </c>
      <c r="I104" s="83">
        <v>-33.487190000000005</v>
      </c>
    </row>
    <row r="105" spans="1:9" x14ac:dyDescent="0.3">
      <c r="A105" s="79" t="s">
        <v>260</v>
      </c>
      <c r="B105" s="83">
        <v>0</v>
      </c>
      <c r="C105" s="83">
        <v>0</v>
      </c>
      <c r="D105" s="83">
        <v>0</v>
      </c>
      <c r="E105" s="83">
        <v>0</v>
      </c>
      <c r="F105" s="83">
        <v>0</v>
      </c>
      <c r="G105" s="83">
        <v>0</v>
      </c>
      <c r="H105" s="83">
        <v>0</v>
      </c>
      <c r="I105" s="83">
        <v>0</v>
      </c>
    </row>
    <row r="106" spans="1:9" x14ac:dyDescent="0.3">
      <c r="A106" s="79" t="s">
        <v>474</v>
      </c>
      <c r="B106" s="83">
        <v>6.8692399999999996</v>
      </c>
      <c r="C106" s="83">
        <v>4.47201</v>
      </c>
      <c r="D106" s="83">
        <v>3.0229699999999999</v>
      </c>
      <c r="E106" s="83">
        <v>1.57125</v>
      </c>
      <c r="F106" s="83">
        <v>2.6851599999999998</v>
      </c>
      <c r="G106" s="83">
        <v>4.7012</v>
      </c>
      <c r="H106" s="83">
        <v>3.9137399999999998</v>
      </c>
      <c r="I106" s="83">
        <v>3.9312900000000002</v>
      </c>
    </row>
    <row r="107" spans="1:9" x14ac:dyDescent="0.3">
      <c r="A107" s="79" t="s">
        <v>473</v>
      </c>
      <c r="B107" s="83">
        <v>38.575559999999996</v>
      </c>
      <c r="C107" s="83">
        <v>33.778620000000004</v>
      </c>
      <c r="D107" s="83">
        <v>19.209439999999997</v>
      </c>
      <c r="E107" s="83">
        <v>-34.875690000000006</v>
      </c>
      <c r="F107" s="83">
        <v>0.41831000000000002</v>
      </c>
      <c r="G107" s="83">
        <v>72.621499999999997</v>
      </c>
      <c r="H107" s="83">
        <v>145.77799999999999</v>
      </c>
      <c r="I107" s="83">
        <v>241.02199999999999</v>
      </c>
    </row>
    <row r="108" spans="1:9" x14ac:dyDescent="0.3">
      <c r="A108" s="79" t="s">
        <v>472</v>
      </c>
      <c r="B108" s="83">
        <v>0</v>
      </c>
      <c r="C108" s="83">
        <v>0</v>
      </c>
      <c r="D108" s="83">
        <v>0</v>
      </c>
      <c r="E108" s="83">
        <v>0</v>
      </c>
      <c r="F108" s="83">
        <v>-0.71175999999999995</v>
      </c>
      <c r="G108" s="83">
        <v>-0.87653999999999999</v>
      </c>
      <c r="H108" s="83">
        <v>-1.0379400000000001</v>
      </c>
      <c r="I108" s="83">
        <v>-0.97226999999999997</v>
      </c>
    </row>
    <row r="109" spans="1:9" x14ac:dyDescent="0.3">
      <c r="A109" s="79" t="s">
        <v>348</v>
      </c>
      <c r="B109" s="83">
        <v>56.882640000000002</v>
      </c>
      <c r="C109" s="83">
        <v>42.684230000000007</v>
      </c>
      <c r="D109" s="83">
        <v>40.637279999999997</v>
      </c>
      <c r="E109" s="83">
        <v>78.136119999999991</v>
      </c>
      <c r="F109" s="83">
        <v>53.121839999999999</v>
      </c>
      <c r="G109" s="83">
        <v>105.50744</v>
      </c>
      <c r="H109" s="83">
        <v>210.06941</v>
      </c>
      <c r="I109" s="83">
        <v>241.33256</v>
      </c>
    </row>
    <row r="110" spans="1:9" x14ac:dyDescent="0.3">
      <c r="A110" s="79" t="s">
        <v>264</v>
      </c>
      <c r="B110" s="83">
        <v>0</v>
      </c>
      <c r="C110" s="83">
        <v>0</v>
      </c>
      <c r="D110" s="83">
        <v>0</v>
      </c>
      <c r="E110" s="83">
        <v>0</v>
      </c>
      <c r="F110" s="83">
        <v>0</v>
      </c>
      <c r="G110" s="83">
        <v>0</v>
      </c>
      <c r="H110" s="83">
        <v>0</v>
      </c>
      <c r="I110" s="83">
        <v>0</v>
      </c>
    </row>
    <row r="111" spans="1:9" x14ac:dyDescent="0.3">
      <c r="A111" s="79" t="s">
        <v>471</v>
      </c>
      <c r="B111" s="83">
        <v>1.702E-2</v>
      </c>
      <c r="C111" s="83">
        <v>-1.1039999999999999E-2</v>
      </c>
      <c r="D111" s="83">
        <v>-0.28018999999999999</v>
      </c>
      <c r="E111" s="83">
        <v>-0.63203999999999994</v>
      </c>
      <c r="F111" s="83">
        <v>-0.90647</v>
      </c>
      <c r="G111" s="83">
        <v>-0.80815999999999999</v>
      </c>
      <c r="H111" s="83">
        <v>-1.33449</v>
      </c>
      <c r="I111" s="83">
        <v>-1.01742</v>
      </c>
    </row>
    <row r="112" spans="1:9" x14ac:dyDescent="0.3">
      <c r="A112" s="79" t="s">
        <v>470</v>
      </c>
      <c r="B112" s="83">
        <v>-0.54452</v>
      </c>
      <c r="C112" s="83">
        <v>-1.1368399999999999</v>
      </c>
      <c r="D112" s="83">
        <v>-1.00647</v>
      </c>
      <c r="E112" s="83">
        <v>-0.43170999999999998</v>
      </c>
      <c r="F112" s="83">
        <v>-0.62873999999999997</v>
      </c>
      <c r="G112" s="83">
        <v>-0.7000599999999999</v>
      </c>
      <c r="H112" s="83">
        <v>-1.4553399999999999</v>
      </c>
      <c r="I112" s="83">
        <v>-4.0961099999999995</v>
      </c>
    </row>
    <row r="113" spans="1:9" x14ac:dyDescent="0.3">
      <c r="A113" s="79" t="s">
        <v>469</v>
      </c>
      <c r="B113" s="83">
        <v>0</v>
      </c>
      <c r="C113" s="83">
        <v>0</v>
      </c>
      <c r="D113" s="83">
        <v>0</v>
      </c>
      <c r="E113" s="83">
        <v>0</v>
      </c>
      <c r="F113" s="83">
        <v>0</v>
      </c>
      <c r="G113" s="83">
        <v>0</v>
      </c>
      <c r="H113" s="83">
        <v>0</v>
      </c>
      <c r="I113" s="83">
        <v>0</v>
      </c>
    </row>
    <row r="114" spans="1:9" x14ac:dyDescent="0.3">
      <c r="A114" s="79" t="s">
        <v>468</v>
      </c>
      <c r="B114" s="83">
        <v>0</v>
      </c>
      <c r="C114" s="83">
        <v>0</v>
      </c>
      <c r="D114" s="83">
        <v>0</v>
      </c>
      <c r="E114" s="83">
        <v>0</v>
      </c>
      <c r="F114" s="83">
        <v>0</v>
      </c>
      <c r="G114" s="83">
        <v>0</v>
      </c>
      <c r="H114" s="83">
        <v>0</v>
      </c>
      <c r="I114" s="83">
        <v>0</v>
      </c>
    </row>
    <row r="115" spans="1:9" x14ac:dyDescent="0.3">
      <c r="A115" s="79" t="s">
        <v>467</v>
      </c>
      <c r="B115" s="83">
        <v>0</v>
      </c>
      <c r="C115" s="83">
        <v>0</v>
      </c>
      <c r="D115" s="83">
        <v>0</v>
      </c>
      <c r="E115" s="83">
        <v>0</v>
      </c>
      <c r="F115" s="83">
        <v>0</v>
      </c>
      <c r="G115" s="83">
        <v>0</v>
      </c>
      <c r="H115" s="83">
        <v>0</v>
      </c>
      <c r="I115" s="83">
        <v>0</v>
      </c>
    </row>
    <row r="116" spans="1:9" x14ac:dyDescent="0.3">
      <c r="A116" s="79" t="s">
        <v>466</v>
      </c>
      <c r="B116" s="83">
        <v>7.8834099999999996</v>
      </c>
      <c r="C116" s="83">
        <v>7.8769499999999999</v>
      </c>
      <c r="D116" s="83">
        <v>10.311309999999999</v>
      </c>
      <c r="E116" s="83">
        <v>4.6371199999999995</v>
      </c>
      <c r="F116" s="83">
        <v>6.3504100000000001</v>
      </c>
      <c r="G116" s="83">
        <v>8.3076399999999992</v>
      </c>
      <c r="H116" s="83">
        <v>22.605340000000002</v>
      </c>
      <c r="I116" s="83">
        <v>17.321639999999999</v>
      </c>
    </row>
    <row r="117" spans="1:9" x14ac:dyDescent="0.3">
      <c r="A117" s="79" t="s">
        <v>295</v>
      </c>
      <c r="B117" s="83">
        <v>-0.72565999999999997</v>
      </c>
      <c r="C117" s="83">
        <v>-0.30281000000000002</v>
      </c>
      <c r="D117" s="83">
        <v>-0.45273000000000002</v>
      </c>
      <c r="E117" s="83">
        <v>-1.4816400000000001</v>
      </c>
      <c r="F117" s="83">
        <v>-1.51186</v>
      </c>
      <c r="G117" s="83">
        <v>-1.86632</v>
      </c>
      <c r="H117" s="83">
        <v>-1.46424</v>
      </c>
      <c r="I117" s="83">
        <v>2.1859699999999997</v>
      </c>
    </row>
    <row r="118" spans="1:9" x14ac:dyDescent="0.3">
      <c r="A118" s="79" t="s">
        <v>465</v>
      </c>
      <c r="B118" s="83">
        <v>-0.11517000000000001</v>
      </c>
      <c r="C118" s="83">
        <v>-0.12584000000000001</v>
      </c>
      <c r="D118" s="83">
        <v>-0.22452</v>
      </c>
      <c r="E118" s="83">
        <v>-0.40417000000000003</v>
      </c>
      <c r="F118" s="83">
        <v>-0.60926999999999998</v>
      </c>
      <c r="G118" s="83">
        <v>-0.67859999999999998</v>
      </c>
      <c r="H118" s="83">
        <v>-2.16214</v>
      </c>
      <c r="I118" s="83">
        <v>-0.91564000000000001</v>
      </c>
    </row>
    <row r="119" spans="1:9" x14ac:dyDescent="0.3">
      <c r="A119" s="79" t="s">
        <v>464</v>
      </c>
      <c r="B119" s="83">
        <v>0</v>
      </c>
      <c r="C119" s="83">
        <v>0</v>
      </c>
      <c r="D119" s="83">
        <v>0</v>
      </c>
      <c r="E119" s="83">
        <v>0</v>
      </c>
      <c r="F119" s="83">
        <v>0</v>
      </c>
      <c r="G119" s="83">
        <v>0</v>
      </c>
      <c r="H119" s="83">
        <v>0</v>
      </c>
      <c r="I119" s="83">
        <v>0</v>
      </c>
    </row>
    <row r="120" spans="1:9" x14ac:dyDescent="0.3">
      <c r="A120" s="79" t="s">
        <v>463</v>
      </c>
      <c r="B120" s="83">
        <v>-0.28956999999999999</v>
      </c>
      <c r="C120" s="83">
        <v>-0.23638999999999999</v>
      </c>
      <c r="D120" s="83">
        <v>-0.23724999999999999</v>
      </c>
      <c r="E120" s="83">
        <v>-1.1802999999999999</v>
      </c>
      <c r="F120" s="83">
        <v>-0.84565000000000001</v>
      </c>
      <c r="G120" s="83">
        <v>-1.3234600000000001</v>
      </c>
      <c r="H120" s="83">
        <v>-1.3808800000000001</v>
      </c>
      <c r="I120" s="83">
        <v>-3.6396799999999998</v>
      </c>
    </row>
    <row r="121" spans="1:9" x14ac:dyDescent="0.3">
      <c r="A121" s="79" t="s">
        <v>462</v>
      </c>
      <c r="B121" s="83">
        <v>0</v>
      </c>
      <c r="C121" s="83">
        <v>0</v>
      </c>
      <c r="D121" s="83">
        <v>0</v>
      </c>
      <c r="E121" s="83">
        <v>0</v>
      </c>
      <c r="F121" s="83">
        <v>0</v>
      </c>
      <c r="G121" s="83">
        <v>0</v>
      </c>
      <c r="H121" s="83">
        <v>0</v>
      </c>
      <c r="I121" s="83">
        <v>0</v>
      </c>
    </row>
    <row r="122" spans="1:9" x14ac:dyDescent="0.3">
      <c r="A122" s="79" t="s">
        <v>461</v>
      </c>
      <c r="B122" s="83">
        <v>0</v>
      </c>
      <c r="C122" s="83">
        <v>0</v>
      </c>
      <c r="D122" s="83">
        <v>0</v>
      </c>
      <c r="E122" s="83">
        <v>0</v>
      </c>
      <c r="F122" s="83">
        <v>0</v>
      </c>
      <c r="G122" s="83">
        <v>0</v>
      </c>
      <c r="H122" s="83">
        <v>0</v>
      </c>
      <c r="I122" s="83">
        <v>0</v>
      </c>
    </row>
    <row r="123" spans="1:9" x14ac:dyDescent="0.3">
      <c r="A123" s="79" t="s">
        <v>460</v>
      </c>
      <c r="B123" s="83">
        <v>0</v>
      </c>
      <c r="C123" s="83">
        <v>0</v>
      </c>
      <c r="D123" s="83">
        <v>0</v>
      </c>
      <c r="E123" s="83">
        <v>0</v>
      </c>
      <c r="F123" s="83">
        <v>0</v>
      </c>
      <c r="G123" s="83">
        <v>0</v>
      </c>
      <c r="H123" s="83">
        <v>0</v>
      </c>
      <c r="I123" s="83">
        <v>0</v>
      </c>
    </row>
    <row r="124" spans="1:9" x14ac:dyDescent="0.3">
      <c r="A124" s="79" t="s">
        <v>459</v>
      </c>
      <c r="B124" s="83">
        <v>0</v>
      </c>
      <c r="C124" s="83">
        <v>0</v>
      </c>
      <c r="D124" s="83">
        <v>0</v>
      </c>
      <c r="E124" s="83">
        <v>0</v>
      </c>
      <c r="F124" s="83">
        <v>0</v>
      </c>
      <c r="G124" s="83">
        <v>0</v>
      </c>
      <c r="H124" s="83">
        <v>0</v>
      </c>
      <c r="I124" s="83">
        <v>0</v>
      </c>
    </row>
    <row r="125" spans="1:9" x14ac:dyDescent="0.3">
      <c r="A125" s="79" t="s">
        <v>254</v>
      </c>
      <c r="B125" s="83">
        <v>0</v>
      </c>
      <c r="C125" s="83">
        <v>0</v>
      </c>
      <c r="D125" s="83">
        <v>0</v>
      </c>
      <c r="E125" s="83">
        <v>0</v>
      </c>
      <c r="F125" s="83">
        <v>0</v>
      </c>
      <c r="G125" s="83">
        <v>0</v>
      </c>
      <c r="H125" s="83">
        <v>0</v>
      </c>
      <c r="I125" s="83">
        <v>0</v>
      </c>
    </row>
    <row r="126" spans="1:9" x14ac:dyDescent="0.3">
      <c r="A126" s="79" t="s">
        <v>458</v>
      </c>
      <c r="B126" s="83">
        <v>-0.21325999999999998</v>
      </c>
      <c r="C126" s="83">
        <v>-9.2200000000000004E-2</v>
      </c>
      <c r="D126" s="83">
        <v>-0.65497000000000005</v>
      </c>
      <c r="E126" s="83">
        <v>-0.63512000000000002</v>
      </c>
      <c r="F126" s="83">
        <v>-2.2692800000000002</v>
      </c>
      <c r="G126" s="83">
        <v>-1.17333</v>
      </c>
      <c r="H126" s="83">
        <v>-0.45968000000000003</v>
      </c>
      <c r="I126" s="83">
        <v>-0.44019999999999998</v>
      </c>
    </row>
    <row r="127" spans="1:9" x14ac:dyDescent="0.3">
      <c r="A127" s="79" t="s">
        <v>292</v>
      </c>
      <c r="B127" s="83">
        <v>-5.5735299999999999</v>
      </c>
      <c r="C127" s="83">
        <v>-6.5489799999999994</v>
      </c>
      <c r="D127" s="83">
        <v>-10.81517</v>
      </c>
      <c r="E127" s="83">
        <v>-11.988379999999999</v>
      </c>
      <c r="F127" s="83">
        <v>-13.2165</v>
      </c>
      <c r="G127" s="83">
        <v>-14.20091</v>
      </c>
      <c r="H127" s="83">
        <v>-20.905090000000001</v>
      </c>
      <c r="I127" s="83">
        <v>-18.244589999999999</v>
      </c>
    </row>
    <row r="128" spans="1:9" x14ac:dyDescent="0.3">
      <c r="A128" s="79" t="s">
        <v>457</v>
      </c>
      <c r="B128" s="83">
        <v>0</v>
      </c>
      <c r="C128" s="83">
        <v>0</v>
      </c>
      <c r="D128" s="83">
        <v>0</v>
      </c>
      <c r="E128" s="83">
        <v>0</v>
      </c>
      <c r="F128" s="83">
        <v>0</v>
      </c>
      <c r="G128" s="83">
        <v>0</v>
      </c>
      <c r="H128" s="83">
        <v>0</v>
      </c>
      <c r="I128" s="83">
        <v>0</v>
      </c>
    </row>
    <row r="129" spans="1:9" x14ac:dyDescent="0.3">
      <c r="A129" s="79" t="s">
        <v>456</v>
      </c>
      <c r="B129" s="83">
        <v>0</v>
      </c>
      <c r="C129" s="83">
        <v>0</v>
      </c>
      <c r="D129" s="83">
        <v>-0.26468999999999998</v>
      </c>
      <c r="E129" s="83">
        <v>-0.46510000000000001</v>
      </c>
      <c r="F129" s="83">
        <v>-0.67525999999999997</v>
      </c>
      <c r="G129" s="83">
        <v>-0.78622999999999998</v>
      </c>
      <c r="H129" s="83">
        <v>-1.21184</v>
      </c>
      <c r="I129" s="83">
        <v>-1.03125</v>
      </c>
    </row>
    <row r="130" spans="1:9" x14ac:dyDescent="0.3">
      <c r="A130" s="79" t="s">
        <v>455</v>
      </c>
      <c r="B130" s="83">
        <v>0</v>
      </c>
      <c r="C130" s="83">
        <v>0</v>
      </c>
      <c r="D130" s="83">
        <v>0</v>
      </c>
      <c r="E130" s="83">
        <v>0</v>
      </c>
      <c r="F130" s="83">
        <v>0</v>
      </c>
      <c r="G130" s="83">
        <v>0</v>
      </c>
      <c r="H130" s="83">
        <v>0</v>
      </c>
      <c r="I130" s="83">
        <v>0</v>
      </c>
    </row>
    <row r="131" spans="1:9" x14ac:dyDescent="0.3">
      <c r="A131" s="79" t="s">
        <v>454</v>
      </c>
      <c r="B131" s="83">
        <v>0</v>
      </c>
      <c r="C131" s="83">
        <v>0</v>
      </c>
      <c r="D131" s="83">
        <v>0</v>
      </c>
      <c r="E131" s="83">
        <v>0</v>
      </c>
      <c r="F131" s="83">
        <v>0</v>
      </c>
      <c r="G131" s="83">
        <v>0</v>
      </c>
      <c r="H131" s="83">
        <v>0</v>
      </c>
      <c r="I131" s="83">
        <v>0</v>
      </c>
    </row>
    <row r="132" spans="1:9" x14ac:dyDescent="0.3">
      <c r="A132" s="79" t="s">
        <v>328</v>
      </c>
      <c r="B132" s="83">
        <v>-2.2875799999999997</v>
      </c>
      <c r="C132" s="83">
        <v>-1.83104</v>
      </c>
      <c r="D132" s="83">
        <v>-3.3109600000000001</v>
      </c>
      <c r="E132" s="83">
        <v>-2.59714</v>
      </c>
      <c r="F132" s="83">
        <v>-3.5066100000000002</v>
      </c>
      <c r="G132" s="83">
        <v>-4.0573800000000002</v>
      </c>
      <c r="H132" s="83">
        <v>-5.0985899999999997</v>
      </c>
      <c r="I132" s="83">
        <v>7.0738500000000002</v>
      </c>
    </row>
    <row r="133" spans="1:9" x14ac:dyDescent="0.3">
      <c r="A133" s="79" t="s">
        <v>453</v>
      </c>
      <c r="B133" s="83">
        <v>0</v>
      </c>
      <c r="C133" s="83">
        <v>0</v>
      </c>
      <c r="D133" s="83">
        <v>0</v>
      </c>
      <c r="E133" s="83">
        <v>0</v>
      </c>
      <c r="F133" s="83">
        <v>0</v>
      </c>
      <c r="G133" s="83">
        <v>0</v>
      </c>
      <c r="H133" s="83">
        <v>0</v>
      </c>
      <c r="I133" s="83">
        <v>0</v>
      </c>
    </row>
    <row r="134" spans="1:9" x14ac:dyDescent="0.3">
      <c r="A134" s="79" t="s">
        <v>452</v>
      </c>
      <c r="B134" s="83">
        <v>-7.1910000000000002E-2</v>
      </c>
      <c r="C134" s="83">
        <v>-1.6239999999999997E-2</v>
      </c>
      <c r="D134" s="83">
        <v>-0.12418999999999999</v>
      </c>
      <c r="E134" s="83">
        <v>-0.376</v>
      </c>
      <c r="F134" s="83">
        <v>-0.59260000000000002</v>
      </c>
      <c r="G134" s="83">
        <v>-0.88961999999999997</v>
      </c>
      <c r="H134" s="83">
        <v>-1.0318399999999999</v>
      </c>
      <c r="I134" s="83">
        <v>-0.96038000000000001</v>
      </c>
    </row>
    <row r="135" spans="1:9" x14ac:dyDescent="0.3">
      <c r="A135" s="79" t="s">
        <v>451</v>
      </c>
      <c r="B135" s="83">
        <v>-1.0241300000000002</v>
      </c>
      <c r="C135" s="83">
        <v>-0.77027999999999996</v>
      </c>
      <c r="D135" s="83">
        <v>-1.5824200000000002</v>
      </c>
      <c r="E135" s="83">
        <v>-2.6198000000000001</v>
      </c>
      <c r="F135" s="83">
        <v>-7.0064899999999994</v>
      </c>
      <c r="G135" s="83">
        <v>-6.8264100000000001</v>
      </c>
      <c r="H135" s="83">
        <v>-23.65297</v>
      </c>
      <c r="I135" s="83">
        <v>-6.3930299999999995</v>
      </c>
    </row>
    <row r="136" spans="1:9" x14ac:dyDescent="0.3">
      <c r="A136" s="79" t="s">
        <v>450</v>
      </c>
      <c r="B136" s="83">
        <v>0</v>
      </c>
      <c r="C136" s="83">
        <v>0</v>
      </c>
      <c r="D136" s="83">
        <v>0</v>
      </c>
      <c r="E136" s="83">
        <v>0</v>
      </c>
      <c r="F136" s="83">
        <v>0</v>
      </c>
      <c r="G136" s="83">
        <v>0</v>
      </c>
      <c r="H136" s="83">
        <v>0</v>
      </c>
      <c r="I136" s="83">
        <v>0</v>
      </c>
    </row>
    <row r="137" spans="1:9" x14ac:dyDescent="0.3">
      <c r="A137" s="79" t="s">
        <v>449</v>
      </c>
      <c r="B137" s="83">
        <v>0</v>
      </c>
      <c r="C137" s="83">
        <v>0</v>
      </c>
      <c r="D137" s="83">
        <v>0</v>
      </c>
      <c r="E137" s="83">
        <v>0</v>
      </c>
      <c r="F137" s="83">
        <v>0</v>
      </c>
      <c r="G137" s="83">
        <v>0</v>
      </c>
      <c r="H137" s="83">
        <v>0</v>
      </c>
      <c r="I137" s="83">
        <v>0</v>
      </c>
    </row>
    <row r="138" spans="1:9" x14ac:dyDescent="0.3">
      <c r="A138" s="79" t="s">
        <v>448</v>
      </c>
      <c r="B138" s="83">
        <v>0</v>
      </c>
      <c r="C138" s="83">
        <v>0</v>
      </c>
      <c r="D138" s="83">
        <v>0</v>
      </c>
      <c r="E138" s="83">
        <v>0</v>
      </c>
      <c r="F138" s="83">
        <v>0</v>
      </c>
      <c r="G138" s="83">
        <v>0</v>
      </c>
      <c r="H138" s="83">
        <v>0</v>
      </c>
      <c r="I138" s="83">
        <v>0</v>
      </c>
    </row>
    <row r="139" spans="1:9" x14ac:dyDescent="0.3">
      <c r="A139" s="79" t="s">
        <v>447</v>
      </c>
      <c r="B139" s="83">
        <v>-0.27424999999999999</v>
      </c>
      <c r="C139" s="83">
        <v>-0.21787999999999999</v>
      </c>
      <c r="D139" s="83">
        <v>-0.36677999999999999</v>
      </c>
      <c r="E139" s="83">
        <v>-0.50508999999999993</v>
      </c>
      <c r="F139" s="83">
        <v>-1.24152</v>
      </c>
      <c r="G139" s="83">
        <v>-1.0730299999999999</v>
      </c>
      <c r="H139" s="83">
        <v>-1.68452</v>
      </c>
      <c r="I139" s="83">
        <v>-1.4578599999999999</v>
      </c>
    </row>
    <row r="140" spans="1:9" x14ac:dyDescent="0.3">
      <c r="A140" s="79" t="s">
        <v>446</v>
      </c>
      <c r="B140" s="83">
        <v>0</v>
      </c>
      <c r="C140" s="83">
        <v>0</v>
      </c>
      <c r="D140" s="83">
        <v>0</v>
      </c>
      <c r="E140" s="83">
        <v>0</v>
      </c>
      <c r="F140" s="83">
        <v>0</v>
      </c>
      <c r="G140" s="83">
        <v>0</v>
      </c>
      <c r="H140" s="83">
        <v>0</v>
      </c>
      <c r="I140" s="83">
        <v>0</v>
      </c>
    </row>
    <row r="141" spans="1:9" x14ac:dyDescent="0.3">
      <c r="A141" s="79" t="s">
        <v>445</v>
      </c>
      <c r="B141" s="83">
        <v>37.284839999999996</v>
      </c>
      <c r="C141" s="83">
        <v>35.356370000000005</v>
      </c>
      <c r="D141" s="83">
        <v>34.16507</v>
      </c>
      <c r="E141" s="83">
        <v>35.432730000000006</v>
      </c>
      <c r="F141" s="83">
        <v>31.688200000000002</v>
      </c>
      <c r="G141" s="83">
        <v>31.438400000000001</v>
      </c>
      <c r="H141" s="83">
        <v>46.41337</v>
      </c>
      <c r="I141" s="83">
        <v>62.735320000000002</v>
      </c>
    </row>
    <row r="142" spans="1:9" x14ac:dyDescent="0.3">
      <c r="A142" s="79" t="s">
        <v>444</v>
      </c>
      <c r="B142" s="83">
        <v>0</v>
      </c>
      <c r="C142" s="83">
        <v>0</v>
      </c>
      <c r="D142" s="83">
        <v>0</v>
      </c>
      <c r="E142" s="83">
        <v>0</v>
      </c>
      <c r="F142" s="83">
        <v>0</v>
      </c>
      <c r="G142" s="83">
        <v>0</v>
      </c>
      <c r="H142" s="83">
        <v>0</v>
      </c>
      <c r="I142" s="83">
        <v>0</v>
      </c>
    </row>
    <row r="143" spans="1:9" x14ac:dyDescent="0.3">
      <c r="A143" s="79" t="s">
        <v>443</v>
      </c>
      <c r="B143" s="83">
        <v>-8.1930000000000003E-2</v>
      </c>
      <c r="C143" s="83">
        <v>-9.6569999999999989E-2</v>
      </c>
      <c r="D143" s="83">
        <v>-0.17030000000000001</v>
      </c>
      <c r="E143" s="83">
        <v>-0.31245999999999996</v>
      </c>
      <c r="F143" s="83">
        <v>-0.70644000000000007</v>
      </c>
      <c r="G143" s="83">
        <v>-0.96666999999999992</v>
      </c>
      <c r="H143" s="83">
        <v>-2.4674800000000001</v>
      </c>
      <c r="I143" s="83">
        <v>-1.0694399999999999</v>
      </c>
    </row>
    <row r="144" spans="1:9" x14ac:dyDescent="0.3">
      <c r="A144" s="79" t="s">
        <v>442</v>
      </c>
      <c r="B144" s="83">
        <v>0</v>
      </c>
      <c r="C144" s="83">
        <v>0</v>
      </c>
      <c r="D144" s="83">
        <v>0</v>
      </c>
      <c r="E144" s="83">
        <v>0</v>
      </c>
      <c r="F144" s="83">
        <v>0</v>
      </c>
      <c r="G144" s="83">
        <v>0</v>
      </c>
      <c r="H144" s="83">
        <v>0</v>
      </c>
      <c r="I144" s="83">
        <v>0</v>
      </c>
    </row>
    <row r="145" spans="1:9" x14ac:dyDescent="0.3">
      <c r="A145" s="79" t="s">
        <v>441</v>
      </c>
      <c r="B145" s="83">
        <v>0</v>
      </c>
      <c r="C145" s="83">
        <v>0</v>
      </c>
      <c r="D145" s="83">
        <v>0</v>
      </c>
      <c r="E145" s="83">
        <v>0</v>
      </c>
      <c r="F145" s="83">
        <v>0</v>
      </c>
      <c r="G145" s="83">
        <v>0</v>
      </c>
      <c r="H145" s="83">
        <v>0</v>
      </c>
      <c r="I145" s="83">
        <v>0</v>
      </c>
    </row>
    <row r="146" spans="1:9" x14ac:dyDescent="0.3">
      <c r="A146" s="79" t="s">
        <v>440</v>
      </c>
      <c r="B146" s="83">
        <v>0</v>
      </c>
      <c r="C146" s="83">
        <v>0</v>
      </c>
      <c r="D146" s="83">
        <v>0</v>
      </c>
      <c r="E146" s="83">
        <v>0</v>
      </c>
      <c r="F146" s="83">
        <v>0</v>
      </c>
      <c r="G146" s="83">
        <v>0</v>
      </c>
      <c r="H146" s="83">
        <v>0</v>
      </c>
      <c r="I146" s="83">
        <v>0</v>
      </c>
    </row>
    <row r="147" spans="1:9" x14ac:dyDescent="0.3">
      <c r="A147" s="79" t="s">
        <v>439</v>
      </c>
      <c r="B147" s="83">
        <v>0</v>
      </c>
      <c r="C147" s="83">
        <v>0</v>
      </c>
      <c r="D147" s="83">
        <v>0</v>
      </c>
      <c r="E147" s="83">
        <v>0</v>
      </c>
      <c r="F147" s="83">
        <v>0</v>
      </c>
      <c r="G147" s="83">
        <v>0</v>
      </c>
      <c r="H147" s="83">
        <v>0</v>
      </c>
      <c r="I147" s="83">
        <v>0</v>
      </c>
    </row>
    <row r="148" spans="1:9" x14ac:dyDescent="0.3">
      <c r="A148" s="79" t="s">
        <v>438</v>
      </c>
      <c r="B148" s="83">
        <v>0</v>
      </c>
      <c r="C148" s="83">
        <v>-0.43501000000000001</v>
      </c>
      <c r="D148" s="83">
        <v>-1.3648800000000001</v>
      </c>
      <c r="E148" s="83">
        <v>-0.46111000000000002</v>
      </c>
      <c r="F148" s="83">
        <v>-0.495</v>
      </c>
      <c r="G148" s="83">
        <v>-0.85502</v>
      </c>
      <c r="H148" s="83">
        <v>-6.6490600000000004</v>
      </c>
      <c r="I148" s="83">
        <v>-6.0798199999999998</v>
      </c>
    </row>
    <row r="149" spans="1:9" x14ac:dyDescent="0.3">
      <c r="A149" s="79" t="s">
        <v>437</v>
      </c>
      <c r="B149" s="83">
        <v>0</v>
      </c>
      <c r="C149" s="83">
        <v>0</v>
      </c>
      <c r="D149" s="83">
        <v>0</v>
      </c>
      <c r="E149" s="83">
        <v>0</v>
      </c>
      <c r="F149" s="83">
        <v>-0.39968999999999999</v>
      </c>
      <c r="G149" s="83">
        <v>-0.60824</v>
      </c>
      <c r="H149" s="83">
        <v>-1.5260799999999999</v>
      </c>
      <c r="I149" s="83">
        <v>-1.1036300000000001</v>
      </c>
    </row>
    <row r="150" spans="1:9" x14ac:dyDescent="0.3">
      <c r="A150" s="79" t="s">
        <v>436</v>
      </c>
      <c r="B150" s="83">
        <v>-0.1217</v>
      </c>
      <c r="C150" s="83">
        <v>-0.13711000000000001</v>
      </c>
      <c r="D150" s="83">
        <v>-0.19152000000000002</v>
      </c>
      <c r="E150" s="83">
        <v>-0.34254000000000001</v>
      </c>
      <c r="F150" s="83">
        <v>-0.44450000000000001</v>
      </c>
      <c r="G150" s="83">
        <v>-0.63627999999999996</v>
      </c>
      <c r="H150" s="83">
        <v>0</v>
      </c>
      <c r="I150" s="83">
        <v>0</v>
      </c>
    </row>
    <row r="151" spans="1:9" x14ac:dyDescent="0.3">
      <c r="A151" s="79" t="s">
        <v>435</v>
      </c>
      <c r="B151" s="83">
        <v>-3.8829999999999996E-2</v>
      </c>
      <c r="C151" s="83">
        <v>-4.4889999999999999E-2</v>
      </c>
      <c r="D151" s="83">
        <v>-6.7959999999999993E-2</v>
      </c>
      <c r="E151" s="83">
        <v>-0.21900999999999998</v>
      </c>
      <c r="F151" s="83">
        <v>-0.37657999999999997</v>
      </c>
      <c r="G151" s="83">
        <v>-0.48192000000000002</v>
      </c>
      <c r="H151" s="83">
        <v>-0.79496</v>
      </c>
      <c r="I151" s="83">
        <v>-0.73916999999999999</v>
      </c>
    </row>
    <row r="152" spans="1:9" x14ac:dyDescent="0.3">
      <c r="A152" s="79" t="s">
        <v>434</v>
      </c>
      <c r="B152" s="83">
        <v>0</v>
      </c>
      <c r="C152" s="83">
        <v>0</v>
      </c>
      <c r="D152" s="83">
        <v>0</v>
      </c>
      <c r="E152" s="83">
        <v>0</v>
      </c>
      <c r="F152" s="83">
        <v>0</v>
      </c>
      <c r="G152" s="83">
        <v>0</v>
      </c>
      <c r="H152" s="83">
        <v>0</v>
      </c>
      <c r="I152" s="83">
        <v>0</v>
      </c>
    </row>
    <row r="153" spans="1:9" x14ac:dyDescent="0.3">
      <c r="A153" s="79" t="s">
        <v>433</v>
      </c>
      <c r="B153" s="83">
        <v>0</v>
      </c>
      <c r="C153" s="83">
        <v>0</v>
      </c>
      <c r="D153" s="83">
        <v>0</v>
      </c>
      <c r="E153" s="83">
        <v>0</v>
      </c>
      <c r="F153" s="83">
        <v>0</v>
      </c>
      <c r="G153" s="83">
        <v>0</v>
      </c>
      <c r="H153" s="83">
        <v>0</v>
      </c>
      <c r="I153" s="83">
        <v>0</v>
      </c>
    </row>
    <row r="154" spans="1:9" x14ac:dyDescent="0.3">
      <c r="A154" s="79" t="s">
        <v>342</v>
      </c>
      <c r="B154" s="83">
        <v>93.085719999999995</v>
      </c>
      <c r="C154" s="83">
        <v>102.27169000000001</v>
      </c>
      <c r="D154" s="83">
        <v>157.90275</v>
      </c>
      <c r="E154" s="83">
        <v>172.27199999999999</v>
      </c>
      <c r="F154" s="83">
        <v>75.97381</v>
      </c>
      <c r="G154" s="83">
        <v>147.47300000000001</v>
      </c>
      <c r="H154" s="83">
        <v>163.45012</v>
      </c>
      <c r="I154" s="83">
        <v>161.06075000000001</v>
      </c>
    </row>
    <row r="155" spans="1:9" x14ac:dyDescent="0.3">
      <c r="A155" s="79" t="s">
        <v>432</v>
      </c>
      <c r="B155" s="83">
        <v>36.172609999999999</v>
      </c>
      <c r="C155" s="83">
        <v>39.607489999999999</v>
      </c>
      <c r="D155" s="83">
        <v>43.186050000000002</v>
      </c>
      <c r="E155" s="83">
        <v>38.027459999999998</v>
      </c>
      <c r="F155" s="83">
        <v>27.5502</v>
      </c>
      <c r="G155" s="83">
        <v>13.3505</v>
      </c>
      <c r="H155" s="83">
        <v>4.8969399999999998</v>
      </c>
      <c r="I155" s="83">
        <v>27.117049999999999</v>
      </c>
    </row>
    <row r="156" spans="1:9" x14ac:dyDescent="0.3">
      <c r="A156" s="79" t="s">
        <v>431</v>
      </c>
      <c r="B156" s="83">
        <v>0</v>
      </c>
      <c r="C156" s="83">
        <v>0</v>
      </c>
      <c r="D156" s="83">
        <v>0</v>
      </c>
      <c r="E156" s="83">
        <v>0</v>
      </c>
      <c r="F156" s="83">
        <v>0</v>
      </c>
      <c r="G156" s="83">
        <v>0</v>
      </c>
      <c r="H156" s="83">
        <v>0</v>
      </c>
      <c r="I156" s="83">
        <v>0</v>
      </c>
    </row>
    <row r="157" spans="1:9" x14ac:dyDescent="0.3">
      <c r="A157" s="79" t="s">
        <v>430</v>
      </c>
      <c r="B157" s="83">
        <v>4.1502600000000003</v>
      </c>
      <c r="C157" s="83">
        <v>11.714589999999999</v>
      </c>
      <c r="D157" s="83">
        <v>13.643040000000001</v>
      </c>
      <c r="E157" s="83">
        <v>17.985319999999998</v>
      </c>
      <c r="F157" s="83">
        <v>18.527919999999998</v>
      </c>
      <c r="G157" s="83">
        <v>15.611129999999999</v>
      </c>
      <c r="H157" s="83">
        <v>26.083009999999998</v>
      </c>
      <c r="I157" s="83">
        <v>11.049629999999999</v>
      </c>
    </row>
    <row r="158" spans="1:9" x14ac:dyDescent="0.3">
      <c r="A158" s="79" t="s">
        <v>429</v>
      </c>
      <c r="B158" s="83">
        <v>-0.13788999999999998</v>
      </c>
      <c r="C158" s="83">
        <v>-0.16605</v>
      </c>
      <c r="D158" s="83">
        <v>-0.35499000000000003</v>
      </c>
      <c r="E158" s="83">
        <v>-0.61548999999999998</v>
      </c>
      <c r="F158" s="83">
        <v>-0.80107000000000006</v>
      </c>
      <c r="G158" s="83">
        <v>-1.1490199999999999</v>
      </c>
      <c r="H158" s="83">
        <v>-2.4569699999999997</v>
      </c>
      <c r="I158" s="83">
        <v>-1.81901</v>
      </c>
    </row>
    <row r="159" spans="1:9" x14ac:dyDescent="0.3">
      <c r="A159" s="79" t="s">
        <v>428</v>
      </c>
      <c r="B159" s="83">
        <v>-8.4599999999999995E-2</v>
      </c>
      <c r="C159" s="83">
        <v>-7.8530000000000003E-2</v>
      </c>
      <c r="D159" s="83">
        <v>-0.20658000000000001</v>
      </c>
      <c r="E159" s="83">
        <v>-0.42538999999999999</v>
      </c>
      <c r="F159" s="83">
        <v>-0.66734000000000004</v>
      </c>
      <c r="G159" s="83">
        <v>-0.97860999999999998</v>
      </c>
      <c r="H159" s="83">
        <v>-1.177</v>
      </c>
      <c r="I159" s="83">
        <v>-1.12416</v>
      </c>
    </row>
    <row r="160" spans="1:9" x14ac:dyDescent="0.3">
      <c r="A160" s="79" t="s">
        <v>427</v>
      </c>
      <c r="B160" s="83">
        <v>0</v>
      </c>
      <c r="C160" s="83">
        <v>0</v>
      </c>
      <c r="D160" s="83">
        <v>0</v>
      </c>
      <c r="E160" s="83">
        <v>0</v>
      </c>
      <c r="F160" s="83">
        <v>0.92559000000000002</v>
      </c>
      <c r="G160" s="83">
        <v>-0.48701</v>
      </c>
      <c r="H160" s="83">
        <v>-0.96411999999999998</v>
      </c>
      <c r="I160" s="83">
        <v>4.3511199999999999</v>
      </c>
    </row>
    <row r="161" spans="1:9" x14ac:dyDescent="0.3">
      <c r="A161" s="79" t="s">
        <v>426</v>
      </c>
      <c r="B161" s="83">
        <v>0</v>
      </c>
      <c r="C161" s="83">
        <v>0</v>
      </c>
      <c r="D161" s="83">
        <v>0</v>
      </c>
      <c r="E161" s="83">
        <v>0</v>
      </c>
      <c r="F161" s="83">
        <v>0</v>
      </c>
      <c r="G161" s="83">
        <v>0</v>
      </c>
      <c r="H161" s="83">
        <v>0</v>
      </c>
      <c r="I161" s="83">
        <v>0</v>
      </c>
    </row>
    <row r="162" spans="1:9" x14ac:dyDescent="0.3">
      <c r="A162" s="79" t="s">
        <v>425</v>
      </c>
      <c r="B162" s="83">
        <v>0</v>
      </c>
      <c r="C162" s="83">
        <v>0</v>
      </c>
      <c r="D162" s="83">
        <v>0</v>
      </c>
      <c r="E162" s="83">
        <v>0</v>
      </c>
      <c r="F162" s="83">
        <v>0</v>
      </c>
      <c r="G162" s="83">
        <v>0</v>
      </c>
      <c r="H162" s="83">
        <v>0</v>
      </c>
      <c r="I162" s="83">
        <v>0</v>
      </c>
    </row>
    <row r="163" spans="1:9" x14ac:dyDescent="0.3">
      <c r="A163" s="79" t="s">
        <v>424</v>
      </c>
      <c r="B163" s="83">
        <v>13.193209999999999</v>
      </c>
      <c r="C163" s="83">
        <v>8.5307399999999998</v>
      </c>
      <c r="D163" s="83">
        <v>13.983049999999999</v>
      </c>
      <c r="E163" s="83">
        <v>12.861979999999999</v>
      </c>
      <c r="F163" s="83">
        <v>17.43544</v>
      </c>
      <c r="G163" s="83">
        <v>18.307729999999999</v>
      </c>
      <c r="H163" s="83">
        <v>36.85416</v>
      </c>
      <c r="I163" s="83">
        <v>42.923670000000001</v>
      </c>
    </row>
    <row r="164" spans="1:9" x14ac:dyDescent="0.3">
      <c r="A164" s="79" t="s">
        <v>423</v>
      </c>
      <c r="B164" s="83">
        <v>0</v>
      </c>
      <c r="C164" s="83">
        <v>0</v>
      </c>
      <c r="D164" s="83">
        <v>0</v>
      </c>
      <c r="E164" s="83">
        <v>0</v>
      </c>
      <c r="F164" s="83">
        <v>0</v>
      </c>
      <c r="G164" s="83">
        <v>0</v>
      </c>
      <c r="H164" s="83">
        <v>0</v>
      </c>
      <c r="I164" s="83">
        <v>0</v>
      </c>
    </row>
    <row r="165" spans="1:9" x14ac:dyDescent="0.3">
      <c r="A165" s="79" t="s">
        <v>422</v>
      </c>
      <c r="B165" s="83">
        <v>0</v>
      </c>
      <c r="C165" s="83">
        <v>0</v>
      </c>
      <c r="D165" s="83">
        <v>0.31577</v>
      </c>
      <c r="E165" s="83">
        <v>0.28954000000000002</v>
      </c>
      <c r="F165" s="83">
        <v>-0.15578</v>
      </c>
      <c r="G165" s="83">
        <v>0.12676000000000001</v>
      </c>
      <c r="H165" s="83">
        <v>-3.1030000000000002E-2</v>
      </c>
      <c r="I165" s="83">
        <v>0.65280999999999989</v>
      </c>
    </row>
    <row r="166" spans="1:9" x14ac:dyDescent="0.3">
      <c r="A166" s="79" t="s">
        <v>421</v>
      </c>
      <c r="B166" s="83">
        <v>0</v>
      </c>
      <c r="C166" s="83">
        <v>0</v>
      </c>
      <c r="D166" s="83">
        <v>0</v>
      </c>
      <c r="E166" s="83">
        <v>0</v>
      </c>
      <c r="F166" s="83">
        <v>0</v>
      </c>
      <c r="G166" s="83">
        <v>0</v>
      </c>
      <c r="H166" s="83">
        <v>0</v>
      </c>
      <c r="I166" s="83">
        <v>0</v>
      </c>
    </row>
    <row r="167" spans="1:9" x14ac:dyDescent="0.3">
      <c r="A167" s="79" t="s">
        <v>332</v>
      </c>
      <c r="B167" s="83">
        <v>-0.72944000000000009</v>
      </c>
      <c r="C167" s="83">
        <v>-0.72375</v>
      </c>
      <c r="D167" s="83">
        <v>-1.8971900000000002</v>
      </c>
      <c r="E167" s="83">
        <v>-2.49295</v>
      </c>
      <c r="F167" s="83">
        <v>-2.7077600000000004</v>
      </c>
      <c r="G167" s="83">
        <v>-3.2354400000000001</v>
      </c>
      <c r="H167" s="83">
        <v>-4.0148799999999998</v>
      </c>
      <c r="I167" s="83">
        <v>-2.3476900000000001</v>
      </c>
    </row>
    <row r="168" spans="1:9" x14ac:dyDescent="0.3">
      <c r="A168" s="79" t="s">
        <v>420</v>
      </c>
      <c r="B168" s="83">
        <v>0</v>
      </c>
      <c r="C168" s="83">
        <v>0</v>
      </c>
      <c r="D168" s="83">
        <v>0</v>
      </c>
      <c r="E168" s="83">
        <v>0</v>
      </c>
      <c r="F168" s="83">
        <v>0</v>
      </c>
      <c r="G168" s="83">
        <v>0</v>
      </c>
      <c r="H168" s="83">
        <v>0</v>
      </c>
      <c r="I168" s="83">
        <v>0</v>
      </c>
    </row>
    <row r="169" spans="1:9" x14ac:dyDescent="0.3">
      <c r="A169" s="79" t="s">
        <v>419</v>
      </c>
      <c r="B169" s="83">
        <v>-4.7270000000000006E-2</v>
      </c>
      <c r="C169" s="83">
        <v>-5.4670000000000003E-2</v>
      </c>
      <c r="D169" s="83">
        <v>-7.9289999999999999E-2</v>
      </c>
      <c r="E169" s="83">
        <v>-0.18225999999999998</v>
      </c>
      <c r="F169" s="83">
        <v>-0.29468</v>
      </c>
      <c r="G169" s="83">
        <v>-0.47520999999999997</v>
      </c>
      <c r="H169" s="83">
        <v>-1.23397</v>
      </c>
      <c r="I169" s="83">
        <v>-0.85450000000000004</v>
      </c>
    </row>
    <row r="170" spans="1:9" x14ac:dyDescent="0.3">
      <c r="A170" s="79" t="s">
        <v>418</v>
      </c>
      <c r="B170" s="83">
        <v>1.23868</v>
      </c>
      <c r="C170" s="83">
        <v>1.12324</v>
      </c>
      <c r="D170" s="83">
        <v>0.27747000000000005</v>
      </c>
      <c r="E170" s="83">
        <v>-3.7990000000000003E-2</v>
      </c>
      <c r="F170" s="83">
        <v>-0.16403999999999999</v>
      </c>
      <c r="G170" s="83">
        <v>-1.29294</v>
      </c>
      <c r="H170" s="83">
        <v>-1.13218</v>
      </c>
      <c r="I170" s="83">
        <v>7.5950000000000004E-2</v>
      </c>
    </row>
    <row r="171" spans="1:9" x14ac:dyDescent="0.3">
      <c r="A171" s="79" t="s">
        <v>417</v>
      </c>
      <c r="B171" s="83">
        <v>2.8951199999999999</v>
      </c>
      <c r="C171" s="83">
        <v>5.4057399999999998</v>
      </c>
      <c r="D171" s="83">
        <v>2.8860399999999999</v>
      </c>
      <c r="E171" s="83">
        <v>0.52324999999999999</v>
      </c>
      <c r="F171" s="83">
        <v>-0.96801000000000004</v>
      </c>
      <c r="G171" s="83">
        <v>-2.6006499999999999</v>
      </c>
      <c r="H171" s="83">
        <v>-3.0503100000000001</v>
      </c>
      <c r="I171" s="83">
        <v>1.0327299999999999</v>
      </c>
    </row>
    <row r="172" spans="1:9" x14ac:dyDescent="0.3">
      <c r="A172" s="79" t="s">
        <v>416</v>
      </c>
      <c r="B172" s="83">
        <v>0</v>
      </c>
      <c r="C172" s="83">
        <v>0</v>
      </c>
      <c r="D172" s="83">
        <v>0</v>
      </c>
      <c r="E172" s="83">
        <v>0</v>
      </c>
      <c r="F172" s="83">
        <v>0</v>
      </c>
      <c r="G172" s="83">
        <v>0</v>
      </c>
      <c r="H172" s="83">
        <v>0</v>
      </c>
      <c r="I172" s="83">
        <v>0</v>
      </c>
    </row>
    <row r="173" spans="1:9" x14ac:dyDescent="0.3">
      <c r="A173" s="79" t="s">
        <v>415</v>
      </c>
      <c r="B173" s="83">
        <v>2.5794000000000001</v>
      </c>
      <c r="C173" s="83">
        <v>3.9060199999999998</v>
      </c>
      <c r="D173" s="83">
        <v>2.0055100000000001</v>
      </c>
      <c r="E173" s="83">
        <v>2.6453200000000003</v>
      </c>
      <c r="F173" s="83">
        <v>-1.72031</v>
      </c>
      <c r="G173" s="83">
        <v>1.4181199999999998</v>
      </c>
      <c r="H173" s="83">
        <v>4.1223199999999993</v>
      </c>
      <c r="I173" s="83">
        <v>7.8760399999999997</v>
      </c>
    </row>
    <row r="174" spans="1:9" x14ac:dyDescent="0.3">
      <c r="A174" s="79" t="s">
        <v>414</v>
      </c>
      <c r="B174" s="83">
        <v>-0.24768999999999999</v>
      </c>
      <c r="C174" s="83">
        <v>-0.97160000000000002</v>
      </c>
      <c r="D174" s="83">
        <v>-9.8672399999999989</v>
      </c>
      <c r="E174" s="83">
        <v>-7.2010699999999996</v>
      </c>
      <c r="F174" s="83">
        <v>-5.2122299999999999</v>
      </c>
      <c r="G174" s="83">
        <v>-0.77890999999999999</v>
      </c>
      <c r="H174" s="83">
        <v>1.53922</v>
      </c>
      <c r="I174" s="83">
        <v>0.56444000000000005</v>
      </c>
    </row>
    <row r="175" spans="1:9" x14ac:dyDescent="0.3">
      <c r="A175" s="79" t="s">
        <v>413</v>
      </c>
      <c r="B175" s="83">
        <v>0</v>
      </c>
      <c r="C175" s="83">
        <v>0</v>
      </c>
      <c r="D175" s="83">
        <v>0</v>
      </c>
      <c r="E175" s="83">
        <v>0</v>
      </c>
      <c r="F175" s="83">
        <v>0</v>
      </c>
      <c r="G175" s="83">
        <v>0</v>
      </c>
      <c r="H175" s="83">
        <v>0</v>
      </c>
      <c r="I175" s="83">
        <v>0</v>
      </c>
    </row>
    <row r="176" spans="1:9" x14ac:dyDescent="0.3">
      <c r="A176" s="79" t="s">
        <v>412</v>
      </c>
      <c r="B176" s="83">
        <v>0</v>
      </c>
      <c r="C176" s="83">
        <v>0</v>
      </c>
      <c r="D176" s="83">
        <v>0</v>
      </c>
      <c r="E176" s="83">
        <v>0</v>
      </c>
      <c r="F176" s="83">
        <v>0</v>
      </c>
      <c r="G176" s="83">
        <v>0</v>
      </c>
      <c r="H176" s="83">
        <v>0</v>
      </c>
      <c r="I176" s="83">
        <v>0</v>
      </c>
    </row>
    <row r="177" spans="1:9" x14ac:dyDescent="0.3">
      <c r="A177" s="79" t="s">
        <v>411</v>
      </c>
      <c r="B177" s="83">
        <v>-0.41694999999999999</v>
      </c>
      <c r="C177" s="83">
        <v>0.32377999999999996</v>
      </c>
      <c r="D177" s="83">
        <v>0.56496000000000002</v>
      </c>
      <c r="E177" s="83">
        <v>-0.94465999999999994</v>
      </c>
      <c r="F177" s="83">
        <v>-1.0851099999999998</v>
      </c>
      <c r="G177" s="83">
        <v>-0.82045000000000001</v>
      </c>
      <c r="H177" s="83">
        <v>-1.5201600000000002</v>
      </c>
      <c r="I177" s="83">
        <v>-1.0318399999999999</v>
      </c>
    </row>
    <row r="178" spans="1:9" x14ac:dyDescent="0.3">
      <c r="A178" s="79" t="s">
        <v>410</v>
      </c>
      <c r="B178" s="83">
        <v>8.1874500000000001</v>
      </c>
      <c r="C178" s="83">
        <v>11.29064</v>
      </c>
      <c r="D178" s="83">
        <v>11.77453</v>
      </c>
      <c r="E178" s="83">
        <v>11.381170000000001</v>
      </c>
      <c r="F178" s="83">
        <v>13.69</v>
      </c>
      <c r="G178" s="83">
        <v>12.690440000000001</v>
      </c>
      <c r="H178" s="83">
        <v>17.307539999999999</v>
      </c>
      <c r="I178" s="83">
        <v>3.56799</v>
      </c>
    </row>
    <row r="179" spans="1:9" x14ac:dyDescent="0.3">
      <c r="A179" s="79" t="s">
        <v>409</v>
      </c>
      <c r="B179" s="83">
        <v>-6.3159999999999994E-2</v>
      </c>
      <c r="C179" s="83">
        <v>-7.2090000000000001E-2</v>
      </c>
      <c r="D179" s="83">
        <v>-0.13586000000000001</v>
      </c>
      <c r="E179" s="83">
        <v>-0.27850000000000003</v>
      </c>
      <c r="F179" s="83">
        <v>-0.46714</v>
      </c>
      <c r="G179" s="83">
        <v>-0.69345000000000001</v>
      </c>
      <c r="H179" s="83">
        <v>-1.71821</v>
      </c>
      <c r="I179" s="83">
        <v>-1.2808900000000001</v>
      </c>
    </row>
    <row r="180" spans="1:9" x14ac:dyDescent="0.3">
      <c r="A180" s="79" t="s">
        <v>408</v>
      </c>
      <c r="B180" s="83">
        <v>0</v>
      </c>
      <c r="C180" s="83">
        <v>0</v>
      </c>
      <c r="D180" s="83">
        <v>0</v>
      </c>
      <c r="E180" s="83">
        <v>0</v>
      </c>
      <c r="F180" s="83">
        <v>0</v>
      </c>
      <c r="G180" s="83">
        <v>0</v>
      </c>
      <c r="H180" s="83">
        <v>0</v>
      </c>
      <c r="I180" s="83">
        <v>0</v>
      </c>
    </row>
    <row r="181" spans="1:9" x14ac:dyDescent="0.3">
      <c r="A181" s="79" t="s">
        <v>407</v>
      </c>
      <c r="B181" s="83">
        <v>0</v>
      </c>
      <c r="C181" s="83">
        <v>0</v>
      </c>
      <c r="D181" s="83">
        <v>0</v>
      </c>
      <c r="E181" s="83">
        <v>0</v>
      </c>
      <c r="F181" s="83">
        <v>0</v>
      </c>
      <c r="G181" s="83">
        <v>0</v>
      </c>
      <c r="H181" s="83">
        <v>0</v>
      </c>
      <c r="I181" s="83">
        <v>0</v>
      </c>
    </row>
    <row r="182" spans="1:9" x14ac:dyDescent="0.3">
      <c r="A182" s="79" t="s">
        <v>406</v>
      </c>
      <c r="B182" s="83">
        <v>0</v>
      </c>
      <c r="C182" s="83">
        <v>0</v>
      </c>
      <c r="D182" s="83">
        <v>0</v>
      </c>
      <c r="E182" s="83">
        <v>0</v>
      </c>
      <c r="F182" s="83">
        <v>0</v>
      </c>
      <c r="G182" s="83">
        <v>0</v>
      </c>
      <c r="H182" s="83">
        <v>0</v>
      </c>
      <c r="I182" s="83">
        <v>0</v>
      </c>
    </row>
    <row r="183" spans="1:9" x14ac:dyDescent="0.3">
      <c r="A183" s="79" t="s">
        <v>405</v>
      </c>
      <c r="B183" s="83">
        <v>0</v>
      </c>
      <c r="C183" s="83">
        <v>0</v>
      </c>
      <c r="D183" s="83">
        <v>0</v>
      </c>
      <c r="E183" s="83">
        <v>0</v>
      </c>
      <c r="F183" s="83">
        <v>0</v>
      </c>
      <c r="G183" s="83">
        <v>0</v>
      </c>
      <c r="H183" s="83">
        <v>0</v>
      </c>
      <c r="I183" s="83">
        <v>0</v>
      </c>
    </row>
    <row r="184" spans="1:9" x14ac:dyDescent="0.3">
      <c r="A184" s="79" t="s">
        <v>404</v>
      </c>
      <c r="B184" s="83">
        <v>-9.8049999999999998E-2</v>
      </c>
      <c r="C184" s="83">
        <v>-9.3159999999999993E-2</v>
      </c>
      <c r="D184" s="83">
        <v>-0.17377999999999999</v>
      </c>
      <c r="E184" s="83">
        <v>-0.28572000000000003</v>
      </c>
      <c r="F184" s="83">
        <v>-0.34675</v>
      </c>
      <c r="G184" s="83">
        <v>-0.39162999999999998</v>
      </c>
      <c r="H184" s="83">
        <v>-0.80741999999999992</v>
      </c>
      <c r="I184" s="83">
        <v>-0.51395000000000002</v>
      </c>
    </row>
    <row r="185" spans="1:9" x14ac:dyDescent="0.3">
      <c r="A185" s="79" t="s">
        <v>403</v>
      </c>
      <c r="B185" s="83">
        <v>0</v>
      </c>
      <c r="C185" s="83">
        <v>0</v>
      </c>
      <c r="D185" s="83">
        <v>0</v>
      </c>
      <c r="E185" s="83">
        <v>0</v>
      </c>
      <c r="F185" s="83">
        <v>0</v>
      </c>
      <c r="G185" s="83">
        <v>0</v>
      </c>
      <c r="H185" s="83">
        <v>0</v>
      </c>
      <c r="I185" s="83">
        <v>-3.36809</v>
      </c>
    </row>
    <row r="186" spans="1:9" x14ac:dyDescent="0.3">
      <c r="A186" s="79" t="s">
        <v>402</v>
      </c>
      <c r="B186" s="83">
        <v>0</v>
      </c>
      <c r="C186" s="83">
        <v>0</v>
      </c>
      <c r="D186" s="83">
        <v>0</v>
      </c>
      <c r="E186" s="83">
        <v>0</v>
      </c>
      <c r="F186" s="83">
        <v>0</v>
      </c>
      <c r="G186" s="83">
        <v>0</v>
      </c>
      <c r="H186" s="83">
        <v>0</v>
      </c>
      <c r="I186" s="83">
        <v>0</v>
      </c>
    </row>
    <row r="187" spans="1:9" x14ac:dyDescent="0.3">
      <c r="A187" s="79" t="s">
        <v>401</v>
      </c>
      <c r="B187" s="83">
        <v>0</v>
      </c>
      <c r="C187" s="83">
        <v>0</v>
      </c>
      <c r="D187" s="83">
        <v>0</v>
      </c>
      <c r="E187" s="83">
        <v>0</v>
      </c>
      <c r="F187" s="83">
        <v>0</v>
      </c>
      <c r="G187" s="83">
        <v>0</v>
      </c>
      <c r="H187" s="83">
        <v>0</v>
      </c>
      <c r="I187" s="83">
        <v>-2.4063600000000003</v>
      </c>
    </row>
    <row r="188" spans="1:9" x14ac:dyDescent="0.3">
      <c r="A188" s="79" t="s">
        <v>329</v>
      </c>
      <c r="B188" s="83">
        <v>-3.6740900000000001</v>
      </c>
      <c r="C188" s="83">
        <v>-0.70363999999999993</v>
      </c>
      <c r="D188" s="83">
        <v>-2.5857299999999999</v>
      </c>
      <c r="E188" s="83">
        <v>-3.8308400000000002</v>
      </c>
      <c r="F188" s="83">
        <v>-4.4701199999999996</v>
      </c>
      <c r="G188" s="83">
        <v>-5.1405699999999994</v>
      </c>
      <c r="H188" s="83">
        <v>-6.1835299999999993</v>
      </c>
      <c r="I188" s="83">
        <v>-6.1340500000000002</v>
      </c>
    </row>
    <row r="189" spans="1:9" x14ac:dyDescent="0.3">
      <c r="A189" s="79" t="s">
        <v>400</v>
      </c>
      <c r="B189" s="83">
        <v>0.27938000000000002</v>
      </c>
      <c r="C189" s="83">
        <v>-0.31091000000000002</v>
      </c>
      <c r="D189" s="83">
        <v>-0.62972000000000006</v>
      </c>
      <c r="E189" s="83">
        <v>-0.18274000000000001</v>
      </c>
      <c r="F189" s="83">
        <v>-1.7802799999999999</v>
      </c>
      <c r="G189" s="83">
        <v>0.41093999999999997</v>
      </c>
      <c r="H189" s="83">
        <v>-5.3102099999999997</v>
      </c>
      <c r="I189" s="83">
        <v>-9.1682999999999986</v>
      </c>
    </row>
    <row r="190" spans="1:9" x14ac:dyDescent="0.3">
      <c r="A190" s="79" t="s">
        <v>399</v>
      </c>
      <c r="B190" s="83">
        <v>-0.38224999999999998</v>
      </c>
      <c r="C190" s="83">
        <v>-0.90866000000000002</v>
      </c>
      <c r="D190" s="83">
        <v>-1.0624</v>
      </c>
      <c r="E190" s="83">
        <v>-0.50702999999999998</v>
      </c>
      <c r="F190" s="83">
        <v>-2.8627399999999996</v>
      </c>
      <c r="G190" s="83">
        <v>-1.62514</v>
      </c>
      <c r="H190" s="83">
        <v>-1.6456999999999999</v>
      </c>
      <c r="I190" s="83">
        <v>-0.85175999999999996</v>
      </c>
    </row>
    <row r="191" spans="1:9" x14ac:dyDescent="0.3">
      <c r="A191" s="79" t="s">
        <v>398</v>
      </c>
      <c r="B191" s="83">
        <v>0</v>
      </c>
      <c r="C191" s="83">
        <v>0</v>
      </c>
      <c r="D191" s="83">
        <v>0</v>
      </c>
      <c r="E191" s="83">
        <v>0</v>
      </c>
      <c r="F191" s="83">
        <v>0</v>
      </c>
      <c r="G191" s="83">
        <v>0</v>
      </c>
      <c r="H191" s="83">
        <v>0</v>
      </c>
      <c r="I191" s="83">
        <v>0</v>
      </c>
    </row>
    <row r="192" spans="1:9" x14ac:dyDescent="0.3">
      <c r="A192" s="79" t="s">
        <v>397</v>
      </c>
      <c r="B192" s="83">
        <v>0</v>
      </c>
      <c r="C192" s="83">
        <v>0</v>
      </c>
      <c r="D192" s="83">
        <v>0</v>
      </c>
      <c r="E192" s="83">
        <v>0</v>
      </c>
      <c r="F192" s="83">
        <v>0</v>
      </c>
      <c r="G192" s="83">
        <v>0</v>
      </c>
      <c r="H192" s="83">
        <v>0</v>
      </c>
      <c r="I192" s="83">
        <v>0</v>
      </c>
    </row>
    <row r="193" spans="1:9" x14ac:dyDescent="0.3">
      <c r="A193" s="79" t="s">
        <v>396</v>
      </c>
      <c r="B193" s="83">
        <v>-6.2732999999999999</v>
      </c>
      <c r="C193" s="83">
        <v>2.53607</v>
      </c>
      <c r="D193" s="83">
        <v>-0.73360000000000003</v>
      </c>
      <c r="E193" s="83">
        <v>-1.7127300000000001</v>
      </c>
      <c r="F193" s="83">
        <v>-1.5339100000000001</v>
      </c>
      <c r="G193" s="83">
        <v>-1.5525499999999999</v>
      </c>
      <c r="H193" s="83">
        <v>-0.21424000000000001</v>
      </c>
      <c r="I193" s="83">
        <v>-2.9330400000000001</v>
      </c>
    </row>
    <row r="194" spans="1:9" x14ac:dyDescent="0.3">
      <c r="A194" s="79" t="s">
        <v>395</v>
      </c>
      <c r="B194" s="83">
        <v>-5.2651599999999998</v>
      </c>
      <c r="C194" s="83">
        <v>0.28255999999999998</v>
      </c>
      <c r="D194" s="83">
        <v>-5.3383799999999999</v>
      </c>
      <c r="E194" s="83">
        <v>13.991879999999998</v>
      </c>
      <c r="F194" s="83">
        <v>11.179309999999999</v>
      </c>
      <c r="G194" s="83">
        <v>59.546250000000001</v>
      </c>
      <c r="H194" s="83">
        <v>95.522000000000006</v>
      </c>
      <c r="I194" s="83">
        <v>94.996750000000006</v>
      </c>
    </row>
    <row r="195" spans="1:9" x14ac:dyDescent="0.3">
      <c r="A195" s="79" t="s">
        <v>394</v>
      </c>
      <c r="B195" s="83">
        <v>0</v>
      </c>
      <c r="C195" s="83">
        <v>0</v>
      </c>
      <c r="D195" s="83">
        <v>0</v>
      </c>
      <c r="E195" s="83">
        <v>0</v>
      </c>
      <c r="F195" s="83">
        <v>0</v>
      </c>
      <c r="G195" s="83">
        <v>0</v>
      </c>
      <c r="H195" s="83">
        <v>0</v>
      </c>
      <c r="I195" s="83">
        <v>0</v>
      </c>
    </row>
    <row r="196" spans="1:9" x14ac:dyDescent="0.3">
      <c r="A196" s="79" t="s">
        <v>393</v>
      </c>
      <c r="B196" s="83">
        <v>0</v>
      </c>
      <c r="C196" s="83">
        <v>0</v>
      </c>
      <c r="D196" s="83">
        <v>0</v>
      </c>
      <c r="E196" s="83">
        <v>0</v>
      </c>
      <c r="F196" s="83">
        <v>0</v>
      </c>
      <c r="G196" s="83">
        <v>0</v>
      </c>
      <c r="H196" s="83">
        <v>0</v>
      </c>
      <c r="I196" s="83">
        <v>0</v>
      </c>
    </row>
    <row r="197" spans="1:9" x14ac:dyDescent="0.3">
      <c r="A197" s="79" t="s">
        <v>392</v>
      </c>
      <c r="B197" s="83">
        <v>0</v>
      </c>
      <c r="C197" s="83">
        <v>0</v>
      </c>
      <c r="D197" s="83">
        <v>0</v>
      </c>
      <c r="E197" s="83">
        <v>0</v>
      </c>
      <c r="F197" s="83">
        <v>0</v>
      </c>
      <c r="G197" s="83">
        <v>0</v>
      </c>
      <c r="H197" s="83">
        <v>0</v>
      </c>
      <c r="I197" s="83">
        <v>0</v>
      </c>
    </row>
    <row r="198" spans="1:9" x14ac:dyDescent="0.3">
      <c r="A198" s="79" t="s">
        <v>391</v>
      </c>
      <c r="B198" s="83">
        <v>0</v>
      </c>
      <c r="C198" s="83">
        <v>0</v>
      </c>
      <c r="D198" s="83">
        <v>0</v>
      </c>
      <c r="E198" s="83">
        <v>0</v>
      </c>
      <c r="F198" s="83">
        <v>0</v>
      </c>
      <c r="G198" s="83">
        <v>0</v>
      </c>
      <c r="H198" s="83">
        <v>0</v>
      </c>
      <c r="I198" s="83">
        <v>0</v>
      </c>
    </row>
    <row r="199" spans="1:9" x14ac:dyDescent="0.3">
      <c r="A199" s="79" t="s">
        <v>390</v>
      </c>
      <c r="B199" s="83">
        <v>0</v>
      </c>
      <c r="C199" s="83">
        <v>0</v>
      </c>
      <c r="D199" s="83">
        <v>0</v>
      </c>
      <c r="E199" s="83">
        <v>0</v>
      </c>
      <c r="F199" s="83">
        <v>0</v>
      </c>
      <c r="G199" s="83">
        <v>0</v>
      </c>
      <c r="H199" s="83">
        <v>0</v>
      </c>
      <c r="I199" s="83">
        <v>0</v>
      </c>
    </row>
    <row r="200" spans="1:9" x14ac:dyDescent="0.3">
      <c r="A200" s="79" t="s">
        <v>389</v>
      </c>
      <c r="B200" s="83">
        <v>0</v>
      </c>
      <c r="C200" s="83">
        <v>0</v>
      </c>
      <c r="D200" s="83">
        <v>0</v>
      </c>
      <c r="E200" s="83">
        <v>0</v>
      </c>
      <c r="F200" s="83">
        <v>0</v>
      </c>
      <c r="G200" s="83">
        <v>0</v>
      </c>
      <c r="H200" s="83">
        <v>0</v>
      </c>
      <c r="I200" s="83">
        <v>0</v>
      </c>
    </row>
    <row r="201" spans="1:9" x14ac:dyDescent="0.3">
      <c r="A201" s="79" t="s">
        <v>388</v>
      </c>
      <c r="B201" s="83">
        <v>0</v>
      </c>
      <c r="C201" s="83">
        <v>0</v>
      </c>
      <c r="D201" s="83">
        <v>-0.16850000000000001</v>
      </c>
      <c r="E201" s="83">
        <v>-0.44714999999999999</v>
      </c>
      <c r="F201" s="83">
        <v>-0.77590999999999999</v>
      </c>
      <c r="G201" s="83">
        <v>-0.75014999999999998</v>
      </c>
      <c r="H201" s="83">
        <v>-1.16011</v>
      </c>
      <c r="I201" s="83">
        <v>-2.3868299999999998</v>
      </c>
    </row>
    <row r="202" spans="1:9" x14ac:dyDescent="0.3">
      <c r="A202" s="79" t="s">
        <v>387</v>
      </c>
      <c r="B202" s="83">
        <v>0</v>
      </c>
      <c r="C202" s="83">
        <v>0</v>
      </c>
      <c r="D202" s="83">
        <v>0</v>
      </c>
      <c r="E202" s="83">
        <v>0</v>
      </c>
      <c r="F202" s="83">
        <v>0</v>
      </c>
      <c r="G202" s="83">
        <v>0</v>
      </c>
      <c r="H202" s="83">
        <v>0</v>
      </c>
      <c r="I202" s="83">
        <v>0</v>
      </c>
    </row>
    <row r="203" spans="1:9" x14ac:dyDescent="0.3">
      <c r="A203" s="79" t="s">
        <v>386</v>
      </c>
      <c r="B203" s="83">
        <v>-8.1540000000000001E-2</v>
      </c>
      <c r="C203" s="83">
        <v>-7.934999999999999E-2</v>
      </c>
      <c r="D203" s="83">
        <v>-1.39011</v>
      </c>
      <c r="E203" s="83">
        <v>-0.29047000000000001</v>
      </c>
      <c r="F203" s="83">
        <v>-0.50312000000000001</v>
      </c>
      <c r="G203" s="83">
        <v>-0.74509000000000003</v>
      </c>
      <c r="H203" s="83">
        <v>-2.3238699999999999</v>
      </c>
      <c r="I203" s="83">
        <v>-1.6347400000000001</v>
      </c>
    </row>
    <row r="204" spans="1:9" x14ac:dyDescent="0.3">
      <c r="A204" s="79" t="s">
        <v>385</v>
      </c>
      <c r="B204" s="83">
        <v>26.65324</v>
      </c>
      <c r="C204" s="83">
        <v>13.73898</v>
      </c>
      <c r="D204" s="83">
        <v>18.752380000000002</v>
      </c>
      <c r="E204" s="83">
        <v>17.019089999999998</v>
      </c>
      <c r="F204" s="83">
        <v>11.79931</v>
      </c>
      <c r="G204" s="83">
        <v>12.86322</v>
      </c>
      <c r="H204" s="83">
        <v>8.5493100000000002</v>
      </c>
      <c r="I204" s="83">
        <v>10.518840000000001</v>
      </c>
    </row>
    <row r="205" spans="1:9" x14ac:dyDescent="0.3">
      <c r="A205" s="79" t="s">
        <v>346</v>
      </c>
      <c r="B205" s="83">
        <v>9.0764200000000006</v>
      </c>
      <c r="C205" s="83">
        <v>6.4502499999999996</v>
      </c>
      <c r="D205" s="83">
        <v>14.55692</v>
      </c>
      <c r="E205" s="83">
        <v>24.569610000000001</v>
      </c>
      <c r="F205" s="83">
        <v>19.177610000000001</v>
      </c>
      <c r="G205" s="83">
        <v>24.862970000000001</v>
      </c>
      <c r="H205" s="83">
        <v>8.2916000000000007</v>
      </c>
      <c r="I205" s="83">
        <v>4.0100699999999998</v>
      </c>
    </row>
    <row r="206" spans="1:9" x14ac:dyDescent="0.3">
      <c r="A206" s="79" t="s">
        <v>384</v>
      </c>
      <c r="B206" s="83">
        <v>0</v>
      </c>
      <c r="C206" s="83">
        <v>0</v>
      </c>
      <c r="D206" s="83">
        <v>0</v>
      </c>
      <c r="E206" s="83">
        <v>0</v>
      </c>
      <c r="F206" s="83">
        <v>0</v>
      </c>
      <c r="G206" s="83">
        <v>0</v>
      </c>
      <c r="H206" s="83">
        <v>0</v>
      </c>
      <c r="I206" s="83">
        <v>0</v>
      </c>
    </row>
    <row r="207" spans="1:9" x14ac:dyDescent="0.3">
      <c r="A207" s="79" t="s">
        <v>383</v>
      </c>
      <c r="B207" s="83">
        <v>0</v>
      </c>
      <c r="C207" s="83">
        <v>0</v>
      </c>
      <c r="D207" s="83">
        <v>0</v>
      </c>
      <c r="E207" s="83">
        <v>0</v>
      </c>
      <c r="F207" s="83">
        <v>0</v>
      </c>
      <c r="G207" s="83">
        <v>0</v>
      </c>
      <c r="H207" s="83">
        <v>0</v>
      </c>
      <c r="I207" s="83">
        <v>0</v>
      </c>
    </row>
    <row r="208" spans="1:9" x14ac:dyDescent="0.3">
      <c r="A208" s="79" t="s">
        <v>382</v>
      </c>
      <c r="B208" s="83">
        <v>2.1438099999999998</v>
      </c>
      <c r="C208" s="83">
        <v>3.3532700000000002</v>
      </c>
      <c r="D208" s="83">
        <v>6.9333800000000005</v>
      </c>
      <c r="E208" s="83">
        <v>5.6859799999999998</v>
      </c>
      <c r="F208" s="83">
        <v>-0.88585000000000003</v>
      </c>
      <c r="G208" s="83">
        <v>-1.5509200000000001</v>
      </c>
      <c r="H208" s="83">
        <v>-0.99021000000000003</v>
      </c>
      <c r="I208" s="83">
        <v>0.18984000000000001</v>
      </c>
    </row>
    <row r="209" spans="1:9" x14ac:dyDescent="0.3">
      <c r="A209" s="79" t="s">
        <v>381</v>
      </c>
      <c r="B209" s="83">
        <v>0</v>
      </c>
      <c r="C209" s="83">
        <v>0</v>
      </c>
      <c r="D209" s="83">
        <v>0</v>
      </c>
      <c r="E209" s="83">
        <v>0</v>
      </c>
      <c r="F209" s="83">
        <v>0</v>
      </c>
      <c r="G209" s="83">
        <v>0</v>
      </c>
      <c r="H209" s="83">
        <v>0</v>
      </c>
      <c r="I209" s="83">
        <v>0</v>
      </c>
    </row>
    <row r="210" spans="1:9" x14ac:dyDescent="0.3">
      <c r="A210" s="79" t="s">
        <v>380</v>
      </c>
      <c r="B210" s="83">
        <v>-0.10643000000000001</v>
      </c>
      <c r="C210" s="83">
        <v>-0.10231</v>
      </c>
      <c r="D210" s="83">
        <v>-0.18375</v>
      </c>
      <c r="E210" s="83">
        <v>-0.36468</v>
      </c>
      <c r="F210" s="83">
        <v>-0.61441999999999997</v>
      </c>
      <c r="G210" s="83">
        <v>-0.58209</v>
      </c>
      <c r="H210" s="83">
        <v>-0.85996000000000006</v>
      </c>
      <c r="I210" s="83">
        <v>-0.54169</v>
      </c>
    </row>
    <row r="211" spans="1:9" x14ac:dyDescent="0.3">
      <c r="A211" s="79" t="s">
        <v>379</v>
      </c>
      <c r="B211" s="83">
        <v>2.3404799999999999</v>
      </c>
      <c r="C211" s="83">
        <v>1.7657700000000001</v>
      </c>
      <c r="D211" s="83">
        <v>-1.2357799999999999</v>
      </c>
      <c r="E211" s="83">
        <v>-0.93844000000000005</v>
      </c>
      <c r="F211" s="83">
        <v>-0.55274000000000001</v>
      </c>
      <c r="G211" s="83">
        <v>-1.5906099999999999</v>
      </c>
      <c r="H211" s="83">
        <v>0.94286999999999999</v>
      </c>
      <c r="I211" s="83">
        <v>1.9873800000000001</v>
      </c>
    </row>
    <row r="212" spans="1:9" x14ac:dyDescent="0.3">
      <c r="A212" s="79" t="s">
        <v>378</v>
      </c>
      <c r="B212" s="83">
        <v>0</v>
      </c>
      <c r="C212" s="83">
        <v>0</v>
      </c>
      <c r="D212" s="83">
        <v>0</v>
      </c>
      <c r="E212" s="83">
        <v>0</v>
      </c>
      <c r="F212" s="83">
        <v>0</v>
      </c>
      <c r="G212" s="83">
        <v>0</v>
      </c>
      <c r="H212" s="83">
        <v>0</v>
      </c>
      <c r="I212" s="83">
        <v>0</v>
      </c>
    </row>
    <row r="213" spans="1:9" x14ac:dyDescent="0.3">
      <c r="A213" s="79" t="s">
        <v>377</v>
      </c>
      <c r="B213" s="83">
        <v>-6.1039999999999997E-2</v>
      </c>
      <c r="C213" s="83">
        <v>-5.4640000000000001E-2</v>
      </c>
      <c r="D213" s="83">
        <v>-0.14162</v>
      </c>
      <c r="E213" s="83">
        <v>-0.33574999999999999</v>
      </c>
      <c r="F213" s="83">
        <v>-0.52209000000000005</v>
      </c>
      <c r="G213" s="83">
        <v>-0.74002000000000001</v>
      </c>
      <c r="H213" s="83">
        <v>-1.8686099999999999</v>
      </c>
      <c r="I213" s="83">
        <v>-1.3889800000000001</v>
      </c>
    </row>
    <row r="214" spans="1:9" x14ac:dyDescent="0.3">
      <c r="A214" s="79" t="s">
        <v>376</v>
      </c>
      <c r="B214" s="83">
        <v>0</v>
      </c>
      <c r="C214" s="83">
        <v>0</v>
      </c>
      <c r="D214" s="83">
        <v>0</v>
      </c>
      <c r="E214" s="83">
        <v>0</v>
      </c>
      <c r="F214" s="83">
        <v>0</v>
      </c>
      <c r="G214" s="83">
        <v>0</v>
      </c>
      <c r="H214" s="83">
        <v>0</v>
      </c>
      <c r="I214" s="83">
        <v>0</v>
      </c>
    </row>
    <row r="215" spans="1:9" x14ac:dyDescent="0.3">
      <c r="A215" s="79" t="s">
        <v>375</v>
      </c>
      <c r="B215" s="83">
        <v>0</v>
      </c>
      <c r="C215" s="83">
        <v>0</v>
      </c>
      <c r="D215" s="83">
        <v>0</v>
      </c>
      <c r="E215" s="83">
        <v>0</v>
      </c>
      <c r="F215" s="83">
        <v>0</v>
      </c>
      <c r="G215" s="83">
        <v>0</v>
      </c>
      <c r="H215" s="83">
        <v>0</v>
      </c>
      <c r="I215" s="83">
        <v>0</v>
      </c>
    </row>
    <row r="216" spans="1:9" x14ac:dyDescent="0.3">
      <c r="A216" s="79" t="s">
        <v>374</v>
      </c>
      <c r="B216" s="83">
        <v>0</v>
      </c>
      <c r="C216" s="83">
        <v>0</v>
      </c>
      <c r="D216" s="83">
        <v>0</v>
      </c>
      <c r="E216" s="83">
        <v>0</v>
      </c>
      <c r="F216" s="83">
        <v>0</v>
      </c>
      <c r="G216" s="83">
        <v>0</v>
      </c>
      <c r="H216" s="83">
        <v>0</v>
      </c>
      <c r="I216" s="83">
        <v>0</v>
      </c>
    </row>
    <row r="217" spans="1:9" x14ac:dyDescent="0.3">
      <c r="A217" s="79" t="s">
        <v>373</v>
      </c>
      <c r="B217" s="83">
        <v>-0.63536999999999999</v>
      </c>
      <c r="C217" s="83">
        <v>-0.60745000000000005</v>
      </c>
      <c r="D217" s="83">
        <v>-0.68010000000000004</v>
      </c>
      <c r="E217" s="83">
        <v>-0.93629999999999991</v>
      </c>
      <c r="F217" s="83">
        <v>-1.0383499999999999</v>
      </c>
      <c r="G217" s="83">
        <v>-1.1423099999999999</v>
      </c>
      <c r="H217" s="83">
        <v>-4.8335499999999998</v>
      </c>
      <c r="I217" s="83">
        <v>-6.29481</v>
      </c>
    </row>
    <row r="218" spans="1:9" x14ac:dyDescent="0.3">
      <c r="A218" s="79" t="s">
        <v>372</v>
      </c>
      <c r="B218" s="83">
        <v>-0.19143000000000002</v>
      </c>
      <c r="C218" s="83">
        <v>6.8402399999999997</v>
      </c>
      <c r="D218" s="83">
        <v>2.9797099999999999</v>
      </c>
      <c r="E218" s="83">
        <v>5.2539700000000007</v>
      </c>
      <c r="F218" s="83">
        <v>10.67595</v>
      </c>
      <c r="G218" s="83">
        <v>2.5068200000000003</v>
      </c>
      <c r="H218" s="83">
        <v>8.7829800000000002</v>
      </c>
      <c r="I218" s="83">
        <v>1.6609500000000001</v>
      </c>
    </row>
    <row r="219" spans="1:9" x14ac:dyDescent="0.3">
      <c r="A219" s="79" t="s">
        <v>371</v>
      </c>
      <c r="B219" s="83">
        <v>0</v>
      </c>
      <c r="C219" s="83">
        <v>0</v>
      </c>
      <c r="D219" s="83">
        <v>0</v>
      </c>
      <c r="E219" s="83">
        <v>0</v>
      </c>
      <c r="F219" s="83">
        <v>0</v>
      </c>
      <c r="G219" s="83">
        <v>0</v>
      </c>
      <c r="H219" s="83">
        <v>0</v>
      </c>
      <c r="I219" s="83">
        <v>0</v>
      </c>
    </row>
    <row r="220" spans="1:9" x14ac:dyDescent="0.3">
      <c r="A220" s="79" t="s">
        <v>370</v>
      </c>
      <c r="B220" s="83">
        <v>0</v>
      </c>
      <c r="C220" s="83">
        <v>0</v>
      </c>
      <c r="D220" s="83">
        <v>0</v>
      </c>
      <c r="E220" s="83">
        <v>0</v>
      </c>
      <c r="F220" s="83">
        <v>0</v>
      </c>
      <c r="G220" s="83">
        <v>0</v>
      </c>
      <c r="H220" s="83">
        <v>0</v>
      </c>
      <c r="I220" s="83">
        <v>0</v>
      </c>
    </row>
    <row r="221" spans="1:9" x14ac:dyDescent="0.3">
      <c r="A221" s="79" t="s">
        <v>369</v>
      </c>
      <c r="B221" s="83">
        <v>0</v>
      </c>
      <c r="C221" s="83">
        <v>0</v>
      </c>
      <c r="D221" s="83">
        <v>0</v>
      </c>
      <c r="E221" s="83">
        <v>0</v>
      </c>
      <c r="F221" s="83">
        <v>0</v>
      </c>
      <c r="G221" s="83">
        <v>0</v>
      </c>
      <c r="H221" s="83">
        <v>0</v>
      </c>
      <c r="I221" s="83">
        <v>0</v>
      </c>
    </row>
    <row r="222" spans="1:9" x14ac:dyDescent="0.3">
      <c r="A222" s="79" t="s">
        <v>368</v>
      </c>
      <c r="B222" s="83">
        <v>-0.11353000000000001</v>
      </c>
      <c r="C222" s="83">
        <v>-0.10804999999999999</v>
      </c>
      <c r="D222" s="83">
        <v>-0.12784000000000001</v>
      </c>
      <c r="E222" s="83">
        <v>-0.26888000000000001</v>
      </c>
      <c r="F222" s="83">
        <v>-0.67047999999999996</v>
      </c>
      <c r="G222" s="83">
        <v>-0.96084000000000003</v>
      </c>
      <c r="H222" s="83">
        <v>-0.87639999999999996</v>
      </c>
      <c r="I222" s="83">
        <v>-0.76751000000000003</v>
      </c>
    </row>
    <row r="223" spans="1:9" x14ac:dyDescent="0.3">
      <c r="A223" s="79" t="s">
        <v>367</v>
      </c>
      <c r="B223" s="83">
        <v>7.9019999999999993E-2</v>
      </c>
      <c r="C223" s="83">
        <v>0.48851999999999995</v>
      </c>
      <c r="D223" s="83">
        <v>0.32083999999999996</v>
      </c>
      <c r="E223" s="83">
        <v>1.2724200000000001</v>
      </c>
      <c r="F223" s="83">
        <v>1.2907200000000001</v>
      </c>
      <c r="G223" s="83">
        <v>1.00359</v>
      </c>
      <c r="H223" s="83">
        <v>5.3539200000000005</v>
      </c>
      <c r="I223" s="83">
        <v>8.3997000000000011</v>
      </c>
    </row>
    <row r="224" spans="1:9" x14ac:dyDescent="0.3">
      <c r="A224" s="79" t="s">
        <v>366</v>
      </c>
      <c r="B224" s="83">
        <v>0</v>
      </c>
      <c r="C224" s="83">
        <v>0</v>
      </c>
      <c r="D224" s="83">
        <v>0</v>
      </c>
      <c r="E224" s="83">
        <v>0</v>
      </c>
      <c r="F224" s="83">
        <v>0</v>
      </c>
      <c r="G224" s="83">
        <v>0</v>
      </c>
      <c r="H224" s="83">
        <v>0</v>
      </c>
      <c r="I224" s="83">
        <v>0</v>
      </c>
    </row>
    <row r="225" spans="1:9" x14ac:dyDescent="0.3">
      <c r="A225" s="79" t="s">
        <v>330</v>
      </c>
      <c r="B225" s="83">
        <v>13.092499999999999</v>
      </c>
      <c r="C225" s="83">
        <v>23.78462</v>
      </c>
      <c r="D225" s="83">
        <v>8.1631199999999993</v>
      </c>
      <c r="E225" s="83">
        <v>-21.140499999999999</v>
      </c>
      <c r="F225" s="83">
        <v>71.610500000000002</v>
      </c>
      <c r="G225" s="83">
        <v>3.98475</v>
      </c>
      <c r="H225" s="83">
        <v>38.1755</v>
      </c>
      <c r="I225" s="83">
        <v>11.35075</v>
      </c>
    </row>
    <row r="226" spans="1:9" x14ac:dyDescent="0.3">
      <c r="A226" s="79" t="s">
        <v>341</v>
      </c>
      <c r="B226" s="83">
        <v>97.972499999999997</v>
      </c>
      <c r="C226" s="83">
        <v>102.89575000000001</v>
      </c>
      <c r="D226" s="83">
        <v>154.31100000000001</v>
      </c>
      <c r="E226" s="83">
        <v>157.41499999999999</v>
      </c>
      <c r="F226" s="83">
        <v>212.67449999999999</v>
      </c>
      <c r="G226" s="83">
        <v>167.51499999999999</v>
      </c>
      <c r="H226" s="83">
        <v>72.108000000000004</v>
      </c>
      <c r="I226" s="83">
        <v>32.825000000000003</v>
      </c>
    </row>
    <row r="227" spans="1:9" x14ac:dyDescent="0.3">
      <c r="A227" s="79" t="s">
        <v>365</v>
      </c>
      <c r="B227" s="83">
        <v>0</v>
      </c>
      <c r="C227" s="83">
        <v>0</v>
      </c>
      <c r="D227" s="83">
        <v>0</v>
      </c>
      <c r="E227" s="83">
        <v>0</v>
      </c>
      <c r="F227" s="83">
        <v>0</v>
      </c>
      <c r="G227" s="83">
        <v>0</v>
      </c>
      <c r="H227" s="83">
        <v>0</v>
      </c>
      <c r="I227" s="83">
        <v>0</v>
      </c>
    </row>
    <row r="228" spans="1:9" x14ac:dyDescent="0.3">
      <c r="A228" s="79" t="s">
        <v>364</v>
      </c>
      <c r="B228" s="83">
        <v>0.72989999999999999</v>
      </c>
      <c r="C228" s="83">
        <v>0.47399000000000002</v>
      </c>
      <c r="D228" s="83">
        <v>0.16022999999999998</v>
      </c>
      <c r="E228" s="83">
        <v>-0.15415000000000001</v>
      </c>
      <c r="F228" s="83">
        <v>0.44035000000000002</v>
      </c>
      <c r="G228" s="83">
        <v>0.38323000000000002</v>
      </c>
      <c r="H228" s="83">
        <v>0.36937000000000003</v>
      </c>
      <c r="I228" s="83">
        <v>1.5291600000000001</v>
      </c>
    </row>
    <row r="229" spans="1:9" x14ac:dyDescent="0.3">
      <c r="A229" s="79" t="s">
        <v>363</v>
      </c>
      <c r="B229" s="83">
        <v>0</v>
      </c>
      <c r="C229" s="83">
        <v>0</v>
      </c>
      <c r="D229" s="83">
        <v>0</v>
      </c>
      <c r="E229" s="83">
        <v>0</v>
      </c>
      <c r="F229" s="83">
        <v>0</v>
      </c>
      <c r="G229" s="83">
        <v>0</v>
      </c>
      <c r="H229" s="83">
        <v>0</v>
      </c>
      <c r="I229" s="83">
        <v>0</v>
      </c>
    </row>
    <row r="230" spans="1:9" x14ac:dyDescent="0.3">
      <c r="A230" s="79" t="s">
        <v>362</v>
      </c>
      <c r="B230" s="83">
        <v>0</v>
      </c>
      <c r="C230" s="83">
        <v>0</v>
      </c>
      <c r="D230" s="83">
        <v>0</v>
      </c>
      <c r="E230" s="83">
        <v>0</v>
      </c>
      <c r="F230" s="83">
        <v>0</v>
      </c>
      <c r="G230" s="83">
        <v>0</v>
      </c>
      <c r="H230" s="83">
        <v>0</v>
      </c>
      <c r="I230" s="83">
        <v>0</v>
      </c>
    </row>
    <row r="231" spans="1:9" x14ac:dyDescent="0.3">
      <c r="A231" s="79" t="s">
        <v>361</v>
      </c>
      <c r="B231" s="83">
        <v>0</v>
      </c>
      <c r="C231" s="83">
        <v>0</v>
      </c>
      <c r="D231" s="83">
        <v>0</v>
      </c>
      <c r="E231" s="83">
        <v>0</v>
      </c>
      <c r="F231" s="83">
        <v>0</v>
      </c>
      <c r="G231" s="83">
        <v>0</v>
      </c>
      <c r="H231" s="83">
        <v>0</v>
      </c>
      <c r="I231" s="83">
        <v>0</v>
      </c>
    </row>
    <row r="232" spans="1:9" x14ac:dyDescent="0.3">
      <c r="A232" s="79" t="s">
        <v>360</v>
      </c>
      <c r="B232" s="83">
        <v>4.7746700000000004</v>
      </c>
      <c r="C232" s="83">
        <v>4.2205300000000001</v>
      </c>
      <c r="D232" s="83">
        <v>4.8993700000000002</v>
      </c>
      <c r="E232" s="83">
        <v>3.0210700000000004</v>
      </c>
      <c r="F232" s="83">
        <v>0.67659000000000002</v>
      </c>
      <c r="G232" s="83">
        <v>-1.1369100000000001</v>
      </c>
      <c r="H232" s="83">
        <v>4.8189999999999997E-2</v>
      </c>
      <c r="I232" s="83">
        <v>-2.5844499999999999</v>
      </c>
    </row>
    <row r="233" spans="1:9" x14ac:dyDescent="0.3">
      <c r="A233" s="79" t="s">
        <v>359</v>
      </c>
      <c r="B233" s="83">
        <v>0</v>
      </c>
      <c r="C233" s="83">
        <v>0</v>
      </c>
      <c r="D233" s="83">
        <v>0</v>
      </c>
      <c r="E233" s="83">
        <v>0</v>
      </c>
      <c r="F233" s="83">
        <v>0</v>
      </c>
      <c r="G233" s="83">
        <v>0</v>
      </c>
      <c r="H233" s="83">
        <v>0</v>
      </c>
      <c r="I233" s="83">
        <v>0</v>
      </c>
    </row>
    <row r="234" spans="1:9" x14ac:dyDescent="0.3">
      <c r="A234" s="79" t="s">
        <v>358</v>
      </c>
      <c r="B234" s="83">
        <v>2.49987</v>
      </c>
      <c r="C234" s="83">
        <v>1.3611600000000001</v>
      </c>
      <c r="D234" s="83">
        <v>8.223370000000001</v>
      </c>
      <c r="E234" s="83">
        <v>9.0865100000000005</v>
      </c>
      <c r="F234" s="83">
        <v>0</v>
      </c>
      <c r="G234" s="83">
        <v>0</v>
      </c>
      <c r="H234" s="83">
        <v>0</v>
      </c>
      <c r="I234" s="83">
        <v>0</v>
      </c>
    </row>
    <row r="235" spans="1:9" x14ac:dyDescent="0.3">
      <c r="A235" s="79" t="s">
        <v>357</v>
      </c>
      <c r="B235" s="83">
        <v>0</v>
      </c>
      <c r="C235" s="83">
        <v>0</v>
      </c>
      <c r="D235" s="83">
        <v>0</v>
      </c>
      <c r="E235" s="83">
        <v>0</v>
      </c>
      <c r="F235" s="83">
        <v>0</v>
      </c>
      <c r="G235" s="83">
        <v>0</v>
      </c>
      <c r="H235" s="83">
        <v>0</v>
      </c>
      <c r="I235" s="83">
        <v>0</v>
      </c>
    </row>
    <row r="236" spans="1:9" x14ac:dyDescent="0.3">
      <c r="A236" s="79" t="s">
        <v>356</v>
      </c>
      <c r="B236" s="83">
        <v>0</v>
      </c>
      <c r="C236" s="83">
        <v>0</v>
      </c>
      <c r="D236" s="83">
        <v>0</v>
      </c>
      <c r="E236" s="83">
        <v>0</v>
      </c>
      <c r="F236" s="83">
        <v>0</v>
      </c>
      <c r="G236" s="83">
        <v>0</v>
      </c>
      <c r="H236" s="83">
        <v>0</v>
      </c>
      <c r="I236" s="83">
        <v>0</v>
      </c>
    </row>
    <row r="237" spans="1:9" x14ac:dyDescent="0.3">
      <c r="A237" s="79" t="s">
        <v>355</v>
      </c>
      <c r="B237" s="83">
        <v>0</v>
      </c>
      <c r="C237" s="83">
        <v>0</v>
      </c>
      <c r="D237" s="83">
        <v>0</v>
      </c>
      <c r="E237" s="83">
        <v>0</v>
      </c>
      <c r="F237" s="83">
        <v>0</v>
      </c>
      <c r="G237" s="83">
        <v>0</v>
      </c>
      <c r="H237" s="83">
        <v>0</v>
      </c>
      <c r="I237" s="83">
        <v>0</v>
      </c>
    </row>
    <row r="238" spans="1:9" x14ac:dyDescent="0.3">
      <c r="A238" s="79" t="s">
        <v>354</v>
      </c>
      <c r="B238" s="83">
        <v>0</v>
      </c>
      <c r="C238" s="83">
        <v>0</v>
      </c>
      <c r="D238" s="83">
        <v>0</v>
      </c>
      <c r="E238" s="83">
        <v>0</v>
      </c>
      <c r="F238" s="83">
        <v>0</v>
      </c>
      <c r="G238" s="83">
        <v>0</v>
      </c>
      <c r="H238" s="83">
        <v>0</v>
      </c>
      <c r="I238" s="83">
        <v>0</v>
      </c>
    </row>
    <row r="239" spans="1:9" x14ac:dyDescent="0.3">
      <c r="A239" s="79" t="s">
        <v>353</v>
      </c>
      <c r="B239" s="83">
        <v>-0.10296</v>
      </c>
      <c r="C239" s="83">
        <v>-0.10015</v>
      </c>
      <c r="D239" s="83">
        <v>-0.12933</v>
      </c>
      <c r="E239" s="83">
        <v>-0.36310000000000003</v>
      </c>
      <c r="F239" s="83">
        <v>-0.46403</v>
      </c>
      <c r="G239" s="83">
        <v>-0.88678999999999997</v>
      </c>
      <c r="H239" s="83">
        <v>0</v>
      </c>
      <c r="I239" s="83">
        <v>0</v>
      </c>
    </row>
    <row r="240" spans="1:9" x14ac:dyDescent="0.3">
      <c r="A240" s="79" t="s">
        <v>352</v>
      </c>
      <c r="B240" s="83">
        <v>0</v>
      </c>
      <c r="C240" s="83">
        <v>0</v>
      </c>
      <c r="D240" s="83">
        <v>0</v>
      </c>
      <c r="E240" s="83">
        <v>0</v>
      </c>
      <c r="F240" s="83">
        <v>0</v>
      </c>
      <c r="G240" s="83">
        <v>0</v>
      </c>
      <c r="H240" s="83">
        <v>0</v>
      </c>
      <c r="I240" s="83">
        <v>0</v>
      </c>
    </row>
    <row r="241" spans="1:9" x14ac:dyDescent="0.3">
      <c r="A241" s="79" t="s">
        <v>351</v>
      </c>
      <c r="B241" s="83">
        <v>0</v>
      </c>
      <c r="C241" s="83">
        <v>0</v>
      </c>
      <c r="D241" s="83">
        <v>0</v>
      </c>
      <c r="E241" s="83">
        <v>0</v>
      </c>
      <c r="F241" s="83">
        <v>0</v>
      </c>
      <c r="G241" s="83">
        <v>0</v>
      </c>
      <c r="H241" s="83">
        <v>0</v>
      </c>
      <c r="I241" s="83">
        <v>0</v>
      </c>
    </row>
    <row r="242" spans="1:9" ht="18" thickBot="1" x14ac:dyDescent="0.35">
      <c r="A242" s="89" t="s">
        <v>561</v>
      </c>
      <c r="B242" s="415">
        <v>81.645619999999994</v>
      </c>
      <c r="C242" s="415">
        <v>90.354190000000003</v>
      </c>
      <c r="D242" s="415">
        <v>101.10791</v>
      </c>
      <c r="E242" s="415">
        <v>66.244249999999994</v>
      </c>
      <c r="F242" s="415">
        <v>-8.0592500000000005</v>
      </c>
      <c r="G242" s="415">
        <v>-84.838619999999992</v>
      </c>
      <c r="H242" s="415">
        <v>-95.981189999999998</v>
      </c>
      <c r="I242" s="415">
        <v>-77.915000000000006</v>
      </c>
    </row>
    <row r="243" spans="1:9" ht="18" thickTop="1" x14ac:dyDescent="0.3"/>
    <row r="245" spans="1:9" x14ac:dyDescent="0.3">
      <c r="B245" s="88"/>
      <c r="C245" s="88"/>
      <c r="D245" s="88"/>
      <c r="E245" s="88"/>
      <c r="F245" s="88"/>
      <c r="G245" s="88"/>
      <c r="H245" s="88"/>
      <c r="I245" s="88"/>
    </row>
  </sheetData>
  <mergeCells count="1">
    <mergeCell ref="A2:I2"/>
  </mergeCells>
  <phoneticPr fontId="13" type="noConversion"/>
  <pageMargins left="0.75" right="0.75" top="1" bottom="1" header="0.5" footer="0.5"/>
  <pageSetup paperSize="9" scale="53" fitToHeight="4" orientation="portrait" horizontalDpi="4294967292" verticalDpi="4294967292"/>
  <extLst>
    <ext xmlns:mx="http://schemas.microsoft.com/office/mac/excel/2008/main" uri="{64002731-A6B0-56B0-2670-7721B7C09600}">
      <mx:PLV Mode="0" OnePage="0" WScale="100"/>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B2:K27"/>
  <sheetViews>
    <sheetView zoomScale="70" zoomScaleNormal="70" zoomScalePageLayoutView="70" workbookViewId="0"/>
  </sheetViews>
  <sheetFormatPr baseColWidth="10" defaultRowHeight="12.6" x14ac:dyDescent="0.2"/>
  <cols>
    <col min="1" max="1" width="6.26953125" customWidth="1"/>
    <col min="2" max="2" width="31.1796875" customWidth="1"/>
    <col min="3" max="3" width="12.26953125" bestFit="1" customWidth="1"/>
  </cols>
  <sheetData>
    <row r="2" spans="2:11" ht="22.8" x14ac:dyDescent="0.4">
      <c r="B2" s="730" t="s">
        <v>909</v>
      </c>
      <c r="C2" s="730"/>
      <c r="D2" s="730"/>
      <c r="E2" s="730"/>
      <c r="F2" s="730"/>
      <c r="G2" s="730"/>
      <c r="H2" s="730"/>
      <c r="I2" s="730"/>
      <c r="J2" s="730"/>
      <c r="K2" s="81"/>
    </row>
    <row r="3" spans="2:11" ht="24" customHeight="1" thickBot="1" x14ac:dyDescent="0.25">
      <c r="B3" s="106"/>
      <c r="C3" s="106"/>
      <c r="D3" s="106"/>
      <c r="E3" s="106"/>
      <c r="F3" s="106"/>
      <c r="G3" s="106"/>
      <c r="H3" s="106"/>
      <c r="I3" s="106"/>
      <c r="J3" s="106"/>
    </row>
    <row r="4" spans="2:11" ht="19.95" customHeight="1" thickTop="1" x14ac:dyDescent="0.3">
      <c r="B4" s="59"/>
      <c r="C4" s="59">
        <v>2001</v>
      </c>
      <c r="D4" s="59">
        <v>2002</v>
      </c>
      <c r="E4" s="59">
        <v>2003</v>
      </c>
      <c r="F4" s="59">
        <v>2004</v>
      </c>
      <c r="G4" s="59">
        <v>2005</v>
      </c>
      <c r="H4" s="59">
        <v>2006</v>
      </c>
      <c r="I4" s="59">
        <v>2007</v>
      </c>
      <c r="J4" s="59">
        <v>2008</v>
      </c>
    </row>
    <row r="5" spans="2:11" ht="19.95" customHeight="1" x14ac:dyDescent="0.3">
      <c r="B5" s="96" t="s">
        <v>341</v>
      </c>
      <c r="C5" s="267">
        <v>0.64706730788228928</v>
      </c>
      <c r="D5" s="267">
        <v>0.58359190916646442</v>
      </c>
      <c r="E5" s="267">
        <v>0.57897763493685328</v>
      </c>
      <c r="F5" s="267">
        <v>0.54399620625582779</v>
      </c>
      <c r="G5" s="267">
        <v>0.54302632314835519</v>
      </c>
      <c r="H5" s="267">
        <v>0.53894447103370691</v>
      </c>
      <c r="I5" s="267">
        <v>0.46648570040619369</v>
      </c>
      <c r="J5" s="267">
        <v>0.50768110822799561</v>
      </c>
    </row>
    <row r="6" spans="2:11" ht="19.95" customHeight="1" x14ac:dyDescent="0.3">
      <c r="B6" s="96" t="s">
        <v>348</v>
      </c>
      <c r="C6" s="60">
        <v>3.8160759658738407E-2</v>
      </c>
      <c r="D6" s="60">
        <v>5.8234280641524347E-2</v>
      </c>
      <c r="E6" s="60">
        <v>5.0027374217720626E-2</v>
      </c>
      <c r="F6" s="60">
        <v>4.6299323312071337E-2</v>
      </c>
      <c r="G6" s="60">
        <v>4.1578746833290228E-2</v>
      </c>
      <c r="H6" s="60">
        <v>4.0399581810383466E-2</v>
      </c>
      <c r="I6" s="60">
        <v>3.8999764315830104E-2</v>
      </c>
      <c r="J6" s="60">
        <v>3.8282580492498518E-2</v>
      </c>
    </row>
    <row r="7" spans="2:11" ht="19.95" customHeight="1" x14ac:dyDescent="0.3">
      <c r="B7" s="96" t="s">
        <v>330</v>
      </c>
      <c r="C7" s="60">
        <v>3.6842895586439633E-2</v>
      </c>
      <c r="D7" s="60">
        <v>3.1719781051279324E-2</v>
      </c>
      <c r="E7" s="60">
        <v>3.1596444229856101E-2</v>
      </c>
      <c r="F7" s="60">
        <v>2.6370255133594523E-2</v>
      </c>
      <c r="G7" s="60">
        <v>3.0431539383756711E-2</v>
      </c>
      <c r="H7" s="60">
        <v>3.5594109457681815E-2</v>
      </c>
      <c r="I7" s="60">
        <v>4.2242427716431524E-2</v>
      </c>
      <c r="J7" s="60">
        <v>4.2278466483379962E-2</v>
      </c>
    </row>
    <row r="8" spans="2:11" ht="19.95" customHeight="1" x14ac:dyDescent="0.3">
      <c r="B8" s="59"/>
      <c r="C8" s="60"/>
      <c r="D8" s="60"/>
      <c r="E8" s="60"/>
      <c r="F8" s="60"/>
      <c r="G8" s="60"/>
      <c r="H8" s="60"/>
      <c r="I8" s="60"/>
      <c r="J8" s="60"/>
    </row>
    <row r="9" spans="2:11" ht="19.95" customHeight="1" x14ac:dyDescent="0.3">
      <c r="B9" s="96" t="s">
        <v>705</v>
      </c>
      <c r="C9" s="60">
        <f>SUM(C10:C16)</f>
        <v>0.20456135082055318</v>
      </c>
      <c r="D9" s="60">
        <f t="shared" ref="D9:J9" si="0">SUM(D10:D16)</f>
        <v>0.20473413253070974</v>
      </c>
      <c r="E9" s="60">
        <f t="shared" si="0"/>
        <v>0.2317924658448382</v>
      </c>
      <c r="F9" s="60">
        <f t="shared" si="0"/>
        <v>0.27240472058603915</v>
      </c>
      <c r="G9" s="60">
        <f t="shared" si="0"/>
        <v>0.25471235784974422</v>
      </c>
      <c r="H9" s="60">
        <f t="shared" si="0"/>
        <v>0.25258472854605368</v>
      </c>
      <c r="I9" s="60">
        <f t="shared" si="0"/>
        <v>0.26498058137542096</v>
      </c>
      <c r="J9" s="60">
        <f t="shared" si="0"/>
        <v>0.27066710216776096</v>
      </c>
    </row>
    <row r="10" spans="2:11" ht="19.95" customHeight="1" x14ac:dyDescent="0.35">
      <c r="B10" s="61" t="s">
        <v>326</v>
      </c>
      <c r="C10" s="268">
        <v>0.1530796922481141</v>
      </c>
      <c r="D10" s="268">
        <v>0.1137669589950147</v>
      </c>
      <c r="E10" s="268">
        <v>0.12015451170012145</v>
      </c>
      <c r="F10" s="268">
        <v>0.12577881362775248</v>
      </c>
      <c r="G10" s="268">
        <v>0.12720099992797076</v>
      </c>
      <c r="H10" s="268">
        <v>0.12506595279343896</v>
      </c>
      <c r="I10" s="268">
        <v>0.12893096849911403</v>
      </c>
      <c r="J10" s="268">
        <v>0.14649783822711132</v>
      </c>
    </row>
    <row r="11" spans="2:11" ht="19.95" customHeight="1" x14ac:dyDescent="0.35">
      <c r="B11" s="61" t="s">
        <v>347</v>
      </c>
      <c r="C11" s="268">
        <v>3.0672446564267115E-2</v>
      </c>
      <c r="D11" s="268">
        <v>4.3448005420082231E-2</v>
      </c>
      <c r="E11" s="268">
        <v>6.1244334778045598E-2</v>
      </c>
      <c r="F11" s="268">
        <v>9.6391642869073368E-2</v>
      </c>
      <c r="G11" s="268">
        <v>7.2024365536274934E-2</v>
      </c>
      <c r="H11" s="268">
        <v>7.0084414362730107E-2</v>
      </c>
      <c r="I11" s="268">
        <v>6.3428425423646753E-2</v>
      </c>
      <c r="J11" s="268">
        <v>5.5013767464137518E-2</v>
      </c>
    </row>
    <row r="12" spans="2:11" ht="19.95" customHeight="1" x14ac:dyDescent="0.35">
      <c r="B12" s="61" t="s">
        <v>395</v>
      </c>
      <c r="C12" s="268">
        <v>2.4006069682803752E-3</v>
      </c>
      <c r="D12" s="268">
        <v>5.3286948957551291E-3</v>
      </c>
      <c r="E12" s="268">
        <v>4.9153772876749545E-3</v>
      </c>
      <c r="F12" s="268">
        <v>6.7530896639384583E-3</v>
      </c>
      <c r="G12" s="268">
        <v>8.4190016974637072E-3</v>
      </c>
      <c r="H12" s="268">
        <v>7.8191397303228431E-3</v>
      </c>
      <c r="I12" s="268">
        <v>1.2585958734517509E-2</v>
      </c>
      <c r="J12" s="268">
        <v>1.7303225720280858E-2</v>
      </c>
    </row>
    <row r="13" spans="2:11" ht="19.95" customHeight="1" x14ac:dyDescent="0.35">
      <c r="B13" s="61" t="s">
        <v>342</v>
      </c>
      <c r="C13" s="268">
        <v>7.1958934802280874E-3</v>
      </c>
      <c r="D13" s="268">
        <v>1.3121998446230191E-2</v>
      </c>
      <c r="E13" s="268">
        <v>1.5527373713440781E-2</v>
      </c>
      <c r="F13" s="268">
        <v>1.6283984806585959E-2</v>
      </c>
      <c r="G13" s="268">
        <v>1.7129409626455049E-2</v>
      </c>
      <c r="H13" s="268">
        <v>1.999964743747322E-2</v>
      </c>
      <c r="I13" s="268">
        <v>2.3745358999569997E-2</v>
      </c>
      <c r="J13" s="268">
        <v>1.9513052426536188E-2</v>
      </c>
    </row>
    <row r="14" spans="2:11" ht="19.95" customHeight="1" x14ac:dyDescent="0.35">
      <c r="B14" s="61" t="s">
        <v>473</v>
      </c>
      <c r="C14" s="268">
        <v>7.1899660556150489E-3</v>
      </c>
      <c r="D14" s="268">
        <v>1.9696352131961515E-2</v>
      </c>
      <c r="E14" s="268">
        <v>2.1642315436799193E-2</v>
      </c>
      <c r="F14" s="268">
        <v>1.864225257776353E-2</v>
      </c>
      <c r="G14" s="268">
        <v>2.0075595993131086E-2</v>
      </c>
      <c r="H14" s="268">
        <v>1.5529845108451793E-2</v>
      </c>
      <c r="I14" s="268">
        <v>1.5875723930115489E-2</v>
      </c>
      <c r="J14" s="268">
        <v>1.2202449647029072E-2</v>
      </c>
    </row>
    <row r="15" spans="2:11" ht="19.95" customHeight="1" x14ac:dyDescent="0.35">
      <c r="B15" s="61" t="s">
        <v>293</v>
      </c>
      <c r="C15" s="268">
        <v>4.3665361316046328E-4</v>
      </c>
      <c r="D15" s="268">
        <v>2.3806556925290031E-3</v>
      </c>
      <c r="E15" s="268">
        <v>2.7014104501761334E-3</v>
      </c>
      <c r="F15" s="268">
        <v>2.0661185768885522E-3</v>
      </c>
      <c r="G15" s="268">
        <v>2.5758935026435584E-3</v>
      </c>
      <c r="H15" s="268">
        <v>5.9320188331545573E-3</v>
      </c>
      <c r="I15" s="268">
        <v>9.8655490084521898E-3</v>
      </c>
      <c r="J15" s="268">
        <v>8.525871012576439E-3</v>
      </c>
    </row>
    <row r="16" spans="2:11" ht="19.95" customHeight="1" x14ac:dyDescent="0.35">
      <c r="B16" s="61" t="s">
        <v>325</v>
      </c>
      <c r="C16" s="268">
        <v>3.5860918908879676E-3</v>
      </c>
      <c r="D16" s="268">
        <v>6.9914669491369756E-3</v>
      </c>
      <c r="E16" s="268">
        <v>5.6071424785800496E-3</v>
      </c>
      <c r="F16" s="268">
        <v>6.4888184640368276E-3</v>
      </c>
      <c r="G16" s="268">
        <v>7.2870915658051283E-3</v>
      </c>
      <c r="H16" s="268">
        <v>8.1537102804822102E-3</v>
      </c>
      <c r="I16" s="268">
        <v>1.0548596780004976E-2</v>
      </c>
      <c r="J16" s="268">
        <v>1.1610897670089573E-2</v>
      </c>
    </row>
    <row r="17" spans="2:10" ht="19.95" customHeight="1" x14ac:dyDescent="0.3">
      <c r="B17" s="59"/>
      <c r="C17" s="59"/>
      <c r="D17" s="59"/>
      <c r="E17" s="59"/>
      <c r="F17" s="59"/>
      <c r="G17" s="59"/>
      <c r="H17" s="59"/>
      <c r="I17" s="59"/>
      <c r="J17" s="59"/>
    </row>
    <row r="18" spans="2:10" ht="19.95" customHeight="1" x14ac:dyDescent="0.3">
      <c r="B18" s="59"/>
      <c r="C18" s="59"/>
      <c r="D18" s="59"/>
      <c r="E18" s="59"/>
      <c r="F18" s="59"/>
      <c r="G18" s="59"/>
      <c r="H18" s="59"/>
      <c r="I18" s="59"/>
      <c r="J18" s="59"/>
    </row>
    <row r="19" spans="2:10" ht="19.95" customHeight="1" x14ac:dyDescent="0.3">
      <c r="B19" s="96" t="s">
        <v>289</v>
      </c>
      <c r="C19" s="60">
        <v>2.2399737612670462E-2</v>
      </c>
      <c r="D19" s="60">
        <v>7.1293171503280503E-2</v>
      </c>
      <c r="E19" s="60">
        <v>6.6360791974008848E-2</v>
      </c>
      <c r="F19" s="60">
        <v>5.7307936395310718E-2</v>
      </c>
      <c r="G19" s="60">
        <v>6.4355198427158603E-2</v>
      </c>
      <c r="H19" s="60">
        <v>8.3901569659102518E-2</v>
      </c>
      <c r="I19" s="60">
        <v>8.6258820536758235E-2</v>
      </c>
      <c r="J19" s="60">
        <v>8.523424427441767E-2</v>
      </c>
    </row>
    <row r="20" spans="2:10" ht="19.95" customHeight="1" x14ac:dyDescent="0.3">
      <c r="B20" s="59" t="s">
        <v>660</v>
      </c>
      <c r="C20" s="60">
        <v>4.1136326814483464E-3</v>
      </c>
      <c r="D20" s="60">
        <v>1.2765584405455867E-2</v>
      </c>
      <c r="E20" s="60">
        <v>8.753614355097885E-3</v>
      </c>
      <c r="F20" s="60">
        <v>1.9516804823431776E-2</v>
      </c>
      <c r="G20" s="60">
        <v>2.7215729411031304E-2</v>
      </c>
      <c r="H20" s="60">
        <v>1.2506279140483405E-2</v>
      </c>
      <c r="I20" s="60">
        <v>6.1692567583516114E-2</v>
      </c>
      <c r="J20" s="60">
        <v>7.5827547495731056E-3</v>
      </c>
    </row>
    <row r="21" spans="2:10" ht="19.95" customHeight="1" x14ac:dyDescent="0.3">
      <c r="B21" s="59" t="s">
        <v>81</v>
      </c>
      <c r="C21" s="60">
        <f>1-C19-C9-C7-C6-C5-C20</f>
        <v>4.6854315757860726E-2</v>
      </c>
      <c r="D21" s="60">
        <f t="shared" ref="D21:J21" si="1">1-D19-D9-D7-D6-D5-D20</f>
        <v>3.7661140701285754E-2</v>
      </c>
      <c r="E21" s="60">
        <f t="shared" si="1"/>
        <v>3.2491674441625068E-2</v>
      </c>
      <c r="F21" s="60">
        <f t="shared" si="1"/>
        <v>3.4104753493724757E-2</v>
      </c>
      <c r="G21" s="60">
        <f t="shared" si="1"/>
        <v>3.8680104946663671E-2</v>
      </c>
      <c r="H21" s="60">
        <f t="shared" si="1"/>
        <v>3.606926035258818E-2</v>
      </c>
      <c r="I21" s="60">
        <f t="shared" si="1"/>
        <v>3.9340138065849448E-2</v>
      </c>
      <c r="J21" s="60">
        <f t="shared" si="1"/>
        <v>4.8273743604374239E-2</v>
      </c>
    </row>
    <row r="22" spans="2:10" ht="19.95" customHeight="1" x14ac:dyDescent="0.3">
      <c r="B22" s="96"/>
      <c r="C22" s="60"/>
      <c r="D22" s="60"/>
      <c r="E22" s="60"/>
      <c r="F22" s="60"/>
      <c r="G22" s="60"/>
      <c r="H22" s="60"/>
      <c r="I22" s="60"/>
      <c r="J22" s="60"/>
    </row>
    <row r="23" spans="2:10" ht="19.95" customHeight="1" thickBot="1" x14ac:dyDescent="0.4">
      <c r="B23" s="269" t="s">
        <v>661</v>
      </c>
      <c r="C23" s="93">
        <v>1281.8057897143071</v>
      </c>
      <c r="D23" s="93">
        <v>1429.1011163513817</v>
      </c>
      <c r="E23" s="93">
        <v>1849.783273057219</v>
      </c>
      <c r="F23" s="93">
        <v>2145.0129806723503</v>
      </c>
      <c r="G23" s="93">
        <v>2221.1362924845603</v>
      </c>
      <c r="H23" s="93">
        <v>2558.3583733629798</v>
      </c>
      <c r="I23" s="93">
        <v>3109.3694189070898</v>
      </c>
      <c r="J23" s="93">
        <v>3643.0773274115095</v>
      </c>
    </row>
    <row r="24" spans="2:10" ht="13.2" thickTop="1" x14ac:dyDescent="0.2"/>
    <row r="25" spans="2:10" x14ac:dyDescent="0.2">
      <c r="C25" s="1"/>
      <c r="D25" s="1"/>
      <c r="E25" s="1"/>
      <c r="F25" s="1"/>
      <c r="G25" s="1"/>
      <c r="H25" s="1"/>
      <c r="I25" s="1"/>
      <c r="J25" s="1"/>
    </row>
    <row r="26" spans="2:10" x14ac:dyDescent="0.2">
      <c r="C26" s="6"/>
      <c r="D26" s="6"/>
      <c r="E26" s="6"/>
      <c r="F26" s="6"/>
      <c r="G26" s="6"/>
      <c r="H26" s="6"/>
      <c r="I26" s="6"/>
      <c r="J26" s="6"/>
    </row>
    <row r="27" spans="2:10" x14ac:dyDescent="0.2">
      <c r="C27" s="270"/>
      <c r="D27" s="270"/>
      <c r="E27" s="270"/>
      <c r="F27" s="270"/>
      <c r="G27" s="270"/>
      <c r="H27" s="270"/>
      <c r="I27" s="270"/>
      <c r="J27" s="271"/>
    </row>
  </sheetData>
  <mergeCells count="1">
    <mergeCell ref="B2:J2"/>
  </mergeCells>
  <phoneticPr fontId="13" type="noConversion"/>
  <pageMargins left="0.75000000000000011" right="0.75000000000000011" top="1" bottom="1" header="0.5" footer="0.5"/>
  <pageSetup paperSize="9" scale="88" orientation="landscape" horizontalDpi="4294967292" verticalDpi="4294967292"/>
  <extLst>
    <ext xmlns:mx="http://schemas.microsoft.com/office/mac/excel/2008/main" uri="{64002731-A6B0-56B0-2670-7721B7C09600}">
      <mx:PLV Mode="0" OnePage="0" WScale="100"/>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2:T107"/>
  <sheetViews>
    <sheetView zoomScale="70" zoomScaleNormal="70" zoomScalePageLayoutView="70" workbookViewId="0">
      <selection activeCell="A2" sqref="A2:T57"/>
    </sheetView>
  </sheetViews>
  <sheetFormatPr baseColWidth="10" defaultColWidth="10.7265625" defaultRowHeight="17.399999999999999" x14ac:dyDescent="0.3"/>
  <cols>
    <col min="1" max="3" width="10.7265625" style="260"/>
    <col min="4" max="4" width="4.54296875" style="260" customWidth="1"/>
    <col min="5" max="10" width="10.7265625" style="260"/>
    <col min="11" max="11" width="4.54296875" style="260" customWidth="1"/>
    <col min="12" max="17" width="10.7265625" style="260"/>
    <col min="18" max="18" width="4.54296875" style="260" customWidth="1"/>
    <col min="19" max="16384" width="10.7265625" style="260"/>
  </cols>
  <sheetData>
    <row r="2" spans="1:20" ht="28.2" x14ac:dyDescent="0.5">
      <c r="A2" s="728" t="s">
        <v>910</v>
      </c>
      <c r="B2" s="728"/>
      <c r="C2" s="728"/>
      <c r="D2" s="728"/>
      <c r="E2" s="728"/>
      <c r="F2" s="728"/>
      <c r="G2" s="728"/>
      <c r="H2" s="728"/>
      <c r="I2" s="728"/>
      <c r="J2" s="728"/>
      <c r="K2" s="728"/>
      <c r="L2" s="728"/>
      <c r="M2" s="728"/>
      <c r="N2" s="728"/>
      <c r="O2" s="728"/>
      <c r="P2" s="728"/>
      <c r="Q2" s="728"/>
      <c r="R2" s="728"/>
      <c r="S2" s="728"/>
      <c r="T2" s="728"/>
    </row>
    <row r="4" spans="1:20" ht="18" thickBot="1" x14ac:dyDescent="0.35">
      <c r="A4" s="261"/>
      <c r="B4" s="261"/>
      <c r="C4" s="261"/>
      <c r="D4" s="261"/>
      <c r="E4" s="261"/>
      <c r="F4" s="261"/>
      <c r="G4" s="261"/>
      <c r="H4" s="261"/>
      <c r="I4" s="261"/>
      <c r="J4" s="261"/>
      <c r="K4" s="261"/>
      <c r="L4" s="261"/>
      <c r="M4" s="261"/>
      <c r="N4" s="261"/>
      <c r="O4" s="261"/>
      <c r="P4" s="261"/>
      <c r="Q4" s="261"/>
      <c r="R4" s="261"/>
      <c r="S4" s="261"/>
      <c r="T4" s="261"/>
    </row>
    <row r="5" spans="1:20" ht="18" thickTop="1" x14ac:dyDescent="0.3">
      <c r="B5" s="731" t="s">
        <v>657</v>
      </c>
      <c r="C5" s="731"/>
      <c r="E5" s="731" t="s">
        <v>220</v>
      </c>
      <c r="F5" s="731"/>
      <c r="I5" s="731" t="s">
        <v>657</v>
      </c>
      <c r="J5" s="731"/>
      <c r="L5" s="731" t="s">
        <v>220</v>
      </c>
      <c r="M5" s="731"/>
      <c r="P5" s="731" t="s">
        <v>657</v>
      </c>
      <c r="Q5" s="731"/>
      <c r="S5" s="731" t="s">
        <v>220</v>
      </c>
      <c r="T5" s="731"/>
    </row>
    <row r="6" spans="1:20" x14ac:dyDescent="0.3">
      <c r="B6" s="262" t="s">
        <v>658</v>
      </c>
      <c r="C6" s="262" t="s">
        <v>659</v>
      </c>
      <c r="E6" s="262" t="s">
        <v>658</v>
      </c>
      <c r="F6" s="262" t="s">
        <v>659</v>
      </c>
      <c r="I6" s="262" t="s">
        <v>658</v>
      </c>
      <c r="J6" s="262" t="s">
        <v>659</v>
      </c>
      <c r="L6" s="262" t="s">
        <v>658</v>
      </c>
      <c r="M6" s="262" t="s">
        <v>659</v>
      </c>
      <c r="P6" s="262" t="s">
        <v>658</v>
      </c>
      <c r="Q6" s="262" t="s">
        <v>659</v>
      </c>
      <c r="S6" s="262" t="s">
        <v>658</v>
      </c>
      <c r="T6" s="262" t="s">
        <v>659</v>
      </c>
    </row>
    <row r="7" spans="1:20" x14ac:dyDescent="0.3">
      <c r="A7" s="263"/>
      <c r="B7" s="263"/>
      <c r="C7" s="263"/>
      <c r="D7" s="263"/>
      <c r="E7" s="263"/>
      <c r="F7" s="263"/>
      <c r="G7" s="263"/>
      <c r="H7" s="263"/>
      <c r="I7" s="263"/>
      <c r="J7" s="263"/>
      <c r="K7" s="263"/>
      <c r="L7" s="263"/>
      <c r="M7" s="263"/>
      <c r="N7" s="263"/>
      <c r="O7" s="263"/>
      <c r="P7" s="263"/>
      <c r="Q7" s="263"/>
      <c r="R7" s="263"/>
      <c r="S7" s="263"/>
      <c r="T7" s="263"/>
    </row>
    <row r="8" spans="1:20" x14ac:dyDescent="0.3">
      <c r="A8" s="260" t="s">
        <v>548</v>
      </c>
      <c r="H8" s="260" t="s">
        <v>473</v>
      </c>
      <c r="I8" s="264"/>
      <c r="J8" s="264"/>
      <c r="K8" s="264"/>
      <c r="L8" s="264"/>
      <c r="M8" s="264"/>
      <c r="O8" s="260" t="s">
        <v>346</v>
      </c>
      <c r="P8" s="264"/>
      <c r="Q8" s="264"/>
      <c r="R8" s="264"/>
      <c r="S8" s="264"/>
      <c r="T8" s="264"/>
    </row>
    <row r="9" spans="1:20" x14ac:dyDescent="0.3">
      <c r="A9" s="260">
        <v>2001</v>
      </c>
      <c r="B9" s="264">
        <v>6.3065999999999999E-3</v>
      </c>
      <c r="C9" s="264">
        <v>3.8252999999999998E-3</v>
      </c>
      <c r="D9" s="264"/>
      <c r="E9" s="264">
        <v>1.51238E-2</v>
      </c>
      <c r="F9" s="264">
        <v>1.53624E-2</v>
      </c>
      <c r="H9" s="260">
        <v>2001</v>
      </c>
      <c r="I9" s="264">
        <v>1.8598E-2</v>
      </c>
      <c r="J9" s="264">
        <v>1.08503E-2</v>
      </c>
      <c r="K9" s="264"/>
      <c r="L9" s="264">
        <v>3.9310600000000001E-2</v>
      </c>
      <c r="M9" s="264">
        <v>2.2274700000000001E-2</v>
      </c>
      <c r="O9" s="260">
        <v>2001</v>
      </c>
      <c r="P9" s="264">
        <v>2.4614500000000001E-2</v>
      </c>
      <c r="Q9" s="264">
        <v>2.1823800000000001E-2</v>
      </c>
      <c r="R9" s="264"/>
      <c r="S9" s="264">
        <v>5.0266E-3</v>
      </c>
      <c r="T9" s="264">
        <v>4.2789999999999998E-3</v>
      </c>
    </row>
    <row r="10" spans="1:20" x14ac:dyDescent="0.3">
      <c r="A10" s="260">
        <v>2002</v>
      </c>
      <c r="B10" s="264">
        <v>5.9226000000000001E-3</v>
      </c>
      <c r="C10" s="264">
        <v>3.5035000000000001E-3</v>
      </c>
      <c r="D10" s="264"/>
      <c r="E10" s="264">
        <v>1.66696E-2</v>
      </c>
      <c r="F10" s="264">
        <v>1.48016E-2</v>
      </c>
      <c r="H10" s="260">
        <v>2002</v>
      </c>
      <c r="I10" s="264">
        <v>2.4594999999999999E-2</v>
      </c>
      <c r="J10" s="264">
        <v>1.0555699999999999E-2</v>
      </c>
      <c r="K10" s="264"/>
      <c r="L10" s="264">
        <v>4.0643400000000003E-2</v>
      </c>
      <c r="M10" s="264">
        <v>2.1772199999999998E-2</v>
      </c>
      <c r="O10" s="260">
        <v>2002</v>
      </c>
      <c r="P10" s="264">
        <v>2.1353500000000001E-2</v>
      </c>
      <c r="Q10" s="264">
        <v>2.0400399999999999E-2</v>
      </c>
      <c r="R10" s="264"/>
      <c r="S10" s="264">
        <v>5.5185E-3</v>
      </c>
      <c r="T10" s="264">
        <v>4.1453999999999996E-3</v>
      </c>
    </row>
    <row r="11" spans="1:20" x14ac:dyDescent="0.3">
      <c r="A11" s="260">
        <v>2003</v>
      </c>
      <c r="B11" s="264">
        <v>1.2367899999999999E-2</v>
      </c>
      <c r="C11" s="264">
        <v>3.3666999999999998E-3</v>
      </c>
      <c r="D11" s="264"/>
      <c r="E11" s="264">
        <v>1.62547E-2</v>
      </c>
      <c r="F11" s="264">
        <v>1.42451E-2</v>
      </c>
      <c r="H11" s="260">
        <v>2003</v>
      </c>
      <c r="I11" s="264">
        <v>2.0536599999999999E-2</v>
      </c>
      <c r="J11" s="264">
        <v>1.0018900000000001E-2</v>
      </c>
      <c r="K11" s="264"/>
      <c r="L11" s="264">
        <v>3.9220699999999997E-2</v>
      </c>
      <c r="M11" s="264">
        <v>2.0887599999999999E-2</v>
      </c>
      <c r="O11" s="260">
        <v>2003</v>
      </c>
      <c r="P11" s="264">
        <v>1.9807200000000001E-2</v>
      </c>
      <c r="Q11" s="264">
        <v>2.03962E-2</v>
      </c>
      <c r="R11" s="264"/>
      <c r="S11" s="264">
        <v>3.9779000000000004E-3</v>
      </c>
      <c r="T11" s="264">
        <v>4.1933999999999999E-3</v>
      </c>
    </row>
    <row r="12" spans="1:20" x14ac:dyDescent="0.3">
      <c r="A12" s="260">
        <v>2004</v>
      </c>
      <c r="B12" s="264">
        <v>1.6729299999999999E-2</v>
      </c>
      <c r="C12" s="264">
        <v>3.3463E-3</v>
      </c>
      <c r="D12" s="264"/>
      <c r="E12" s="264">
        <v>1.7406899999999999E-2</v>
      </c>
      <c r="F12" s="264">
        <v>1.4105100000000001E-2</v>
      </c>
      <c r="H12" s="260">
        <v>2004</v>
      </c>
      <c r="I12" s="264">
        <v>1.6114099999999999E-2</v>
      </c>
      <c r="J12" s="264">
        <v>1.04122E-2</v>
      </c>
      <c r="K12" s="264"/>
      <c r="L12" s="264">
        <v>3.7272199999999998E-2</v>
      </c>
      <c r="M12" s="264">
        <v>2.1101499999999999E-2</v>
      </c>
      <c r="O12" s="260">
        <v>2004</v>
      </c>
      <c r="P12" s="264">
        <v>1.8826800000000001E-2</v>
      </c>
      <c r="Q12" s="264">
        <v>2.0771899999999999E-2</v>
      </c>
      <c r="R12" s="264"/>
      <c r="S12" s="264">
        <v>4.8944000000000001E-3</v>
      </c>
      <c r="T12" s="264">
        <v>4.2728999999999996E-3</v>
      </c>
    </row>
    <row r="13" spans="1:20" x14ac:dyDescent="0.3">
      <c r="A13" s="260">
        <v>2005</v>
      </c>
      <c r="B13" s="264">
        <v>2.9103500000000001E-2</v>
      </c>
      <c r="C13" s="264">
        <v>3.8094000000000001E-3</v>
      </c>
      <c r="D13" s="264"/>
      <c r="E13" s="264">
        <v>2.2090200000000001E-2</v>
      </c>
      <c r="F13" s="264">
        <v>1.4789099999999999E-2</v>
      </c>
      <c r="H13" s="260">
        <v>2005</v>
      </c>
      <c r="I13" s="264">
        <v>1.3173499999999999E-2</v>
      </c>
      <c r="J13" s="264">
        <v>1.0488600000000001E-2</v>
      </c>
      <c r="K13" s="264"/>
      <c r="L13" s="264">
        <v>3.9328299999999997E-2</v>
      </c>
      <c r="M13" s="264">
        <v>2.1063200000000001E-2</v>
      </c>
      <c r="O13" s="260">
        <v>2005</v>
      </c>
      <c r="P13" s="264">
        <v>2.0276300000000001E-2</v>
      </c>
      <c r="Q13" s="264">
        <v>2.1925400000000001E-2</v>
      </c>
      <c r="R13" s="264"/>
      <c r="S13" s="264">
        <v>4.5482999999999999E-3</v>
      </c>
      <c r="T13" s="264">
        <v>4.4218E-3</v>
      </c>
    </row>
    <row r="14" spans="1:20" x14ac:dyDescent="0.3">
      <c r="A14" s="260">
        <v>2006</v>
      </c>
      <c r="B14" s="264">
        <v>3.3698199999999998E-2</v>
      </c>
      <c r="C14" s="264">
        <v>3.9186999999999998E-3</v>
      </c>
      <c r="D14" s="264"/>
      <c r="E14" s="264">
        <v>2.5100000000000001E-2</v>
      </c>
      <c r="F14" s="264">
        <v>1.4781300000000001E-2</v>
      </c>
      <c r="H14" s="260">
        <v>2006</v>
      </c>
      <c r="I14" s="264">
        <v>1.15961E-2</v>
      </c>
      <c r="J14" s="264">
        <v>1.09602E-2</v>
      </c>
      <c r="K14" s="264"/>
      <c r="L14" s="264">
        <v>3.0273700000000001E-2</v>
      </c>
      <c r="M14" s="264">
        <v>2.1408400000000001E-2</v>
      </c>
      <c r="O14" s="260">
        <v>2006</v>
      </c>
      <c r="P14" s="264">
        <v>2.3279299999999999E-2</v>
      </c>
      <c r="Q14" s="264">
        <v>2.3288699999999999E-2</v>
      </c>
      <c r="R14" s="264"/>
      <c r="S14" s="264">
        <v>4.7153000000000004E-3</v>
      </c>
      <c r="T14" s="264">
        <v>4.7416999999999997E-3</v>
      </c>
    </row>
    <row r="15" spans="1:20" x14ac:dyDescent="0.3">
      <c r="A15" s="260">
        <v>2007</v>
      </c>
      <c r="B15" s="264">
        <v>2.3932999999999999E-2</v>
      </c>
      <c r="C15" s="264">
        <v>3.6881000000000001E-3</v>
      </c>
      <c r="D15" s="264"/>
      <c r="E15" s="264">
        <v>2.1251800000000001E-2</v>
      </c>
      <c r="F15" s="264">
        <v>1.41692E-2</v>
      </c>
      <c r="H15" s="260">
        <v>2007</v>
      </c>
      <c r="I15" s="264">
        <v>1.0076999999999999E-2</v>
      </c>
      <c r="J15" s="264">
        <v>1.0927299999999999E-2</v>
      </c>
      <c r="K15" s="264"/>
      <c r="L15" s="264">
        <v>3.1530700000000002E-2</v>
      </c>
      <c r="M15" s="264">
        <v>2.1144400000000001E-2</v>
      </c>
      <c r="O15" s="260">
        <v>2007</v>
      </c>
      <c r="P15" s="264">
        <v>1.7521599999999998E-2</v>
      </c>
      <c r="Q15" s="264">
        <v>2.3663E-2</v>
      </c>
      <c r="R15" s="264"/>
      <c r="S15" s="264">
        <v>6.2589000000000004E-3</v>
      </c>
      <c r="T15" s="264">
        <v>4.6958E-3</v>
      </c>
    </row>
    <row r="16" spans="1:20" x14ac:dyDescent="0.3">
      <c r="A16" s="260">
        <v>2008</v>
      </c>
      <c r="B16" s="264">
        <v>1.62261E-2</v>
      </c>
      <c r="C16" s="264">
        <v>3.5793999999999999E-3</v>
      </c>
      <c r="D16" s="264"/>
      <c r="E16" s="264">
        <v>2.3150199999999999E-2</v>
      </c>
      <c r="F16" s="264">
        <v>1.3892699999999999E-2</v>
      </c>
      <c r="H16" s="260">
        <v>2008</v>
      </c>
      <c r="I16" s="264">
        <v>9.6784999999999996E-3</v>
      </c>
      <c r="J16" s="264">
        <v>1.1265499999999999E-2</v>
      </c>
      <c r="K16" s="264"/>
      <c r="L16" s="264">
        <v>3.10338E-2</v>
      </c>
      <c r="M16" s="264">
        <v>2.1405400000000002E-2</v>
      </c>
      <c r="O16" s="260">
        <v>2008</v>
      </c>
      <c r="P16" s="264">
        <v>2.3800399999999999E-2</v>
      </c>
      <c r="Q16" s="264">
        <v>2.2017499999999999E-2</v>
      </c>
      <c r="R16" s="264"/>
      <c r="S16" s="264">
        <v>6.9348999999999999E-3</v>
      </c>
      <c r="T16" s="264">
        <v>4.4679999999999997E-3</v>
      </c>
    </row>
    <row r="17" spans="1:20" x14ac:dyDescent="0.3">
      <c r="A17" s="263"/>
      <c r="B17" s="265"/>
      <c r="C17" s="265"/>
      <c r="D17" s="265"/>
      <c r="E17" s="265"/>
      <c r="F17" s="265"/>
      <c r="G17" s="263"/>
      <c r="H17" s="263"/>
      <c r="I17" s="265"/>
      <c r="J17" s="265"/>
      <c r="K17" s="265"/>
      <c r="L17" s="265"/>
      <c r="M17" s="265"/>
      <c r="N17" s="263"/>
      <c r="O17" s="263"/>
      <c r="P17" s="265"/>
      <c r="Q17" s="265"/>
      <c r="R17" s="265"/>
      <c r="S17" s="265"/>
      <c r="T17" s="265"/>
    </row>
    <row r="18" spans="1:20" x14ac:dyDescent="0.3">
      <c r="A18" s="260" t="s">
        <v>325</v>
      </c>
      <c r="B18" s="264"/>
      <c r="C18" s="264"/>
      <c r="D18" s="264"/>
      <c r="E18" s="264"/>
      <c r="F18" s="264"/>
      <c r="H18" s="260" t="s">
        <v>292</v>
      </c>
      <c r="I18" s="264"/>
      <c r="J18" s="264"/>
      <c r="K18" s="264"/>
      <c r="L18" s="264"/>
      <c r="M18" s="264"/>
      <c r="O18" s="260" t="s">
        <v>330</v>
      </c>
      <c r="P18" s="264"/>
      <c r="Q18" s="264"/>
      <c r="R18" s="264"/>
      <c r="S18" s="264"/>
      <c r="T18" s="264"/>
    </row>
    <row r="19" spans="1:20" x14ac:dyDescent="0.3">
      <c r="A19" s="260">
        <v>2001</v>
      </c>
      <c r="B19" s="264">
        <v>9.1012000000000003E-3</v>
      </c>
      <c r="C19" s="264">
        <v>5.5981E-3</v>
      </c>
      <c r="D19" s="264"/>
      <c r="E19" s="264">
        <v>1.2607800000000001E-2</v>
      </c>
      <c r="F19" s="264">
        <v>7.8650000000000005E-3</v>
      </c>
      <c r="H19" s="260">
        <v>2001</v>
      </c>
      <c r="I19" s="264">
        <v>0.1129169</v>
      </c>
      <c r="J19" s="264">
        <v>0.1050903</v>
      </c>
      <c r="K19" s="264"/>
      <c r="L19" s="264">
        <v>4.4440500000000001E-2</v>
      </c>
      <c r="M19" s="264">
        <v>2.4532000000000002E-2</v>
      </c>
      <c r="O19" s="260">
        <v>2001</v>
      </c>
      <c r="P19" s="264">
        <v>0.1021856</v>
      </c>
      <c r="Q19" s="264">
        <v>9.5582100000000003E-2</v>
      </c>
      <c r="R19" s="264"/>
      <c r="S19" s="264">
        <v>8.42783E-2</v>
      </c>
      <c r="T19" s="264">
        <v>0.11496820000000001</v>
      </c>
    </row>
    <row r="20" spans="1:20" x14ac:dyDescent="0.3">
      <c r="A20" s="260">
        <v>2002</v>
      </c>
      <c r="B20" s="264">
        <v>7.6727999999999996E-3</v>
      </c>
      <c r="C20" s="264">
        <v>5.7482999999999996E-3</v>
      </c>
      <c r="D20" s="264"/>
      <c r="E20" s="264">
        <v>1.0871199999999999E-2</v>
      </c>
      <c r="F20" s="264">
        <v>8.0227000000000007E-3</v>
      </c>
      <c r="H20" s="260">
        <v>2002</v>
      </c>
      <c r="I20" s="264">
        <v>0.1135312</v>
      </c>
      <c r="J20" s="264">
        <v>0.10088229999999999</v>
      </c>
      <c r="K20" s="264"/>
      <c r="L20" s="264">
        <v>4.1925499999999997E-2</v>
      </c>
      <c r="M20" s="264">
        <v>2.3818599999999999E-2</v>
      </c>
      <c r="O20" s="260">
        <v>2002</v>
      </c>
      <c r="P20" s="264">
        <v>0.1050508</v>
      </c>
      <c r="Q20" s="264">
        <v>9.0425099999999994E-2</v>
      </c>
      <c r="R20" s="264"/>
      <c r="S20" s="264">
        <v>8.5496000000000003E-2</v>
      </c>
      <c r="T20" s="264">
        <v>0.1104192</v>
      </c>
    </row>
    <row r="21" spans="1:20" x14ac:dyDescent="0.3">
      <c r="A21" s="260">
        <v>2003</v>
      </c>
      <c r="B21" s="264">
        <v>8.2170999999999998E-3</v>
      </c>
      <c r="C21" s="264">
        <v>5.7603999999999997E-3</v>
      </c>
      <c r="D21" s="264"/>
      <c r="E21" s="264">
        <v>1.1369799999999999E-2</v>
      </c>
      <c r="F21" s="264">
        <v>7.9027999999999998E-3</v>
      </c>
      <c r="H21" s="260">
        <v>2003</v>
      </c>
      <c r="I21" s="264">
        <v>0.13916149999999999</v>
      </c>
      <c r="J21" s="264">
        <v>9.2752600000000004E-2</v>
      </c>
      <c r="K21" s="264"/>
      <c r="L21" s="264">
        <v>4.10617E-2</v>
      </c>
      <c r="M21" s="264">
        <v>2.2568100000000001E-2</v>
      </c>
      <c r="O21" s="260">
        <v>2003</v>
      </c>
      <c r="P21" s="264">
        <v>0.1020945</v>
      </c>
      <c r="Q21" s="264">
        <v>9.0599100000000002E-2</v>
      </c>
      <c r="R21" s="264"/>
      <c r="S21" s="264">
        <v>8.6513099999999996E-2</v>
      </c>
      <c r="T21" s="264">
        <v>0.11077430000000001</v>
      </c>
    </row>
    <row r="22" spans="1:20" x14ac:dyDescent="0.3">
      <c r="A22" s="260">
        <v>2004</v>
      </c>
      <c r="B22" s="264">
        <v>6.7079000000000001E-3</v>
      </c>
      <c r="C22" s="264">
        <v>5.3664000000000003E-3</v>
      </c>
      <c r="D22" s="264"/>
      <c r="E22" s="264">
        <v>9.8163E-3</v>
      </c>
      <c r="F22" s="264">
        <v>7.6854000000000002E-3</v>
      </c>
      <c r="H22" s="260">
        <v>2004</v>
      </c>
      <c r="I22" s="264">
        <v>0.14188919999999999</v>
      </c>
      <c r="J22" s="264">
        <v>8.8183399999999995E-2</v>
      </c>
      <c r="K22" s="264"/>
      <c r="L22" s="264">
        <v>2.8899399999999999E-2</v>
      </c>
      <c r="M22" s="264">
        <v>2.1831099999999999E-2</v>
      </c>
      <c r="O22" s="260">
        <v>2004</v>
      </c>
      <c r="P22" s="264">
        <v>0.1071338</v>
      </c>
      <c r="Q22" s="264">
        <v>9.0011900000000006E-2</v>
      </c>
      <c r="R22" s="264"/>
      <c r="S22" s="264">
        <v>0.1095883</v>
      </c>
      <c r="T22" s="264">
        <v>0.1098532</v>
      </c>
    </row>
    <row r="23" spans="1:20" x14ac:dyDescent="0.3">
      <c r="A23" s="260">
        <v>2005</v>
      </c>
      <c r="B23" s="264">
        <v>9.5998999999999998E-3</v>
      </c>
      <c r="C23" s="264">
        <v>5.6242999999999996E-3</v>
      </c>
      <c r="D23" s="264"/>
      <c r="E23" s="264">
        <v>1.1613699999999999E-2</v>
      </c>
      <c r="F23" s="264">
        <v>7.7923000000000003E-3</v>
      </c>
      <c r="H23" s="260">
        <v>2005</v>
      </c>
      <c r="I23" s="264">
        <v>0.1427832</v>
      </c>
      <c r="J23" s="264">
        <v>8.6923E-2</v>
      </c>
      <c r="K23" s="264"/>
      <c r="L23" s="264">
        <v>2.3021099999999999E-2</v>
      </c>
      <c r="M23" s="264">
        <v>2.1578799999999999E-2</v>
      </c>
      <c r="O23" s="260">
        <v>2005</v>
      </c>
      <c r="P23" s="264">
        <v>0.1040852</v>
      </c>
      <c r="Q23" s="264">
        <v>9.3656799999999998E-2</v>
      </c>
      <c r="R23" s="264"/>
      <c r="S23" s="264">
        <v>9.5952599999999999E-2</v>
      </c>
      <c r="T23" s="264">
        <v>0.1123368</v>
      </c>
    </row>
    <row r="24" spans="1:20" x14ac:dyDescent="0.3">
      <c r="A24" s="260">
        <v>2006</v>
      </c>
      <c r="B24" s="264">
        <v>1.0263100000000001E-2</v>
      </c>
      <c r="C24" s="264">
        <v>5.6585999999999997E-3</v>
      </c>
      <c r="D24" s="264"/>
      <c r="E24" s="264">
        <v>9.9956999999999997E-3</v>
      </c>
      <c r="F24" s="264">
        <v>7.7970000000000001E-3</v>
      </c>
      <c r="H24" s="260">
        <v>2006</v>
      </c>
      <c r="I24" s="264">
        <v>0.143093</v>
      </c>
      <c r="J24" s="264">
        <v>8.5427699999999995E-2</v>
      </c>
      <c r="K24" s="264"/>
      <c r="L24" s="264">
        <v>3.0016500000000002E-2</v>
      </c>
      <c r="M24" s="264">
        <v>2.1566399999999999E-2</v>
      </c>
      <c r="O24" s="260">
        <v>2006</v>
      </c>
      <c r="P24" s="264">
        <v>0.1018001</v>
      </c>
      <c r="Q24" s="264">
        <v>9.0088100000000004E-2</v>
      </c>
      <c r="R24" s="264"/>
      <c r="S24" s="264">
        <v>9.95259E-2</v>
      </c>
      <c r="T24" s="264">
        <v>0.1099846</v>
      </c>
    </row>
    <row r="25" spans="1:20" x14ac:dyDescent="0.3">
      <c r="A25" s="260">
        <v>2007</v>
      </c>
      <c r="B25" s="264">
        <v>8.2202000000000004E-3</v>
      </c>
      <c r="C25" s="264">
        <v>5.7628000000000002E-3</v>
      </c>
      <c r="D25" s="264"/>
      <c r="E25" s="264">
        <v>1.0599000000000001E-2</v>
      </c>
      <c r="F25" s="264">
        <v>7.9287000000000003E-3</v>
      </c>
      <c r="H25" s="260">
        <v>2007</v>
      </c>
      <c r="I25" s="264">
        <v>0.1432947</v>
      </c>
      <c r="J25" s="264">
        <v>8.0019000000000007E-2</v>
      </c>
      <c r="K25" s="264"/>
      <c r="L25" s="264">
        <v>2.8749899999999998E-2</v>
      </c>
      <c r="M25" s="264">
        <v>2.0258600000000002E-2</v>
      </c>
      <c r="O25" s="260">
        <v>2007</v>
      </c>
      <c r="P25" s="264">
        <v>9.32833E-2</v>
      </c>
      <c r="Q25" s="264">
        <v>8.9035299999999998E-2</v>
      </c>
      <c r="R25" s="264"/>
      <c r="S25" s="264">
        <v>0.1220845</v>
      </c>
      <c r="T25" s="264">
        <v>0.1079859</v>
      </c>
    </row>
    <row r="26" spans="1:20" x14ac:dyDescent="0.3">
      <c r="A26" s="260">
        <v>2008</v>
      </c>
      <c r="B26" s="264">
        <v>9.0522999999999992E-3</v>
      </c>
      <c r="C26" s="264">
        <v>5.6947999999999999E-3</v>
      </c>
      <c r="D26" s="264"/>
      <c r="E26" s="264">
        <v>8.2462999999999998E-3</v>
      </c>
      <c r="F26" s="264">
        <v>7.7656000000000001E-3</v>
      </c>
      <c r="H26" s="260">
        <v>2008</v>
      </c>
      <c r="I26" s="264">
        <v>0.14132210000000001</v>
      </c>
      <c r="J26" s="264">
        <v>7.8549599999999997E-2</v>
      </c>
      <c r="K26" s="264"/>
      <c r="L26" s="264">
        <v>2.6281800000000001E-2</v>
      </c>
      <c r="M26" s="264">
        <v>1.9951799999999999E-2</v>
      </c>
      <c r="O26" s="260">
        <v>2008</v>
      </c>
      <c r="P26" s="264">
        <v>9.8826200000000003E-2</v>
      </c>
      <c r="Q26" s="264">
        <v>9.09687E-2</v>
      </c>
      <c r="R26" s="264"/>
      <c r="S26" s="264">
        <v>0.1217766</v>
      </c>
      <c r="T26" s="264">
        <v>0.110625</v>
      </c>
    </row>
    <row r="27" spans="1:20" x14ac:dyDescent="0.3">
      <c r="A27" s="263"/>
      <c r="B27" s="263"/>
      <c r="C27" s="263"/>
      <c r="D27" s="263"/>
      <c r="E27" s="263"/>
      <c r="F27" s="263"/>
      <c r="G27" s="263"/>
      <c r="H27" s="263"/>
      <c r="I27" s="263"/>
      <c r="J27" s="263"/>
      <c r="K27" s="263"/>
      <c r="L27" s="263"/>
      <c r="M27" s="263"/>
      <c r="N27" s="263"/>
      <c r="O27" s="263"/>
      <c r="P27" s="263"/>
      <c r="Q27" s="263"/>
      <c r="R27" s="263"/>
      <c r="S27" s="263"/>
      <c r="T27" s="263"/>
    </row>
    <row r="28" spans="1:20" x14ac:dyDescent="0.3">
      <c r="A28" s="260" t="s">
        <v>512</v>
      </c>
      <c r="B28" s="264"/>
      <c r="C28" s="264"/>
      <c r="D28" s="264"/>
      <c r="E28" s="264"/>
      <c r="F28" s="264"/>
      <c r="H28" s="260" t="s">
        <v>342</v>
      </c>
      <c r="I28" s="264"/>
      <c r="J28" s="264"/>
      <c r="K28" s="264"/>
      <c r="L28" s="264"/>
      <c r="M28" s="264"/>
      <c r="O28" s="260" t="s">
        <v>341</v>
      </c>
      <c r="P28" s="264"/>
      <c r="Q28" s="264"/>
      <c r="R28" s="264"/>
      <c r="S28" s="264"/>
      <c r="T28" s="264"/>
    </row>
    <row r="29" spans="1:20" x14ac:dyDescent="0.3">
      <c r="A29" s="260">
        <v>2001</v>
      </c>
      <c r="B29" s="264">
        <v>2.5162000000000001E-3</v>
      </c>
      <c r="C29" s="264">
        <v>3.0209E-3</v>
      </c>
      <c r="D29" s="264"/>
      <c r="E29" s="264">
        <v>6.7311999999999997E-3</v>
      </c>
      <c r="F29" s="264">
        <v>6.7549999999999997E-3</v>
      </c>
      <c r="H29" s="260">
        <v>2001</v>
      </c>
      <c r="I29" s="264">
        <v>2.97118E-2</v>
      </c>
      <c r="J29" s="264">
        <v>2.3529000000000001E-2</v>
      </c>
      <c r="K29" s="264"/>
      <c r="L29" s="264">
        <v>4.7819399999999998E-2</v>
      </c>
      <c r="M29" s="264">
        <v>6.0683599999999997E-2</v>
      </c>
      <c r="O29" s="260">
        <v>2001</v>
      </c>
      <c r="P29" s="264">
        <v>0.31169540000000001</v>
      </c>
      <c r="Q29" s="264">
        <v>0.21657129999999999</v>
      </c>
      <c r="R29" s="264"/>
      <c r="S29" s="264">
        <v>0.3563828</v>
      </c>
      <c r="T29" s="264">
        <v>0.32010670000000002</v>
      </c>
    </row>
    <row r="30" spans="1:20" x14ac:dyDescent="0.3">
      <c r="A30" s="260">
        <v>2002</v>
      </c>
      <c r="B30" s="264">
        <v>3.2992999999999998E-3</v>
      </c>
      <c r="C30" s="264">
        <v>2.9006000000000001E-3</v>
      </c>
      <c r="D30" s="264"/>
      <c r="E30" s="264">
        <v>8.1443999999999996E-3</v>
      </c>
      <c r="F30" s="264">
        <v>6.6413000000000002E-3</v>
      </c>
      <c r="H30" s="260">
        <v>2002</v>
      </c>
      <c r="I30" s="264">
        <v>3.8144900000000002E-2</v>
      </c>
      <c r="J30" s="264">
        <v>2.24181E-2</v>
      </c>
      <c r="K30" s="264"/>
      <c r="L30" s="264">
        <v>6.2543699999999994E-2</v>
      </c>
      <c r="M30" s="264">
        <v>5.84456E-2</v>
      </c>
      <c r="O30" s="260">
        <v>2002</v>
      </c>
      <c r="P30" s="264">
        <v>0.29335260000000002</v>
      </c>
      <c r="Q30" s="264">
        <v>0.21432399999999999</v>
      </c>
      <c r="R30" s="264"/>
      <c r="S30" s="264">
        <v>0.35549370000000002</v>
      </c>
      <c r="T30" s="264">
        <v>0.31782460000000001</v>
      </c>
    </row>
    <row r="31" spans="1:20" x14ac:dyDescent="0.3">
      <c r="A31" s="260">
        <v>2003</v>
      </c>
      <c r="B31" s="264">
        <v>3.1137999999999999E-3</v>
      </c>
      <c r="C31" s="264">
        <v>3.0779000000000002E-3</v>
      </c>
      <c r="D31" s="264"/>
      <c r="E31" s="264">
        <v>7.9771000000000009E-3</v>
      </c>
      <c r="F31" s="264">
        <v>6.7783000000000001E-3</v>
      </c>
      <c r="H31" s="260">
        <v>2003</v>
      </c>
      <c r="I31" s="264">
        <v>3.1556399999999998E-2</v>
      </c>
      <c r="J31" s="264">
        <v>2.14402E-2</v>
      </c>
      <c r="K31" s="264"/>
      <c r="L31" s="264">
        <v>5.7825799999999997E-2</v>
      </c>
      <c r="M31" s="264">
        <v>5.64167E-2</v>
      </c>
      <c r="O31" s="260">
        <v>2003</v>
      </c>
      <c r="P31" s="264">
        <v>0.28206300000000001</v>
      </c>
      <c r="Q31" s="264">
        <v>0.22620999999999999</v>
      </c>
      <c r="R31" s="264"/>
      <c r="S31" s="264">
        <v>0.35143790000000003</v>
      </c>
      <c r="T31" s="264">
        <v>0.3295322</v>
      </c>
    </row>
    <row r="32" spans="1:20" x14ac:dyDescent="0.3">
      <c r="A32" s="260">
        <v>2004</v>
      </c>
      <c r="B32" s="264">
        <v>2.2024000000000002E-3</v>
      </c>
      <c r="C32" s="264">
        <v>3.5460999999999999E-3</v>
      </c>
      <c r="D32" s="264"/>
      <c r="E32" s="264">
        <v>7.6987000000000002E-3</v>
      </c>
      <c r="F32" s="264">
        <v>7.1361999999999997E-3</v>
      </c>
      <c r="H32" s="260">
        <v>2004</v>
      </c>
      <c r="I32" s="264">
        <v>3.5531899999999998E-2</v>
      </c>
      <c r="J32" s="264">
        <v>2.13794E-2</v>
      </c>
      <c r="K32" s="264"/>
      <c r="L32" s="264">
        <v>6.1816900000000001E-2</v>
      </c>
      <c r="M32" s="264">
        <v>5.6391200000000002E-2</v>
      </c>
      <c r="O32" s="260">
        <v>2004</v>
      </c>
      <c r="P32" s="264">
        <v>0.26255600000000001</v>
      </c>
      <c r="Q32" s="264">
        <v>0.23362769999999999</v>
      </c>
      <c r="R32" s="264"/>
      <c r="S32" s="264">
        <v>0.3021644</v>
      </c>
      <c r="T32" s="264">
        <v>0.33559410000000001</v>
      </c>
    </row>
    <row r="33" spans="1:20" x14ac:dyDescent="0.3">
      <c r="A33" s="260">
        <v>2005</v>
      </c>
      <c r="B33" s="264">
        <v>9.3276999999999995E-3</v>
      </c>
      <c r="C33" s="264">
        <v>2.9064E-3</v>
      </c>
      <c r="D33" s="264"/>
      <c r="E33" s="264">
        <v>1.18564E-2</v>
      </c>
      <c r="F33" s="264">
        <v>6.5303000000000002E-3</v>
      </c>
      <c r="H33" s="260">
        <v>2005</v>
      </c>
      <c r="I33" s="264">
        <v>2.9231099999999999E-2</v>
      </c>
      <c r="J33" s="264">
        <v>2.1555999999999999E-2</v>
      </c>
      <c r="K33" s="264"/>
      <c r="L33" s="264">
        <v>5.1359000000000002E-2</v>
      </c>
      <c r="M33" s="264">
        <v>5.6353E-2</v>
      </c>
      <c r="O33" s="260">
        <v>2005</v>
      </c>
      <c r="P33" s="264">
        <v>0.2473815</v>
      </c>
      <c r="Q33" s="264">
        <v>0.23049890000000001</v>
      </c>
      <c r="R33" s="264"/>
      <c r="S33" s="264">
        <v>0.31360969999999999</v>
      </c>
      <c r="T33" s="264">
        <v>0.33228210000000002</v>
      </c>
    </row>
    <row r="34" spans="1:20" x14ac:dyDescent="0.3">
      <c r="A34" s="260">
        <v>2006</v>
      </c>
      <c r="B34" s="264">
        <v>7.6401999999999998E-3</v>
      </c>
      <c r="C34" s="264">
        <v>3.0866999999999999E-3</v>
      </c>
      <c r="D34" s="264"/>
      <c r="E34" s="264">
        <v>7.7397999999999998E-3</v>
      </c>
      <c r="F34" s="264">
        <v>6.7397000000000004E-3</v>
      </c>
      <c r="H34" s="260">
        <v>2006</v>
      </c>
      <c r="I34" s="264">
        <v>2.2705300000000001E-2</v>
      </c>
      <c r="J34" s="264">
        <v>2.2029799999999999E-2</v>
      </c>
      <c r="K34" s="264"/>
      <c r="L34" s="264">
        <v>5.5932099999999998E-2</v>
      </c>
      <c r="M34" s="264">
        <v>5.6862500000000003E-2</v>
      </c>
      <c r="O34" s="260">
        <v>2006</v>
      </c>
      <c r="P34" s="264">
        <v>0.23163230000000001</v>
      </c>
      <c r="Q34" s="264">
        <v>0.22984550000000001</v>
      </c>
      <c r="R34" s="264"/>
      <c r="S34" s="264">
        <v>0.3085695</v>
      </c>
      <c r="T34" s="264">
        <v>0.33072629999999997</v>
      </c>
    </row>
    <row r="35" spans="1:20" x14ac:dyDescent="0.3">
      <c r="A35" s="260">
        <v>2007</v>
      </c>
      <c r="B35" s="264">
        <v>5.2719000000000004E-3</v>
      </c>
      <c r="C35" s="264">
        <v>3.0728000000000001E-3</v>
      </c>
      <c r="D35" s="264"/>
      <c r="E35" s="264">
        <v>1.04365E-2</v>
      </c>
      <c r="F35" s="264">
        <v>6.6023999999999996E-3</v>
      </c>
      <c r="H35" s="260">
        <v>2007</v>
      </c>
      <c r="I35" s="264">
        <v>2.2615799999999998E-2</v>
      </c>
      <c r="J35" s="264">
        <v>2.1589899999999999E-2</v>
      </c>
      <c r="K35" s="264"/>
      <c r="L35" s="264">
        <v>6.6864599999999996E-2</v>
      </c>
      <c r="M35" s="264">
        <v>5.55837E-2</v>
      </c>
      <c r="O35" s="260">
        <v>2007</v>
      </c>
      <c r="P35" s="264">
        <v>0.23232520000000001</v>
      </c>
      <c r="Q35" s="264">
        <v>0.24275089999999999</v>
      </c>
      <c r="R35" s="264"/>
      <c r="S35" s="264">
        <v>0.28468660000000001</v>
      </c>
      <c r="T35" s="264">
        <v>0.34000380000000002</v>
      </c>
    </row>
    <row r="36" spans="1:20" x14ac:dyDescent="0.3">
      <c r="A36" s="260">
        <v>2008</v>
      </c>
      <c r="B36" s="264">
        <v>5.4970000000000001E-3</v>
      </c>
      <c r="C36" s="264">
        <v>2.9545999999999999E-3</v>
      </c>
      <c r="D36" s="264"/>
      <c r="E36" s="264">
        <v>9.4058000000000006E-3</v>
      </c>
      <c r="F36" s="264">
        <v>6.4282999999999996E-3</v>
      </c>
      <c r="H36" s="260">
        <v>2008</v>
      </c>
      <c r="I36" s="264">
        <v>2.189E-2</v>
      </c>
      <c r="J36" s="264">
        <v>2.1792099999999998E-2</v>
      </c>
      <c r="K36" s="264"/>
      <c r="L36" s="264">
        <v>5.5102400000000003E-2</v>
      </c>
      <c r="M36" s="264">
        <v>5.5251700000000001E-2</v>
      </c>
      <c r="O36" s="260">
        <v>2008</v>
      </c>
      <c r="P36" s="264">
        <v>0.25165140000000003</v>
      </c>
      <c r="Q36" s="264">
        <v>0.24594479999999999</v>
      </c>
      <c r="R36" s="264"/>
      <c r="S36" s="264">
        <v>0.28861199999999998</v>
      </c>
      <c r="T36" s="264">
        <v>0.34411979999999998</v>
      </c>
    </row>
    <row r="37" spans="1:20" x14ac:dyDescent="0.3">
      <c r="A37" s="263"/>
      <c r="B37" s="263"/>
      <c r="C37" s="263"/>
      <c r="D37" s="263"/>
      <c r="E37" s="263"/>
      <c r="F37" s="263"/>
      <c r="G37" s="263"/>
      <c r="H37" s="263"/>
      <c r="I37" s="263"/>
      <c r="J37" s="263"/>
      <c r="K37" s="263"/>
      <c r="L37" s="263"/>
      <c r="M37" s="263"/>
    </row>
    <row r="38" spans="1:20" x14ac:dyDescent="0.3">
      <c r="A38" s="260" t="s">
        <v>347</v>
      </c>
      <c r="B38" s="264"/>
      <c r="C38" s="264"/>
      <c r="D38" s="264"/>
      <c r="E38" s="264"/>
      <c r="F38" s="264"/>
      <c r="H38" s="260" t="s">
        <v>424</v>
      </c>
      <c r="I38" s="264"/>
      <c r="J38" s="264"/>
      <c r="K38" s="264"/>
      <c r="L38" s="264"/>
      <c r="M38" s="264"/>
    </row>
    <row r="39" spans="1:20" x14ac:dyDescent="0.3">
      <c r="A39" s="260">
        <v>2001</v>
      </c>
      <c r="B39" s="264">
        <v>4.6459500000000001E-2</v>
      </c>
      <c r="C39" s="264">
        <v>4.2243700000000002E-2</v>
      </c>
      <c r="D39" s="264"/>
      <c r="E39" s="264">
        <v>3.8016500000000002E-2</v>
      </c>
      <c r="F39" s="264">
        <v>4.9624399999999999E-2</v>
      </c>
      <c r="H39" s="260">
        <v>2001</v>
      </c>
      <c r="I39" s="264">
        <v>1.4403E-3</v>
      </c>
      <c r="J39" s="264">
        <v>3.4344000000000002E-3</v>
      </c>
      <c r="K39" s="264"/>
      <c r="L39" s="264">
        <v>6.4111999999999997E-3</v>
      </c>
      <c r="M39" s="264">
        <v>5.9686000000000001E-3</v>
      </c>
    </row>
    <row r="40" spans="1:20" x14ac:dyDescent="0.3">
      <c r="A40" s="260">
        <v>2002</v>
      </c>
      <c r="B40" s="264">
        <v>4.8411099999999999E-2</v>
      </c>
      <c r="C40" s="264">
        <v>4.4807800000000002E-2</v>
      </c>
      <c r="D40" s="264"/>
      <c r="E40" s="264">
        <v>4.5759099999999997E-2</v>
      </c>
      <c r="F40" s="264">
        <v>5.13155E-2</v>
      </c>
      <c r="H40" s="260">
        <v>2002</v>
      </c>
      <c r="I40" s="264">
        <v>1.6613000000000001E-3</v>
      </c>
      <c r="J40" s="264">
        <v>3.3227999999999999E-3</v>
      </c>
      <c r="K40" s="264"/>
      <c r="L40" s="264">
        <v>9.3842000000000005E-3</v>
      </c>
      <c r="M40" s="264">
        <v>5.9159E-3</v>
      </c>
    </row>
    <row r="41" spans="1:20" x14ac:dyDescent="0.3">
      <c r="A41" s="260">
        <v>2003</v>
      </c>
      <c r="B41" s="264">
        <v>5.3690700000000001E-2</v>
      </c>
      <c r="C41" s="264">
        <v>4.2140700000000003E-2</v>
      </c>
      <c r="D41" s="264"/>
      <c r="E41" s="264">
        <v>5.1856199999999998E-2</v>
      </c>
      <c r="F41" s="264">
        <v>4.8682200000000002E-2</v>
      </c>
      <c r="H41" s="260">
        <v>2003</v>
      </c>
      <c r="I41" s="264">
        <v>1.5418000000000001E-3</v>
      </c>
      <c r="J41" s="264">
        <v>3.2060999999999999E-3</v>
      </c>
      <c r="K41" s="264"/>
      <c r="L41" s="264">
        <v>5.169E-3</v>
      </c>
      <c r="M41" s="264">
        <v>5.7470000000000004E-3</v>
      </c>
    </row>
    <row r="42" spans="1:20" x14ac:dyDescent="0.3">
      <c r="A42" s="260">
        <v>2004</v>
      </c>
      <c r="B42" s="264">
        <v>4.6782799999999999E-2</v>
      </c>
      <c r="C42" s="264">
        <v>3.8146300000000001E-2</v>
      </c>
      <c r="D42" s="264"/>
      <c r="E42" s="264">
        <v>5.8290700000000001E-2</v>
      </c>
      <c r="F42" s="264">
        <v>4.63171E-2</v>
      </c>
      <c r="H42" s="260">
        <v>2004</v>
      </c>
      <c r="I42" s="264">
        <v>2.2346000000000002E-3</v>
      </c>
      <c r="J42" s="264">
        <v>3.1957999999999999E-3</v>
      </c>
      <c r="K42" s="264"/>
      <c r="L42" s="264">
        <v>4.9915999999999997E-3</v>
      </c>
      <c r="M42" s="264">
        <v>5.7171000000000001E-3</v>
      </c>
    </row>
    <row r="43" spans="1:20" x14ac:dyDescent="0.3">
      <c r="A43" s="260">
        <v>2005</v>
      </c>
      <c r="B43" s="264">
        <v>3.83557E-2</v>
      </c>
      <c r="C43" s="264">
        <v>3.9995700000000002E-2</v>
      </c>
      <c r="D43" s="264"/>
      <c r="E43" s="264">
        <v>5.2525799999999997E-2</v>
      </c>
      <c r="F43" s="264">
        <v>4.7014800000000002E-2</v>
      </c>
      <c r="H43" s="260">
        <v>2005</v>
      </c>
      <c r="I43" s="264">
        <v>4.2573000000000003E-3</v>
      </c>
      <c r="J43" s="264">
        <v>3.1662000000000001E-3</v>
      </c>
      <c r="K43" s="264"/>
      <c r="L43" s="264">
        <v>5.5342999999999998E-3</v>
      </c>
      <c r="M43" s="264">
        <v>5.5582000000000001E-3</v>
      </c>
    </row>
    <row r="44" spans="1:20" x14ac:dyDescent="0.3">
      <c r="A44" s="260">
        <v>2006</v>
      </c>
      <c r="B44" s="264">
        <v>3.9687399999999998E-2</v>
      </c>
      <c r="C44" s="264">
        <v>3.91267E-2</v>
      </c>
      <c r="D44" s="264"/>
      <c r="E44" s="264">
        <v>5.2022600000000002E-2</v>
      </c>
      <c r="F44" s="264">
        <v>4.6438300000000002E-2</v>
      </c>
      <c r="H44" s="260">
        <v>2006</v>
      </c>
      <c r="I44" s="264">
        <v>5.0318000000000003E-3</v>
      </c>
      <c r="J44" s="264">
        <v>3.1001000000000002E-3</v>
      </c>
      <c r="K44" s="264"/>
      <c r="L44" s="264">
        <v>6.1108000000000004E-3</v>
      </c>
      <c r="M44" s="264">
        <v>5.4603000000000004E-3</v>
      </c>
    </row>
    <row r="45" spans="1:20" x14ac:dyDescent="0.3">
      <c r="A45" s="260">
        <v>2007</v>
      </c>
      <c r="B45" s="264">
        <v>3.7628000000000002E-2</v>
      </c>
      <c r="C45" s="264">
        <v>3.8958899999999998E-2</v>
      </c>
      <c r="D45" s="264"/>
      <c r="E45" s="264">
        <v>5.0205800000000002E-2</v>
      </c>
      <c r="F45" s="264">
        <v>4.6858700000000003E-2</v>
      </c>
      <c r="H45" s="260">
        <v>2007</v>
      </c>
      <c r="I45" s="264">
        <v>6.3156000000000002E-3</v>
      </c>
      <c r="J45" s="264">
        <v>3.0631E-3</v>
      </c>
      <c r="K45" s="264"/>
      <c r="L45" s="264">
        <v>7.7061999999999999E-3</v>
      </c>
      <c r="M45" s="264">
        <v>5.3765999999999996E-3</v>
      </c>
    </row>
    <row r="46" spans="1:20" x14ac:dyDescent="0.3">
      <c r="A46" s="260">
        <v>2008</v>
      </c>
      <c r="B46" s="264">
        <v>3.7431199999999998E-2</v>
      </c>
      <c r="C46" s="264">
        <v>3.8380900000000003E-2</v>
      </c>
      <c r="D46" s="264"/>
      <c r="E46" s="264">
        <v>5.3772399999999998E-2</v>
      </c>
      <c r="F46" s="264">
        <v>4.5726599999999999E-2</v>
      </c>
      <c r="H46" s="260">
        <v>2008</v>
      </c>
      <c r="I46" s="264">
        <v>5.2595000000000003E-3</v>
      </c>
      <c r="J46" s="264">
        <v>2.9215999999999999E-3</v>
      </c>
      <c r="K46" s="264"/>
      <c r="L46" s="264">
        <v>8.7090999999999991E-3</v>
      </c>
      <c r="M46" s="264">
        <v>5.1904000000000004E-3</v>
      </c>
    </row>
    <row r="47" spans="1:20" x14ac:dyDescent="0.3">
      <c r="A47" s="263"/>
      <c r="B47" s="263"/>
      <c r="C47" s="263"/>
      <c r="D47" s="263"/>
      <c r="E47" s="263"/>
      <c r="F47" s="263"/>
      <c r="G47" s="263"/>
      <c r="H47" s="263"/>
      <c r="I47" s="263"/>
      <c r="J47" s="263"/>
      <c r="K47" s="263"/>
      <c r="L47" s="263"/>
      <c r="M47" s="263"/>
    </row>
    <row r="48" spans="1:20" x14ac:dyDescent="0.3">
      <c r="A48" s="260" t="s">
        <v>326</v>
      </c>
      <c r="B48" s="264"/>
      <c r="C48" s="264"/>
      <c r="D48" s="264"/>
      <c r="E48" s="264"/>
      <c r="F48" s="264"/>
      <c r="H48" s="260" t="s">
        <v>385</v>
      </c>
      <c r="I48" s="264"/>
      <c r="J48" s="264"/>
      <c r="K48" s="264"/>
      <c r="L48" s="264"/>
      <c r="M48" s="264"/>
    </row>
    <row r="49" spans="1:20" x14ac:dyDescent="0.3">
      <c r="A49" s="260">
        <v>2001</v>
      </c>
      <c r="B49" s="264">
        <v>4.8665699999999999E-2</v>
      </c>
      <c r="C49" s="264">
        <v>3.5042999999999998E-2</v>
      </c>
      <c r="D49" s="264"/>
      <c r="E49" s="264">
        <v>9.6081799999999995E-2</v>
      </c>
      <c r="F49" s="264">
        <v>0.1015086</v>
      </c>
      <c r="H49" s="260">
        <v>2001</v>
      </c>
      <c r="I49" s="264">
        <v>1.55783E-2</v>
      </c>
      <c r="J49" s="264">
        <v>8.1223000000000007E-3</v>
      </c>
      <c r="K49" s="264"/>
      <c r="L49" s="264">
        <v>1.9545E-2</v>
      </c>
      <c r="M49" s="264">
        <v>1.07998E-2</v>
      </c>
    </row>
    <row r="50" spans="1:20" x14ac:dyDescent="0.3">
      <c r="A50" s="260">
        <v>2002</v>
      </c>
      <c r="B50" s="264">
        <v>4.99321E-2</v>
      </c>
      <c r="C50" s="264">
        <v>3.8215699999999998E-2</v>
      </c>
      <c r="D50" s="264"/>
      <c r="E50" s="264">
        <v>0.1010471</v>
      </c>
      <c r="F50" s="264">
        <v>0.1045862</v>
      </c>
      <c r="H50" s="260">
        <v>2002</v>
      </c>
      <c r="I50" s="264">
        <v>1.5585999999999999E-2</v>
      </c>
      <c r="J50" s="264">
        <v>7.7006000000000002E-3</v>
      </c>
      <c r="K50" s="264"/>
      <c r="L50" s="264">
        <v>1.4190100000000001E-2</v>
      </c>
      <c r="M50" s="264">
        <v>1.0478599999999999E-2</v>
      </c>
    </row>
    <row r="51" spans="1:20" x14ac:dyDescent="0.3">
      <c r="A51" s="260">
        <v>2003</v>
      </c>
      <c r="B51" s="264">
        <v>4.1914199999999999E-2</v>
      </c>
      <c r="C51" s="264">
        <v>3.2688799999999997E-2</v>
      </c>
      <c r="D51" s="264"/>
      <c r="E51" s="264">
        <v>0.10567940000000001</v>
      </c>
      <c r="F51" s="264">
        <v>9.6516299999999999E-2</v>
      </c>
      <c r="H51" s="260">
        <v>2003</v>
      </c>
      <c r="I51" s="264">
        <v>1.6439700000000002E-2</v>
      </c>
      <c r="J51" s="264">
        <v>7.3138999999999999E-3</v>
      </c>
      <c r="K51" s="264"/>
      <c r="L51" s="264">
        <v>1.3106400000000001E-2</v>
      </c>
      <c r="M51" s="264">
        <v>1.01003E-2</v>
      </c>
    </row>
    <row r="52" spans="1:20" x14ac:dyDescent="0.3">
      <c r="A52" s="260">
        <v>2004</v>
      </c>
      <c r="B52" s="264">
        <v>3.4717600000000001E-2</v>
      </c>
      <c r="C52" s="264">
        <v>3.1411399999999999E-2</v>
      </c>
      <c r="D52" s="264"/>
      <c r="E52" s="264">
        <v>0.1129912</v>
      </c>
      <c r="F52" s="264">
        <v>9.3799999999999994E-2</v>
      </c>
      <c r="H52" s="260">
        <v>2004</v>
      </c>
      <c r="I52" s="264">
        <v>1.3899999999999999E-2</v>
      </c>
      <c r="J52" s="264">
        <v>7.6537999999999997E-3</v>
      </c>
      <c r="K52" s="264"/>
      <c r="L52" s="264">
        <v>1.11164E-2</v>
      </c>
      <c r="M52" s="264">
        <v>1.0426400000000001E-2</v>
      </c>
    </row>
    <row r="53" spans="1:20" x14ac:dyDescent="0.3">
      <c r="A53" s="260">
        <v>2005</v>
      </c>
      <c r="B53" s="264">
        <v>3.4278299999999998E-2</v>
      </c>
      <c r="C53" s="264">
        <v>3.2489299999999999E-2</v>
      </c>
      <c r="D53" s="264"/>
      <c r="E53" s="264">
        <v>0.10487200000000001</v>
      </c>
      <c r="F53" s="264">
        <v>9.5219499999999999E-2</v>
      </c>
      <c r="H53" s="260">
        <v>2005</v>
      </c>
      <c r="I53" s="264">
        <v>1.5843599999999999E-2</v>
      </c>
      <c r="J53" s="264">
        <v>7.3752000000000002E-3</v>
      </c>
      <c r="K53" s="264"/>
      <c r="L53" s="264">
        <v>1.29225E-2</v>
      </c>
      <c r="M53" s="264">
        <v>1.01332E-2</v>
      </c>
    </row>
    <row r="54" spans="1:20" x14ac:dyDescent="0.3">
      <c r="A54" s="260">
        <v>2006</v>
      </c>
      <c r="B54" s="264">
        <v>3.0596600000000002E-2</v>
      </c>
      <c r="C54" s="264">
        <v>3.3261899999999997E-2</v>
      </c>
      <c r="D54" s="264"/>
      <c r="E54" s="264">
        <v>9.1746599999999998E-2</v>
      </c>
      <c r="F54" s="264">
        <v>9.5752599999999993E-2</v>
      </c>
      <c r="H54" s="260">
        <v>2006</v>
      </c>
      <c r="I54" s="264">
        <v>1.7797400000000001E-2</v>
      </c>
      <c r="J54" s="264">
        <v>7.8937999999999994E-3</v>
      </c>
      <c r="K54" s="264"/>
      <c r="L54" s="264">
        <v>1.5440799999999999E-2</v>
      </c>
      <c r="M54" s="264">
        <v>1.04683E-2</v>
      </c>
    </row>
    <row r="55" spans="1:20" x14ac:dyDescent="0.3">
      <c r="A55" s="260">
        <v>2007</v>
      </c>
      <c r="B55" s="264">
        <v>4.0164199999999997E-2</v>
      </c>
      <c r="C55" s="264">
        <v>3.3122100000000002E-2</v>
      </c>
      <c r="D55" s="264"/>
      <c r="E55" s="264">
        <v>8.2305799999999998E-2</v>
      </c>
      <c r="F55" s="264">
        <v>9.4802300000000006E-2</v>
      </c>
      <c r="H55" s="260">
        <v>2007</v>
      </c>
      <c r="I55" s="264">
        <v>1.3634200000000001E-2</v>
      </c>
      <c r="J55" s="264">
        <v>7.6058999999999996E-3</v>
      </c>
      <c r="K55" s="264"/>
      <c r="L55" s="264">
        <v>1.38656E-2</v>
      </c>
      <c r="M55" s="264">
        <v>1.0099E-2</v>
      </c>
    </row>
    <row r="56" spans="1:20" ht="18" thickBot="1" x14ac:dyDescent="0.35">
      <c r="A56" s="261">
        <v>2008</v>
      </c>
      <c r="B56" s="266">
        <v>3.6471999999999997E-2</v>
      </c>
      <c r="C56" s="266">
        <v>3.2397299999999997E-2</v>
      </c>
      <c r="D56" s="266"/>
      <c r="E56" s="266">
        <v>7.6105800000000001E-2</v>
      </c>
      <c r="F56" s="266">
        <v>9.4091800000000003E-2</v>
      </c>
      <c r="G56" s="261"/>
      <c r="H56" s="261">
        <v>2008</v>
      </c>
      <c r="I56" s="266">
        <v>9.2787000000000008E-3</v>
      </c>
      <c r="J56" s="266">
        <v>8.3523E-3</v>
      </c>
      <c r="K56" s="266"/>
      <c r="L56" s="266">
        <v>1.71095E-2</v>
      </c>
      <c r="M56" s="266">
        <v>1.0600699999999999E-2</v>
      </c>
      <c r="N56" s="261"/>
      <c r="O56" s="261"/>
      <c r="P56" s="261"/>
      <c r="Q56" s="261"/>
      <c r="R56" s="261"/>
      <c r="S56" s="261"/>
      <c r="T56" s="261"/>
    </row>
    <row r="57" spans="1:20" ht="18" thickTop="1" x14ac:dyDescent="0.3">
      <c r="B57" s="264"/>
      <c r="C57" s="264"/>
      <c r="D57" s="264"/>
      <c r="E57" s="264"/>
      <c r="F57" s="264"/>
    </row>
    <row r="107" spans="2:6" x14ac:dyDescent="0.3">
      <c r="B107" s="264"/>
      <c r="C107" s="264"/>
      <c r="D107" s="264"/>
      <c r="E107" s="264"/>
      <c r="F107" s="264"/>
    </row>
  </sheetData>
  <mergeCells count="7">
    <mergeCell ref="A2:T2"/>
    <mergeCell ref="S5:T5"/>
    <mergeCell ref="B5:C5"/>
    <mergeCell ref="E5:F5"/>
    <mergeCell ref="I5:J5"/>
    <mergeCell ref="L5:M5"/>
    <mergeCell ref="P5:Q5"/>
  </mergeCells>
  <phoneticPr fontId="13" type="noConversion"/>
  <pageMargins left="0.75000000000000011" right="0.75000000000000011" top="1" bottom="1" header="0.5" footer="0.5"/>
  <pageSetup paperSize="9" scale="46" orientation="landscape" horizontalDpi="4294967292" verticalDpi="4294967292"/>
  <extLst>
    <ext xmlns:mx="http://schemas.microsoft.com/office/mac/excel/2008/main" uri="{64002731-A6B0-56B0-2670-7721B7C09600}">
      <mx:PLV Mode="0" OnePage="0" WScale="100"/>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O244"/>
  <sheetViews>
    <sheetView zoomScale="70" zoomScaleNormal="70" zoomScalePageLayoutView="70" workbookViewId="0">
      <pane xSplit="1" ySplit="5" topLeftCell="B6" activePane="bottomRight" state="frozen"/>
      <selection activeCell="B15" sqref="B15"/>
      <selection pane="topRight" activeCell="B15" sqref="B15"/>
      <selection pane="bottomLeft" activeCell="B15" sqref="B15"/>
      <selection pane="bottomRight" activeCell="A2" sqref="A2:O244"/>
    </sheetView>
  </sheetViews>
  <sheetFormatPr baseColWidth="10" defaultColWidth="10.7265625" defaultRowHeight="15" x14ac:dyDescent="0.25"/>
  <cols>
    <col min="1" max="1" width="37.7265625" style="257" customWidth="1"/>
    <col min="2" max="5" width="12.1796875" style="257" customWidth="1"/>
    <col min="6" max="6" width="9.81640625" style="257" customWidth="1"/>
    <col min="7" max="10" width="12.1796875" style="257" customWidth="1"/>
    <col min="11" max="11" width="9.81640625" style="257" customWidth="1"/>
    <col min="12" max="15" width="12.1796875" style="257" customWidth="1"/>
    <col min="16" max="16384" width="10.7265625" style="257"/>
  </cols>
  <sheetData>
    <row r="1" spans="1:15" ht="17.399999999999999" x14ac:dyDescent="0.3">
      <c r="B1" s="733"/>
      <c r="C1" s="733"/>
      <c r="D1" s="733"/>
      <c r="E1" s="733"/>
      <c r="F1" s="733"/>
    </row>
    <row r="2" spans="1:15" ht="28.2" x14ac:dyDescent="0.5">
      <c r="A2" s="728" t="s">
        <v>911</v>
      </c>
      <c r="B2" s="728"/>
      <c r="C2" s="728"/>
      <c r="D2" s="728"/>
      <c r="E2" s="728"/>
      <c r="F2" s="728"/>
      <c r="G2" s="728"/>
      <c r="H2" s="728"/>
      <c r="I2" s="728"/>
      <c r="J2" s="728"/>
      <c r="K2" s="728"/>
      <c r="L2" s="728"/>
      <c r="M2" s="728"/>
      <c r="N2" s="728"/>
      <c r="O2" s="728"/>
    </row>
    <row r="3" spans="1:15" ht="18" thickBot="1" x14ac:dyDescent="0.35">
      <c r="A3" s="242"/>
      <c r="B3" s="259"/>
      <c r="C3" s="259"/>
      <c r="D3" s="259"/>
      <c r="E3" s="259"/>
      <c r="F3" s="259"/>
      <c r="L3" s="259"/>
      <c r="M3" s="259"/>
      <c r="N3" s="259"/>
      <c r="O3" s="259"/>
    </row>
    <row r="4" spans="1:15" ht="30" customHeight="1" thickTop="1" x14ac:dyDescent="0.25">
      <c r="A4" s="272"/>
      <c r="B4" s="732" t="s">
        <v>647</v>
      </c>
      <c r="C4" s="732"/>
      <c r="D4" s="732"/>
      <c r="E4" s="732"/>
      <c r="F4" s="272"/>
      <c r="G4" s="732" t="s">
        <v>348</v>
      </c>
      <c r="H4" s="732"/>
      <c r="I4" s="732"/>
      <c r="J4" s="732"/>
      <c r="K4" s="353"/>
      <c r="L4" s="732" t="s">
        <v>347</v>
      </c>
      <c r="M4" s="732"/>
      <c r="N4" s="732"/>
      <c r="O4" s="732"/>
    </row>
    <row r="5" spans="1:15" s="258" customFormat="1" ht="49.95" customHeight="1" x14ac:dyDescent="0.3">
      <c r="A5" s="354"/>
      <c r="B5" s="355" t="s">
        <v>652</v>
      </c>
      <c r="C5" s="355" t="s">
        <v>653</v>
      </c>
      <c r="D5" s="355" t="s">
        <v>654</v>
      </c>
      <c r="E5" s="355" t="s">
        <v>655</v>
      </c>
      <c r="F5" s="355"/>
      <c r="G5" s="355" t="s">
        <v>652</v>
      </c>
      <c r="H5" s="355" t="s">
        <v>653</v>
      </c>
      <c r="I5" s="355" t="s">
        <v>654</v>
      </c>
      <c r="J5" s="355" t="s">
        <v>655</v>
      </c>
      <c r="K5" s="355"/>
      <c r="L5" s="355" t="s">
        <v>652</v>
      </c>
      <c r="M5" s="355" t="s">
        <v>653</v>
      </c>
      <c r="N5" s="355" t="s">
        <v>654</v>
      </c>
      <c r="O5" s="355" t="s">
        <v>655</v>
      </c>
    </row>
    <row r="6" spans="1:15" ht="17.399999999999999" x14ac:dyDescent="0.3">
      <c r="A6" s="260" t="s">
        <v>341</v>
      </c>
      <c r="B6" s="357"/>
      <c r="C6" s="357"/>
      <c r="D6" s="357"/>
      <c r="E6" s="357"/>
      <c r="F6" s="357"/>
      <c r="G6" s="356">
        <v>0.47028639999999999</v>
      </c>
      <c r="H6" s="356">
        <v>0.50583290000000003</v>
      </c>
      <c r="I6" s="356">
        <v>0.32073499999999999</v>
      </c>
      <c r="J6" s="356">
        <v>0.55048189999999997</v>
      </c>
      <c r="K6" s="356"/>
      <c r="L6" s="356">
        <v>0.1445149</v>
      </c>
      <c r="M6" s="356">
        <v>0.1886544</v>
      </c>
      <c r="N6" s="356">
        <v>9.8917400000000003E-2</v>
      </c>
      <c r="O6" s="356">
        <v>0.20262569999999999</v>
      </c>
    </row>
    <row r="7" spans="1:15" ht="17.399999999999999" x14ac:dyDescent="0.3">
      <c r="A7" s="260" t="s">
        <v>330</v>
      </c>
      <c r="B7" s="356">
        <v>0.17571339999999999</v>
      </c>
      <c r="C7" s="356">
        <v>0.25168869999999999</v>
      </c>
      <c r="D7" s="356">
        <v>0.22310050000000001</v>
      </c>
      <c r="E7" s="356">
        <v>0.19131880000000001</v>
      </c>
      <c r="F7" s="357"/>
      <c r="G7" s="356">
        <v>0.10965419999999999</v>
      </c>
      <c r="H7" s="356">
        <v>0.1097769</v>
      </c>
      <c r="I7" s="356">
        <v>5.5037099999999999E-2</v>
      </c>
      <c r="J7" s="356">
        <v>8.7609800000000002E-2</v>
      </c>
      <c r="K7" s="356"/>
      <c r="L7" s="356">
        <v>0.11010730000000001</v>
      </c>
      <c r="M7" s="356">
        <v>0.29860179999999997</v>
      </c>
      <c r="N7" s="356">
        <v>8.8817900000000005E-2</v>
      </c>
      <c r="O7" s="356">
        <v>0.26828800000000003</v>
      </c>
    </row>
    <row r="8" spans="1:15" ht="17.399999999999999" x14ac:dyDescent="0.3">
      <c r="A8" s="260" t="s">
        <v>548</v>
      </c>
      <c r="B8" s="356">
        <v>2.5977000000000001E-3</v>
      </c>
      <c r="C8" s="356">
        <v>5.4335E-3</v>
      </c>
      <c r="D8" s="356">
        <v>4.7606999999999997E-3</v>
      </c>
      <c r="E8" s="356">
        <v>1.9622799999999999E-2</v>
      </c>
      <c r="F8" s="357"/>
      <c r="G8" s="356">
        <v>1.5047000000000001E-3</v>
      </c>
      <c r="H8" s="356">
        <v>3.9506000000000003E-3</v>
      </c>
      <c r="I8" s="356">
        <v>6.9763999999999998E-3</v>
      </c>
      <c r="J8" s="356">
        <v>1.0211400000000001E-2</v>
      </c>
      <c r="K8" s="356"/>
      <c r="L8" s="356">
        <v>2.7307999999999998E-3</v>
      </c>
      <c r="M8" s="356">
        <v>3.9921999999999996E-3</v>
      </c>
      <c r="N8" s="356">
        <v>2.1394300000000002E-2</v>
      </c>
      <c r="O8" s="356">
        <v>1.16527E-2</v>
      </c>
    </row>
    <row r="9" spans="1:15" ht="17.399999999999999" x14ac:dyDescent="0.3">
      <c r="A9" s="260" t="s">
        <v>325</v>
      </c>
      <c r="B9" s="356">
        <v>5.9094999999999998E-3</v>
      </c>
      <c r="C9" s="356">
        <v>8.2252000000000002E-3</v>
      </c>
      <c r="D9" s="356">
        <v>4.8659999999999997E-3</v>
      </c>
      <c r="E9" s="356">
        <v>1.2163200000000001E-2</v>
      </c>
      <c r="F9" s="357"/>
      <c r="G9" s="356">
        <v>3.7969000000000002E-3</v>
      </c>
      <c r="H9" s="356">
        <v>5.3011000000000004E-3</v>
      </c>
      <c r="I9" s="356">
        <v>9.0401000000000006E-3</v>
      </c>
      <c r="J9" s="356">
        <v>5.5833999999999996E-3</v>
      </c>
      <c r="K9" s="356"/>
      <c r="L9" s="356">
        <v>2.6494899999999998E-2</v>
      </c>
      <c r="M9" s="356">
        <v>2.7280200000000001E-2</v>
      </c>
      <c r="N9" s="356">
        <v>3.8215800000000001E-2</v>
      </c>
      <c r="O9" s="356">
        <v>2.2345299999999998E-2</v>
      </c>
    </row>
    <row r="10" spans="1:15" ht="17.399999999999999" x14ac:dyDescent="0.3">
      <c r="A10" s="260" t="s">
        <v>512</v>
      </c>
      <c r="B10" s="356">
        <v>5.4082000000000002E-3</v>
      </c>
      <c r="C10" s="356">
        <v>4.2329000000000004E-3</v>
      </c>
      <c r="D10" s="356">
        <v>8.0475000000000008E-3</v>
      </c>
      <c r="E10" s="356">
        <v>9.4894000000000003E-3</v>
      </c>
      <c r="F10" s="357"/>
      <c r="G10" s="356">
        <v>2.7231E-3</v>
      </c>
      <c r="H10" s="356">
        <v>2.4526999999999999E-3</v>
      </c>
      <c r="I10" s="356">
        <v>5.0185000000000004E-3</v>
      </c>
      <c r="J10" s="356">
        <v>4.1253000000000001E-3</v>
      </c>
      <c r="K10" s="356"/>
      <c r="L10" s="356">
        <v>1.8328999999999999E-3</v>
      </c>
      <c r="M10" s="356">
        <v>1.9848999999999999E-3</v>
      </c>
      <c r="N10" s="356">
        <v>4.9186999999999998E-3</v>
      </c>
      <c r="O10" s="356">
        <v>3.9342999999999999E-3</v>
      </c>
    </row>
    <row r="11" spans="1:15" ht="17.399999999999999" x14ac:dyDescent="0.3">
      <c r="A11" s="260" t="s">
        <v>347</v>
      </c>
      <c r="B11" s="356">
        <v>6.7353300000000005E-2</v>
      </c>
      <c r="C11" s="356">
        <v>8.1894999999999996E-2</v>
      </c>
      <c r="D11" s="356">
        <v>4.8214899999999998E-2</v>
      </c>
      <c r="E11" s="356">
        <v>8.8871699999999998E-2</v>
      </c>
      <c r="F11" s="357"/>
      <c r="G11" s="356">
        <v>4.3686000000000003E-2</v>
      </c>
      <c r="H11" s="356">
        <v>6.0287599999999997E-2</v>
      </c>
      <c r="I11" s="356">
        <v>5.8661600000000001E-2</v>
      </c>
      <c r="J11" s="356">
        <v>4.3949200000000001E-2</v>
      </c>
      <c r="K11" s="356"/>
      <c r="L11" s="357"/>
      <c r="M11" s="357"/>
      <c r="N11" s="357"/>
      <c r="O11" s="357"/>
    </row>
    <row r="12" spans="1:15" ht="17.399999999999999" x14ac:dyDescent="0.3">
      <c r="A12" s="260" t="s">
        <v>326</v>
      </c>
      <c r="B12" s="356">
        <v>5.0426199999999997E-2</v>
      </c>
      <c r="C12" s="356">
        <v>6.9014800000000001E-2</v>
      </c>
      <c r="D12" s="356">
        <v>6.3515000000000002E-2</v>
      </c>
      <c r="E12" s="356">
        <v>0.18544939999999999</v>
      </c>
      <c r="F12" s="357"/>
      <c r="G12" s="356">
        <v>3.08837E-2</v>
      </c>
      <c r="H12" s="356">
        <v>5.9195200000000003E-2</v>
      </c>
      <c r="I12" s="356">
        <v>9.0502799999999994E-2</v>
      </c>
      <c r="J12" s="356">
        <v>0.1037389</v>
      </c>
      <c r="K12" s="356"/>
      <c r="L12" s="356">
        <v>0.109504</v>
      </c>
      <c r="M12" s="356">
        <v>0.14425389999999999</v>
      </c>
      <c r="N12" s="356">
        <v>0.1307912</v>
      </c>
      <c r="O12" s="356">
        <v>0.27816370000000001</v>
      </c>
    </row>
    <row r="13" spans="1:15" ht="17.399999999999999" x14ac:dyDescent="0.3">
      <c r="A13" s="260" t="s">
        <v>406</v>
      </c>
      <c r="B13" s="356">
        <v>0</v>
      </c>
      <c r="C13" s="356">
        <v>1.184E-4</v>
      </c>
      <c r="D13" s="356">
        <v>0</v>
      </c>
      <c r="E13" s="356">
        <v>7.4400000000000006E-5</v>
      </c>
      <c r="F13" s="357"/>
      <c r="G13" s="356">
        <v>0</v>
      </c>
      <c r="H13" s="356">
        <v>5.1400000000000003E-5</v>
      </c>
      <c r="I13" s="356">
        <v>0</v>
      </c>
      <c r="J13" s="356">
        <v>2.5199999999999999E-5</v>
      </c>
      <c r="K13" s="356"/>
      <c r="L13" s="356">
        <v>0</v>
      </c>
      <c r="M13" s="356">
        <v>5.3499999999999999E-5</v>
      </c>
      <c r="N13" s="356">
        <v>0</v>
      </c>
      <c r="O13" s="356">
        <v>3.2499999999999997E-5</v>
      </c>
    </row>
    <row r="14" spans="1:15" ht="17.399999999999999" x14ac:dyDescent="0.3">
      <c r="A14" s="260" t="s">
        <v>473</v>
      </c>
      <c r="B14" s="356">
        <v>1.9966600000000001E-2</v>
      </c>
      <c r="C14" s="356">
        <v>2.0624900000000002E-2</v>
      </c>
      <c r="D14" s="356">
        <v>1.5866000000000002E-2</v>
      </c>
      <c r="E14" s="356">
        <v>3.8807500000000002E-2</v>
      </c>
      <c r="F14" s="357"/>
      <c r="G14" s="356">
        <v>1.50204E-2</v>
      </c>
      <c r="H14" s="356">
        <v>2.1882700000000001E-2</v>
      </c>
      <c r="I14" s="356">
        <v>3.3098000000000002E-2</v>
      </c>
      <c r="J14" s="356">
        <v>2.5598099999999999E-2</v>
      </c>
      <c r="K14" s="356"/>
      <c r="L14" s="356">
        <v>5.6420100000000001E-2</v>
      </c>
      <c r="M14" s="356">
        <v>2.12474E-2</v>
      </c>
      <c r="N14" s="356">
        <v>0.13982230000000001</v>
      </c>
      <c r="O14" s="356">
        <v>2.8216000000000001E-2</v>
      </c>
    </row>
    <row r="15" spans="1:15" ht="17.399999999999999" x14ac:dyDescent="0.3">
      <c r="A15" s="260" t="s">
        <v>292</v>
      </c>
      <c r="B15" s="356">
        <v>3.7596000000000001E-3</v>
      </c>
      <c r="C15" s="356">
        <v>0.10161580000000001</v>
      </c>
      <c r="D15" s="356">
        <v>2.2745499999999998E-2</v>
      </c>
      <c r="E15" s="356">
        <v>2.9390900000000001E-2</v>
      </c>
      <c r="F15" s="357"/>
      <c r="G15" s="356">
        <v>2.1104600000000001E-2</v>
      </c>
      <c r="H15" s="356">
        <v>5.7027899999999999E-2</v>
      </c>
      <c r="I15" s="356">
        <v>3.9020300000000001E-2</v>
      </c>
      <c r="J15" s="356">
        <v>1.2127300000000001E-2</v>
      </c>
      <c r="K15" s="356"/>
      <c r="L15" s="356">
        <v>0.13648350000000001</v>
      </c>
      <c r="M15" s="356">
        <v>0.14145489999999999</v>
      </c>
      <c r="N15" s="356">
        <v>1.5155E-2</v>
      </c>
      <c r="O15" s="356">
        <v>2.7408700000000001E-2</v>
      </c>
    </row>
    <row r="16" spans="1:15" ht="17.399999999999999" x14ac:dyDescent="0.3">
      <c r="A16" s="260" t="s">
        <v>342</v>
      </c>
      <c r="B16" s="356">
        <v>4.7261200000000003E-2</v>
      </c>
      <c r="C16" s="356">
        <v>4.0380100000000002E-2</v>
      </c>
      <c r="D16" s="356">
        <v>5.2588299999999998E-2</v>
      </c>
      <c r="E16" s="356">
        <v>0.1001508</v>
      </c>
      <c r="F16" s="357"/>
      <c r="G16" s="356">
        <v>1.96011E-2</v>
      </c>
      <c r="H16" s="356">
        <v>2.8118500000000001E-2</v>
      </c>
      <c r="I16" s="356">
        <v>3.6088299999999997E-2</v>
      </c>
      <c r="J16" s="356">
        <v>4.7619599999999998E-2</v>
      </c>
      <c r="K16" s="356"/>
      <c r="L16" s="356">
        <v>8.2203100000000001E-2</v>
      </c>
      <c r="M16" s="356">
        <v>3.5235200000000001E-2</v>
      </c>
      <c r="N16" s="356">
        <v>0.1169143</v>
      </c>
      <c r="O16" s="356">
        <v>8.1433000000000005E-2</v>
      </c>
    </row>
    <row r="17" spans="1:15" ht="17.399999999999999" x14ac:dyDescent="0.3">
      <c r="A17" s="260" t="s">
        <v>361</v>
      </c>
      <c r="B17" s="356">
        <v>0</v>
      </c>
      <c r="C17" s="356">
        <v>0</v>
      </c>
      <c r="D17" s="356">
        <v>0</v>
      </c>
      <c r="E17" s="356">
        <v>0</v>
      </c>
      <c r="F17" s="357"/>
      <c r="G17" s="356">
        <v>0</v>
      </c>
      <c r="H17" s="356">
        <v>0</v>
      </c>
      <c r="I17" s="356">
        <v>0</v>
      </c>
      <c r="J17" s="356">
        <v>0</v>
      </c>
      <c r="K17" s="356"/>
      <c r="L17" s="356">
        <v>0</v>
      </c>
      <c r="M17" s="356">
        <v>0</v>
      </c>
      <c r="N17" s="356">
        <v>0</v>
      </c>
      <c r="O17" s="356">
        <v>0</v>
      </c>
    </row>
    <row r="18" spans="1:15" ht="17.399999999999999" x14ac:dyDescent="0.3">
      <c r="A18" s="260" t="s">
        <v>424</v>
      </c>
      <c r="B18" s="356">
        <v>6.3690999999999999E-3</v>
      </c>
      <c r="C18" s="356">
        <v>5.2088999999999998E-3</v>
      </c>
      <c r="D18" s="356">
        <v>1.01374E-2</v>
      </c>
      <c r="E18" s="356">
        <v>8.1951999999999997E-3</v>
      </c>
      <c r="F18" s="357"/>
      <c r="G18" s="356">
        <v>2.3803000000000001E-3</v>
      </c>
      <c r="H18" s="356">
        <v>2.8860000000000001E-3</v>
      </c>
      <c r="I18" s="356">
        <v>8.7945999999999996E-3</v>
      </c>
      <c r="J18" s="356">
        <v>3.4342000000000001E-3</v>
      </c>
      <c r="K18" s="356"/>
      <c r="L18" s="356">
        <v>2.4688000000000002E-3</v>
      </c>
      <c r="M18" s="356">
        <v>2.1505999999999999E-3</v>
      </c>
      <c r="N18" s="356">
        <v>3.1137000000000001E-3</v>
      </c>
      <c r="O18" s="356">
        <v>2.8433E-3</v>
      </c>
    </row>
    <row r="19" spans="1:15" ht="17.399999999999999" x14ac:dyDescent="0.3">
      <c r="A19" s="260" t="s">
        <v>385</v>
      </c>
      <c r="B19" s="356">
        <v>1.28448E-2</v>
      </c>
      <c r="C19" s="356">
        <v>1.6627699999999999E-2</v>
      </c>
      <c r="D19" s="356">
        <v>2.2184300000000001E-2</v>
      </c>
      <c r="E19" s="356">
        <v>2.1115600000000002E-2</v>
      </c>
      <c r="F19" s="357"/>
      <c r="G19" s="356">
        <v>8.1273999999999999E-3</v>
      </c>
      <c r="H19" s="356">
        <v>6.7539000000000002E-3</v>
      </c>
      <c r="I19" s="356">
        <v>1.2622E-2</v>
      </c>
      <c r="J19" s="356">
        <v>7.4999999999999997E-3</v>
      </c>
      <c r="K19" s="356"/>
      <c r="L19" s="356">
        <v>5.9306999999999997E-3</v>
      </c>
      <c r="M19" s="356">
        <v>5.0781999999999997E-3</v>
      </c>
      <c r="N19" s="356">
        <v>1.11848E-2</v>
      </c>
      <c r="O19" s="356">
        <v>5.9848999999999996E-3</v>
      </c>
    </row>
    <row r="20" spans="1:15" ht="17.399999999999999" x14ac:dyDescent="0.3">
      <c r="A20" s="260" t="s">
        <v>346</v>
      </c>
      <c r="B20" s="356">
        <v>5.8104900000000001E-2</v>
      </c>
      <c r="C20" s="356">
        <v>3.8740499999999997E-2</v>
      </c>
      <c r="D20" s="356">
        <v>3.0404999999999998E-3</v>
      </c>
      <c r="E20" s="356">
        <v>6.5938000000000004E-3</v>
      </c>
      <c r="F20" s="357"/>
      <c r="G20" s="356">
        <v>2.9568199999999999E-2</v>
      </c>
      <c r="H20" s="356">
        <v>1.6052899999999998E-2</v>
      </c>
      <c r="I20" s="356">
        <v>1.1559999999999999E-3</v>
      </c>
      <c r="J20" s="356">
        <v>2.1947999999999998E-3</v>
      </c>
      <c r="K20" s="356"/>
      <c r="L20" s="356">
        <v>4.4570800000000001E-2</v>
      </c>
      <c r="M20" s="356">
        <v>3.32159E-2</v>
      </c>
      <c r="N20" s="356">
        <v>1.1831999999999999E-3</v>
      </c>
      <c r="O20" s="356">
        <v>3.9180999999999999E-3</v>
      </c>
    </row>
    <row r="21" spans="1:15" ht="17.399999999999999" x14ac:dyDescent="0.3">
      <c r="A21" s="260" t="s">
        <v>331</v>
      </c>
      <c r="B21" s="356">
        <v>6.7543400000000003E-2</v>
      </c>
      <c r="C21" s="356">
        <v>6.30222E-2</v>
      </c>
      <c r="D21" s="356">
        <v>0.13841780000000001</v>
      </c>
      <c r="E21" s="356">
        <v>8.5193900000000003E-2</v>
      </c>
      <c r="F21" s="357"/>
      <c r="G21" s="356">
        <v>2.1874600000000001E-2</v>
      </c>
      <c r="H21" s="356">
        <v>9.7801999999999993E-3</v>
      </c>
      <c r="I21" s="356">
        <v>1.7337000000000002E-2</v>
      </c>
      <c r="J21" s="356">
        <v>9.7312000000000006E-3</v>
      </c>
      <c r="K21" s="356"/>
      <c r="L21" s="356">
        <v>4.3391999999999997E-3</v>
      </c>
      <c r="M21" s="356">
        <v>1.0269800000000001E-2</v>
      </c>
      <c r="N21" s="356">
        <v>1.0156399999999999E-2</v>
      </c>
      <c r="O21" s="356">
        <v>5.3483999999999997E-3</v>
      </c>
    </row>
    <row r="22" spans="1:15" ht="17.399999999999999" x14ac:dyDescent="0.3">
      <c r="A22" s="260" t="s">
        <v>348</v>
      </c>
      <c r="B22" s="356">
        <v>0.1214474</v>
      </c>
      <c r="C22" s="356">
        <v>8.4213800000000005E-2</v>
      </c>
      <c r="D22" s="356">
        <v>3.1752099999999998E-2</v>
      </c>
      <c r="E22" s="356">
        <v>2.1507700000000001E-2</v>
      </c>
      <c r="F22" s="357"/>
      <c r="G22" s="357"/>
      <c r="H22" s="357"/>
      <c r="I22" s="357"/>
      <c r="J22" s="357"/>
      <c r="K22" s="357"/>
      <c r="L22" s="356">
        <v>4.74143E-2</v>
      </c>
      <c r="M22" s="356">
        <v>2.2703399999999999E-2</v>
      </c>
      <c r="N22" s="356">
        <v>2.68615E-2</v>
      </c>
      <c r="O22" s="356">
        <v>3.8546000000000001E-3</v>
      </c>
    </row>
    <row r="23" spans="1:15" ht="17.399999999999999" x14ac:dyDescent="0.3">
      <c r="A23" s="260" t="s">
        <v>499</v>
      </c>
      <c r="B23" s="356">
        <v>1.7798899999999999E-2</v>
      </c>
      <c r="C23" s="356">
        <v>1.04977E-2</v>
      </c>
      <c r="D23" s="356">
        <v>3.9826999999999996E-3</v>
      </c>
      <c r="E23" s="356">
        <v>7.4767999999999996E-3</v>
      </c>
      <c r="F23" s="357"/>
      <c r="G23" s="356">
        <v>6.4374000000000002E-3</v>
      </c>
      <c r="H23" s="356">
        <v>8.0610999999999999E-3</v>
      </c>
      <c r="I23" s="356">
        <v>3.2374999999999999E-3</v>
      </c>
      <c r="J23" s="356">
        <v>4.1809000000000004E-3</v>
      </c>
      <c r="K23" s="356"/>
      <c r="L23" s="356">
        <v>1.6412400000000001E-2</v>
      </c>
      <c r="M23" s="356">
        <v>5.3685E-3</v>
      </c>
      <c r="N23" s="356">
        <v>1.03859E-2</v>
      </c>
      <c r="O23" s="356">
        <v>2.8766999999999998E-3</v>
      </c>
    </row>
    <row r="24" spans="1:15" ht="17.399999999999999" x14ac:dyDescent="0.3">
      <c r="A24" s="260" t="s">
        <v>327</v>
      </c>
      <c r="B24" s="356">
        <v>2.7001999999999998E-3</v>
      </c>
      <c r="C24" s="356">
        <v>2.4564999999999999E-3</v>
      </c>
      <c r="D24" s="356">
        <v>1.3664E-3</v>
      </c>
      <c r="E24" s="356">
        <v>8.3902000000000004E-3</v>
      </c>
      <c r="F24" s="357"/>
      <c r="G24" s="356">
        <v>1.7787E-3</v>
      </c>
      <c r="H24" s="356">
        <v>1.9212999999999999E-3</v>
      </c>
      <c r="I24" s="356">
        <v>2.8990999999999999E-3</v>
      </c>
      <c r="J24" s="356">
        <v>4.7444000000000002E-3</v>
      </c>
      <c r="K24" s="356"/>
      <c r="L24" s="356">
        <v>2.6928999999999998E-3</v>
      </c>
      <c r="M24" s="356">
        <v>1.2645E-3</v>
      </c>
      <c r="N24" s="356">
        <v>2.55885E-2</v>
      </c>
      <c r="O24" s="356">
        <v>3.3057999999999998E-3</v>
      </c>
    </row>
    <row r="25" spans="1:15" ht="17.399999999999999" x14ac:dyDescent="0.3">
      <c r="A25" s="260" t="s">
        <v>478</v>
      </c>
      <c r="B25" s="356">
        <v>7.2599999999999999E-6</v>
      </c>
      <c r="C25" s="356">
        <v>3.436E-4</v>
      </c>
      <c r="D25" s="356">
        <v>1.6382E-3</v>
      </c>
      <c r="E25" s="356">
        <v>5.3149E-3</v>
      </c>
      <c r="F25" s="357"/>
      <c r="G25" s="356">
        <v>0</v>
      </c>
      <c r="H25" s="356">
        <v>1.671E-4</v>
      </c>
      <c r="I25" s="356">
        <v>3.7159999999999998E-4</v>
      </c>
      <c r="J25" s="356">
        <v>1.8732E-3</v>
      </c>
      <c r="K25" s="356"/>
      <c r="L25" s="356">
        <v>1.49E-5</v>
      </c>
      <c r="M25" s="356">
        <v>8.7200000000000005E-5</v>
      </c>
      <c r="N25" s="356">
        <v>1.2195999999999999E-3</v>
      </c>
      <c r="O25" s="356">
        <v>1.0646E-3</v>
      </c>
    </row>
    <row r="26" spans="1:15" ht="17.399999999999999" x14ac:dyDescent="0.3">
      <c r="A26" s="260" t="s">
        <v>293</v>
      </c>
      <c r="B26" s="356">
        <v>1.1561800000000001E-2</v>
      </c>
      <c r="C26" s="356">
        <v>6.2095400000000002E-2</v>
      </c>
      <c r="D26" s="356">
        <v>2.3896799999999999E-2</v>
      </c>
      <c r="E26" s="356">
        <v>3.0615400000000001E-2</v>
      </c>
      <c r="F26" s="357"/>
      <c r="G26" s="356">
        <v>1.37088E-2</v>
      </c>
      <c r="H26" s="356">
        <v>2.1660700000000001E-2</v>
      </c>
      <c r="I26" s="356">
        <v>2.0374400000000001E-2</v>
      </c>
      <c r="J26" s="356">
        <v>1.1617199999999999E-2</v>
      </c>
      <c r="K26" s="356"/>
      <c r="L26" s="356">
        <v>4.3249200000000002E-2</v>
      </c>
      <c r="M26" s="356">
        <v>2.0137700000000001E-2</v>
      </c>
      <c r="N26" s="356">
        <v>3.5623299999999997E-2</v>
      </c>
      <c r="O26" s="356">
        <v>1.36311E-2</v>
      </c>
    </row>
    <row r="27" spans="1:15" ht="17.399999999999999" x14ac:dyDescent="0.3">
      <c r="A27" s="260" t="s">
        <v>451</v>
      </c>
      <c r="B27" s="356">
        <v>4.1500000000000001E-6</v>
      </c>
      <c r="C27" s="356">
        <v>2.9030000000000001E-4</v>
      </c>
      <c r="D27" s="356">
        <v>5.5500000000000001E-5</v>
      </c>
      <c r="E27" s="356">
        <v>1.061E-4</v>
      </c>
      <c r="F27" s="357"/>
      <c r="G27" s="356">
        <v>4.9900000000000001E-7</v>
      </c>
      <c r="H27" s="356">
        <v>1.1909999999999999E-4</v>
      </c>
      <c r="I27" s="356">
        <v>3.6399999999999999E-6</v>
      </c>
      <c r="J27" s="356">
        <v>4.88E-5</v>
      </c>
      <c r="K27" s="356"/>
      <c r="L27" s="356">
        <v>5.22E-6</v>
      </c>
      <c r="M27" s="356">
        <v>9.3399999999999993E-5</v>
      </c>
      <c r="N27" s="356">
        <v>3.1300000000000002E-5</v>
      </c>
      <c r="O27" s="356">
        <v>4.2799999999999997E-5</v>
      </c>
    </row>
    <row r="28" spans="1:15" ht="17.399999999999999" x14ac:dyDescent="0.3">
      <c r="A28" s="260" t="s">
        <v>414</v>
      </c>
      <c r="B28" s="356">
        <v>1.7608000000000001E-3</v>
      </c>
      <c r="C28" s="356">
        <v>2.7192000000000002E-3</v>
      </c>
      <c r="D28" s="356">
        <v>8.2890000000000004E-4</v>
      </c>
      <c r="E28" s="356">
        <v>5.8272999999999997E-3</v>
      </c>
      <c r="F28" s="357"/>
      <c r="G28" s="356">
        <v>1.0378E-3</v>
      </c>
      <c r="H28" s="356">
        <v>1.5801999999999999E-3</v>
      </c>
      <c r="I28" s="356">
        <v>9.7389999999999998E-4</v>
      </c>
      <c r="J28" s="356">
        <v>2.3024999999999999E-3</v>
      </c>
      <c r="K28" s="356"/>
      <c r="L28" s="356">
        <v>2.7675999999999998E-3</v>
      </c>
      <c r="M28" s="356">
        <v>1.3581000000000001E-3</v>
      </c>
      <c r="N28" s="356">
        <v>2.35111E-2</v>
      </c>
      <c r="O28" s="356">
        <v>2.2369999999999998E-3</v>
      </c>
    </row>
    <row r="29" spans="1:15" ht="17.399999999999999" x14ac:dyDescent="0.3">
      <c r="A29" s="260" t="s">
        <v>395</v>
      </c>
      <c r="B29" s="356">
        <v>2.1045700000000001E-2</v>
      </c>
      <c r="C29" s="356">
        <v>1.8847800000000001E-2</v>
      </c>
      <c r="D29" s="356">
        <v>1.1650799999999999E-2</v>
      </c>
      <c r="E29" s="356">
        <v>2.5898500000000001E-2</v>
      </c>
      <c r="F29" s="357"/>
      <c r="G29" s="356">
        <v>1.40485E-2</v>
      </c>
      <c r="H29" s="356">
        <v>1.3586900000000001E-2</v>
      </c>
      <c r="I29" s="356">
        <v>1.1900600000000001E-2</v>
      </c>
      <c r="J29" s="356">
        <v>1.21878E-2</v>
      </c>
      <c r="K29" s="356"/>
      <c r="L29" s="356">
        <v>5.0509800000000001E-2</v>
      </c>
      <c r="M29" s="356">
        <v>1.3384E-2</v>
      </c>
      <c r="N29" s="356">
        <v>9.0682700000000005E-2</v>
      </c>
      <c r="O29" s="356">
        <v>1.41158E-2</v>
      </c>
    </row>
    <row r="30" spans="1:15" ht="17.399999999999999" x14ac:dyDescent="0.3">
      <c r="A30" s="260" t="s">
        <v>372</v>
      </c>
      <c r="B30" s="356">
        <v>2.4504000000000001E-3</v>
      </c>
      <c r="C30" s="356">
        <v>1.7717E-3</v>
      </c>
      <c r="D30" s="356">
        <v>2.3814999999999999E-3</v>
      </c>
      <c r="E30" s="356">
        <v>1.7485999999999999E-3</v>
      </c>
      <c r="F30" s="357"/>
      <c r="G30" s="356">
        <v>4.3889999999999999E-4</v>
      </c>
      <c r="H30" s="356">
        <v>1.33E-3</v>
      </c>
      <c r="I30" s="356">
        <v>7.1239999999999997E-4</v>
      </c>
      <c r="J30" s="356">
        <v>9.7839999999999993E-4</v>
      </c>
      <c r="K30" s="356"/>
      <c r="L30" s="356">
        <v>4.6129999999999999E-4</v>
      </c>
      <c r="M30" s="356">
        <v>8.633E-4</v>
      </c>
      <c r="N30" s="356">
        <v>3.7599999999999998E-4</v>
      </c>
      <c r="O30" s="356">
        <v>6.4999999999999997E-4</v>
      </c>
    </row>
    <row r="31" spans="1:15" ht="17.399999999999999" x14ac:dyDescent="0.3">
      <c r="A31" s="260" t="s">
        <v>549</v>
      </c>
      <c r="B31" s="356">
        <v>2.4179200000000001E-2</v>
      </c>
      <c r="C31" s="356">
        <v>2.0681399999999999E-2</v>
      </c>
      <c r="D31" s="356">
        <v>3.8465800000000001E-2</v>
      </c>
      <c r="E31" s="356">
        <v>1.9374300000000001E-2</v>
      </c>
      <c r="F31" s="357"/>
      <c r="G31" s="356">
        <v>2.42402E-2</v>
      </c>
      <c r="H31" s="356">
        <v>1.5303000000000001E-2</v>
      </c>
      <c r="I31" s="356">
        <v>2.01298E-2</v>
      </c>
      <c r="J31" s="356">
        <v>1.8354599999999999E-2</v>
      </c>
      <c r="K31" s="356"/>
      <c r="L31" s="356">
        <v>2.8062999999999999E-3</v>
      </c>
      <c r="M31" s="356">
        <v>4.2903999999999998E-3</v>
      </c>
      <c r="N31" s="356">
        <v>9.0720999999999996E-3</v>
      </c>
      <c r="O31" s="356">
        <v>3.7580999999999999E-3</v>
      </c>
    </row>
    <row r="32" spans="1:15" ht="17.399999999999999" x14ac:dyDescent="0.3">
      <c r="A32" s="260" t="s">
        <v>430</v>
      </c>
      <c r="B32" s="356">
        <v>1.3086E-3</v>
      </c>
      <c r="C32" s="356">
        <v>1.6201E-3</v>
      </c>
      <c r="D32" s="356">
        <v>4.9118E-3</v>
      </c>
      <c r="E32" s="356">
        <v>2.173E-3</v>
      </c>
      <c r="F32" s="357"/>
      <c r="G32" s="356">
        <v>6.6080000000000002E-4</v>
      </c>
      <c r="H32" s="356">
        <v>1.1012000000000001E-3</v>
      </c>
      <c r="I32" s="356">
        <v>1.9229E-3</v>
      </c>
      <c r="J32" s="356">
        <v>1.7849000000000001E-3</v>
      </c>
      <c r="K32" s="356"/>
      <c r="L32" s="356">
        <v>2.3379999999999999E-4</v>
      </c>
      <c r="M32" s="356">
        <v>2.5670000000000001E-4</v>
      </c>
      <c r="N32" s="356">
        <v>6.2469999999999995E-4</v>
      </c>
      <c r="O32" s="356">
        <v>3.2630000000000002E-4</v>
      </c>
    </row>
    <row r="33" spans="1:15" ht="17.399999999999999" x14ac:dyDescent="0.3">
      <c r="A33" s="260" t="s">
        <v>396</v>
      </c>
      <c r="B33" s="356">
        <v>8.2070000000000008E-3</v>
      </c>
      <c r="C33" s="356">
        <v>4.1675999999999996E-3</v>
      </c>
      <c r="D33" s="356">
        <v>2.1740000000000002E-3</v>
      </c>
      <c r="E33" s="356">
        <v>1.3545E-3</v>
      </c>
      <c r="F33" s="357"/>
      <c r="G33" s="356">
        <v>9.1169999999999999E-4</v>
      </c>
      <c r="H33" s="356">
        <v>1.913E-3</v>
      </c>
      <c r="I33" s="356">
        <v>8.5280000000000002E-4</v>
      </c>
      <c r="J33" s="356">
        <v>7.1560000000000005E-4</v>
      </c>
      <c r="K33" s="356"/>
      <c r="L33" s="356">
        <v>1.4844999999999999E-3</v>
      </c>
      <c r="M33" s="356">
        <v>8.0630000000000003E-4</v>
      </c>
      <c r="N33" s="356">
        <v>2.4709999999999999E-4</v>
      </c>
      <c r="O33" s="356">
        <v>2.7139999999999998E-4</v>
      </c>
    </row>
    <row r="34" spans="1:15" ht="17.399999999999999" x14ac:dyDescent="0.3">
      <c r="A34" s="260" t="s">
        <v>552</v>
      </c>
      <c r="B34" s="356">
        <v>3.7189999999999999E-4</v>
      </c>
      <c r="C34" s="356">
        <v>2.2690000000000001E-4</v>
      </c>
      <c r="D34" s="356">
        <v>4.0403000000000001E-3</v>
      </c>
      <c r="E34" s="356">
        <v>8.7009999999999995E-4</v>
      </c>
      <c r="F34" s="357"/>
      <c r="G34" s="356">
        <v>3.6100000000000003E-5</v>
      </c>
      <c r="H34" s="356">
        <v>1.193E-4</v>
      </c>
      <c r="I34" s="356">
        <v>1.0101999999999999E-3</v>
      </c>
      <c r="J34" s="356">
        <v>3.2269999999999998E-4</v>
      </c>
      <c r="K34" s="356"/>
      <c r="L34" s="356">
        <v>8.8499999999999996E-5</v>
      </c>
      <c r="M34" s="356">
        <v>5.1499999999999998E-5</v>
      </c>
      <c r="N34" s="356">
        <v>4.1730000000000001E-4</v>
      </c>
      <c r="O34" s="356">
        <v>1.2650000000000001E-4</v>
      </c>
    </row>
    <row r="35" spans="1:15" ht="17.399999999999999" x14ac:dyDescent="0.3">
      <c r="A35" s="260" t="s">
        <v>539</v>
      </c>
      <c r="B35" s="356">
        <v>1.1999999999999999E-7</v>
      </c>
      <c r="C35" s="356">
        <v>3.1000000000000001E-5</v>
      </c>
      <c r="D35" s="356">
        <v>1.3E-6</v>
      </c>
      <c r="E35" s="356">
        <v>3.4100000000000002E-5</v>
      </c>
      <c r="F35" s="357"/>
      <c r="G35" s="356">
        <v>0</v>
      </c>
      <c r="H35" s="356">
        <v>9.0399999999999998E-6</v>
      </c>
      <c r="I35" s="356">
        <v>0</v>
      </c>
      <c r="J35" s="356">
        <v>7.2599999999999999E-6</v>
      </c>
      <c r="K35" s="356"/>
      <c r="L35" s="356">
        <v>0</v>
      </c>
      <c r="M35" s="356">
        <v>3.5700000000000001E-6</v>
      </c>
      <c r="N35" s="356">
        <v>3.8299999999999998E-7</v>
      </c>
      <c r="O35" s="356">
        <v>2.6699999999999998E-6</v>
      </c>
    </row>
    <row r="36" spans="1:15" ht="17.399999999999999" x14ac:dyDescent="0.3">
      <c r="A36" s="260" t="s">
        <v>536</v>
      </c>
      <c r="B36" s="356">
        <v>1.9654600000000001E-2</v>
      </c>
      <c r="C36" s="356">
        <v>2.7959999999999999E-3</v>
      </c>
      <c r="D36" s="356">
        <v>1.41265E-2</v>
      </c>
      <c r="E36" s="356">
        <v>3.1749E-3</v>
      </c>
      <c r="F36" s="357"/>
      <c r="G36" s="356">
        <v>3.0425999999999999E-3</v>
      </c>
      <c r="H36" s="356">
        <v>1.5053E-3</v>
      </c>
      <c r="I36" s="356">
        <v>2.1890999999999998E-3</v>
      </c>
      <c r="J36" s="356">
        <v>1.1318000000000001E-3</v>
      </c>
      <c r="K36" s="356"/>
      <c r="L36" s="356">
        <v>2.8268999999999998E-3</v>
      </c>
      <c r="M36" s="356">
        <v>7.4589999999999997E-4</v>
      </c>
      <c r="N36" s="356">
        <v>1.1538E-3</v>
      </c>
      <c r="O36" s="356">
        <v>5.1040000000000005E-4</v>
      </c>
    </row>
    <row r="37" spans="1:15" ht="17.399999999999999" x14ac:dyDescent="0.3">
      <c r="A37" s="260" t="s">
        <v>525</v>
      </c>
      <c r="B37" s="356">
        <v>1.0859000000000001E-3</v>
      </c>
      <c r="C37" s="356">
        <v>3.3730000000000001E-4</v>
      </c>
      <c r="D37" s="356">
        <v>5.7222999999999996E-3</v>
      </c>
      <c r="E37" s="356">
        <v>4.5839999999999998E-4</v>
      </c>
      <c r="F37" s="357"/>
      <c r="G37" s="356">
        <v>7.0500000000000006E-5</v>
      </c>
      <c r="H37" s="356">
        <v>1.8320000000000001E-4</v>
      </c>
      <c r="I37" s="356">
        <v>1.3119999999999999E-4</v>
      </c>
      <c r="J37" s="356">
        <v>1.717E-4</v>
      </c>
      <c r="K37" s="356"/>
      <c r="L37" s="356">
        <v>1.473E-4</v>
      </c>
      <c r="M37" s="356">
        <v>7.3999999999999996E-5</v>
      </c>
      <c r="N37" s="356">
        <v>5.52E-5</v>
      </c>
      <c r="O37" s="356">
        <v>6.2100000000000005E-5</v>
      </c>
    </row>
    <row r="38" spans="1:15" ht="17.399999999999999" x14ac:dyDescent="0.3">
      <c r="A38" s="260" t="s">
        <v>522</v>
      </c>
      <c r="B38" s="356">
        <v>1.673E-4</v>
      </c>
      <c r="C38" s="356">
        <v>1.2410000000000001E-4</v>
      </c>
      <c r="D38" s="356">
        <v>3.3246999999999999E-3</v>
      </c>
      <c r="E38" s="356">
        <v>6.3860000000000002E-4</v>
      </c>
      <c r="F38" s="357"/>
      <c r="G38" s="356">
        <v>1.98E-5</v>
      </c>
      <c r="H38" s="356">
        <v>4.71E-5</v>
      </c>
      <c r="I38" s="356">
        <v>3.0400000000000002E-4</v>
      </c>
      <c r="J38" s="356">
        <v>1.728E-4</v>
      </c>
      <c r="K38" s="356"/>
      <c r="L38" s="356">
        <v>1.7900000000000001E-5</v>
      </c>
      <c r="M38" s="356">
        <v>1.98E-5</v>
      </c>
      <c r="N38" s="356">
        <v>7.6299999999999998E-5</v>
      </c>
      <c r="O38" s="356">
        <v>6.6699999999999995E-5</v>
      </c>
    </row>
    <row r="39" spans="1:15" ht="17.399999999999999" x14ac:dyDescent="0.3">
      <c r="A39" s="260" t="s">
        <v>517</v>
      </c>
      <c r="B39" s="356">
        <v>2.1100000000000001E-6</v>
      </c>
      <c r="C39" s="356">
        <v>4.0200000000000001E-5</v>
      </c>
      <c r="D39" s="356">
        <v>2.43E-4</v>
      </c>
      <c r="E39" s="356">
        <v>1.1120000000000001E-4</v>
      </c>
      <c r="F39" s="357"/>
      <c r="G39" s="356">
        <v>0</v>
      </c>
      <c r="H39" s="356">
        <v>9.8099999999999992E-6</v>
      </c>
      <c r="I39" s="356">
        <v>5.2599999999999996E-6</v>
      </c>
      <c r="J39" s="356">
        <v>2.55E-5</v>
      </c>
      <c r="K39" s="356"/>
      <c r="L39" s="356">
        <v>0</v>
      </c>
      <c r="M39" s="356">
        <v>3.4400000000000001E-6</v>
      </c>
      <c r="N39" s="356">
        <v>3.8800000000000001E-6</v>
      </c>
      <c r="O39" s="356">
        <v>8.9400000000000008E-6</v>
      </c>
    </row>
    <row r="40" spans="1:15" ht="17.399999999999999" x14ac:dyDescent="0.3">
      <c r="A40" s="260" t="s">
        <v>509</v>
      </c>
      <c r="B40" s="356">
        <v>1.9300000000000002E-6</v>
      </c>
      <c r="C40" s="356">
        <v>4.49E-5</v>
      </c>
      <c r="D40" s="356">
        <v>4.0650000000000001E-4</v>
      </c>
      <c r="E40" s="356">
        <v>2.497E-4</v>
      </c>
      <c r="F40" s="357"/>
      <c r="G40" s="356">
        <v>0</v>
      </c>
      <c r="H40" s="356">
        <v>8.1300000000000001E-6</v>
      </c>
      <c r="I40" s="356">
        <v>7.0600000000000002E-6</v>
      </c>
      <c r="J40" s="356">
        <v>4.9599999999999999E-5</v>
      </c>
      <c r="K40" s="356"/>
      <c r="L40" s="356">
        <v>0</v>
      </c>
      <c r="M40" s="356">
        <v>3.6600000000000001E-6</v>
      </c>
      <c r="N40" s="356">
        <v>1.59E-5</v>
      </c>
      <c r="O40" s="356">
        <v>2.0599999999999999E-5</v>
      </c>
    </row>
    <row r="41" spans="1:15" ht="17.399999999999999" x14ac:dyDescent="0.3">
      <c r="A41" s="260" t="s">
        <v>508</v>
      </c>
      <c r="B41" s="356">
        <v>5.2700000000000004E-6</v>
      </c>
      <c r="C41" s="356">
        <v>3.7299999999999999E-5</v>
      </c>
      <c r="D41" s="356">
        <v>6.7869999999999996E-4</v>
      </c>
      <c r="E41" s="356">
        <v>2.3609999999999999E-4</v>
      </c>
      <c r="F41" s="357"/>
      <c r="G41" s="356">
        <v>0</v>
      </c>
      <c r="H41" s="356">
        <v>1.01E-5</v>
      </c>
      <c r="I41" s="356">
        <v>3.3200000000000001E-5</v>
      </c>
      <c r="J41" s="356">
        <v>6.5699999999999998E-5</v>
      </c>
      <c r="K41" s="356"/>
      <c r="L41" s="356">
        <v>0</v>
      </c>
      <c r="M41" s="356">
        <v>3.7400000000000002E-6</v>
      </c>
      <c r="N41" s="356">
        <v>1.3499999999999999E-5</v>
      </c>
      <c r="O41" s="356">
        <v>2.4199999999999999E-5</v>
      </c>
    </row>
    <row r="42" spans="1:15" ht="17.399999999999999" x14ac:dyDescent="0.3">
      <c r="A42" s="260" t="s">
        <v>507</v>
      </c>
      <c r="B42" s="356">
        <v>4.82E-7</v>
      </c>
      <c r="C42" s="356">
        <v>3.8500000000000001E-5</v>
      </c>
      <c r="D42" s="356">
        <v>4.4260000000000002E-4</v>
      </c>
      <c r="E42" s="356">
        <v>1.984E-4</v>
      </c>
      <c r="F42" s="357"/>
      <c r="G42" s="356">
        <v>0</v>
      </c>
      <c r="H42" s="356">
        <v>8.9400000000000008E-6</v>
      </c>
      <c r="I42" s="356">
        <v>1.63E-5</v>
      </c>
      <c r="J42" s="356">
        <v>4.8699999999999998E-5</v>
      </c>
      <c r="K42" s="356"/>
      <c r="L42" s="356">
        <v>0</v>
      </c>
      <c r="M42" s="356">
        <v>2.8499999999999998E-6</v>
      </c>
      <c r="N42" s="356">
        <v>9.7200000000000001E-6</v>
      </c>
      <c r="O42" s="356">
        <v>1.66E-5</v>
      </c>
    </row>
    <row r="43" spans="1:15" ht="17.399999999999999" x14ac:dyDescent="0.3">
      <c r="A43" s="260" t="s">
        <v>486</v>
      </c>
      <c r="B43" s="356">
        <v>0</v>
      </c>
      <c r="C43" s="356">
        <v>3.9799999999999998E-5</v>
      </c>
      <c r="D43" s="356">
        <v>1.11E-4</v>
      </c>
      <c r="E43" s="356">
        <v>1.0060000000000001E-4</v>
      </c>
      <c r="F43" s="357"/>
      <c r="G43" s="356">
        <v>0</v>
      </c>
      <c r="H43" s="356">
        <v>9.5100000000000004E-6</v>
      </c>
      <c r="I43" s="356">
        <v>3.2399999999999999E-6</v>
      </c>
      <c r="J43" s="356">
        <v>2.2399999999999999E-5</v>
      </c>
      <c r="K43" s="356"/>
      <c r="L43" s="356">
        <v>0</v>
      </c>
      <c r="M43" s="356">
        <v>3.01E-6</v>
      </c>
      <c r="N43" s="356">
        <v>9.4799999999999997E-7</v>
      </c>
      <c r="O43" s="356">
        <v>7.3599999999999998E-6</v>
      </c>
    </row>
    <row r="44" spans="1:15" ht="17.399999999999999" x14ac:dyDescent="0.3">
      <c r="A44" s="260" t="s">
        <v>482</v>
      </c>
      <c r="B44" s="356">
        <v>0</v>
      </c>
      <c r="C44" s="356">
        <v>4.6900000000000002E-5</v>
      </c>
      <c r="D44" s="356">
        <v>0</v>
      </c>
      <c r="E44" s="356">
        <v>6.05E-5</v>
      </c>
      <c r="F44" s="357"/>
      <c r="G44" s="356">
        <v>0</v>
      </c>
      <c r="H44" s="356">
        <v>8.6899999999999998E-6</v>
      </c>
      <c r="I44" s="356">
        <v>0</v>
      </c>
      <c r="J44" s="356">
        <v>8.14E-6</v>
      </c>
      <c r="K44" s="356"/>
      <c r="L44" s="356">
        <v>0</v>
      </c>
      <c r="M44" s="356">
        <v>9.1900000000000001E-6</v>
      </c>
      <c r="N44" s="356">
        <v>0</v>
      </c>
      <c r="O44" s="356">
        <v>3.36E-6</v>
      </c>
    </row>
    <row r="45" spans="1:15" ht="17.399999999999999" x14ac:dyDescent="0.3">
      <c r="A45" s="260" t="s">
        <v>481</v>
      </c>
      <c r="B45" s="356">
        <v>0</v>
      </c>
      <c r="C45" s="356">
        <v>4.1600000000000002E-5</v>
      </c>
      <c r="D45" s="356">
        <v>3.2799999999999998E-5</v>
      </c>
      <c r="E45" s="356">
        <v>6.6299999999999999E-5</v>
      </c>
      <c r="F45" s="357"/>
      <c r="G45" s="356">
        <v>0</v>
      </c>
      <c r="H45" s="356">
        <v>9.7399999999999999E-6</v>
      </c>
      <c r="I45" s="356">
        <v>3.89E-6</v>
      </c>
      <c r="J45" s="356">
        <v>1.26E-5</v>
      </c>
      <c r="K45" s="356"/>
      <c r="L45" s="356">
        <v>0</v>
      </c>
      <c r="M45" s="356">
        <v>3.27E-6</v>
      </c>
      <c r="N45" s="356">
        <v>6.8400000000000004E-7</v>
      </c>
      <c r="O45" s="356">
        <v>4.1400000000000002E-6</v>
      </c>
    </row>
    <row r="46" spans="1:15" ht="17.399999999999999" x14ac:dyDescent="0.3">
      <c r="A46" s="260" t="s">
        <v>445</v>
      </c>
      <c r="B46" s="356">
        <v>1.6468199999999999E-2</v>
      </c>
      <c r="C46" s="356">
        <v>2.1951000000000002E-3</v>
      </c>
      <c r="D46" s="356">
        <v>2.17445E-2</v>
      </c>
      <c r="E46" s="356">
        <v>3.2645E-3</v>
      </c>
      <c r="F46" s="357"/>
      <c r="G46" s="356">
        <v>7.1190000000000001E-4</v>
      </c>
      <c r="H46" s="356">
        <v>1.0143999999999999E-3</v>
      </c>
      <c r="I46" s="356">
        <v>1.5012000000000001E-3</v>
      </c>
      <c r="J46" s="356">
        <v>9.5489999999999995E-4</v>
      </c>
      <c r="K46" s="356"/>
      <c r="L46" s="356">
        <v>1.1423E-3</v>
      </c>
      <c r="M46" s="356">
        <v>4.057E-4</v>
      </c>
      <c r="N46" s="356">
        <v>7.1779999999999999E-4</v>
      </c>
      <c r="O46" s="356">
        <v>3.2459999999999998E-4</v>
      </c>
    </row>
    <row r="47" spans="1:15" ht="17.399999999999999" x14ac:dyDescent="0.3">
      <c r="A47" s="260" t="s">
        <v>429</v>
      </c>
      <c r="B47" s="356">
        <v>0</v>
      </c>
      <c r="C47" s="356">
        <v>4.2400000000000001E-5</v>
      </c>
      <c r="D47" s="356">
        <v>1.6500000000000001E-5</v>
      </c>
      <c r="E47" s="356">
        <v>6.6400000000000001E-5</v>
      </c>
      <c r="F47" s="357"/>
      <c r="G47" s="356">
        <v>0</v>
      </c>
      <c r="H47" s="356">
        <v>1.04E-5</v>
      </c>
      <c r="I47" s="356">
        <v>0</v>
      </c>
      <c r="J47" s="356">
        <v>1.2999999999999999E-5</v>
      </c>
      <c r="K47" s="356"/>
      <c r="L47" s="356">
        <v>0</v>
      </c>
      <c r="M47" s="356">
        <v>3.5599999999999998E-6</v>
      </c>
      <c r="N47" s="356">
        <v>0</v>
      </c>
      <c r="O47" s="356">
        <v>4.3200000000000001E-6</v>
      </c>
    </row>
    <row r="48" spans="1:15" ht="17.399999999999999" x14ac:dyDescent="0.3">
      <c r="A48" s="260" t="s">
        <v>332</v>
      </c>
      <c r="B48" s="356">
        <v>5.7571000000000002E-3</v>
      </c>
      <c r="C48" s="356">
        <v>6.7509999999999998E-4</v>
      </c>
      <c r="D48" s="356">
        <v>3.2190999999999999E-3</v>
      </c>
      <c r="E48" s="356">
        <v>5.5719999999999999E-4</v>
      </c>
      <c r="F48" s="357"/>
      <c r="G48" s="356">
        <v>3.8989999999999999E-4</v>
      </c>
      <c r="H48" s="356">
        <v>2.786E-4</v>
      </c>
      <c r="I48" s="356">
        <v>8.0500000000000005E-5</v>
      </c>
      <c r="J48" s="356">
        <v>1.438E-4</v>
      </c>
      <c r="K48" s="356"/>
      <c r="L48" s="356">
        <v>2.151E-4</v>
      </c>
      <c r="M48" s="356">
        <v>1.154E-4</v>
      </c>
      <c r="N48" s="356">
        <v>6.7999999999999999E-5</v>
      </c>
      <c r="O48" s="356">
        <v>5.38E-5</v>
      </c>
    </row>
    <row r="49" spans="1:15" ht="17.399999999999999" x14ac:dyDescent="0.3">
      <c r="A49" s="260" t="s">
        <v>419</v>
      </c>
      <c r="B49" s="356">
        <v>1.36E-7</v>
      </c>
      <c r="C49" s="356">
        <v>3.15E-5</v>
      </c>
      <c r="D49" s="356">
        <v>0</v>
      </c>
      <c r="E49" s="356">
        <v>2.7399999999999999E-5</v>
      </c>
      <c r="F49" s="357"/>
      <c r="G49" s="356">
        <v>0</v>
      </c>
      <c r="H49" s="356">
        <v>1.01E-5</v>
      </c>
      <c r="I49" s="356">
        <v>0</v>
      </c>
      <c r="J49" s="356">
        <v>5.57E-6</v>
      </c>
      <c r="K49" s="356"/>
      <c r="L49" s="356">
        <v>0</v>
      </c>
      <c r="M49" s="356">
        <v>4.34E-6</v>
      </c>
      <c r="N49" s="356">
        <v>0</v>
      </c>
      <c r="O49" s="356">
        <v>2.2199999999999999E-6</v>
      </c>
    </row>
    <row r="50" spans="1:15" ht="17.399999999999999" x14ac:dyDescent="0.3">
      <c r="A50" s="260" t="s">
        <v>418</v>
      </c>
      <c r="B50" s="356">
        <v>3.388E-4</v>
      </c>
      <c r="C50" s="356">
        <v>1.961E-4</v>
      </c>
      <c r="D50" s="356">
        <v>2.1405E-3</v>
      </c>
      <c r="E50" s="356">
        <v>4.4949999999999998E-4</v>
      </c>
      <c r="F50" s="357"/>
      <c r="G50" s="356">
        <v>5.0300000000000003E-5</v>
      </c>
      <c r="H50" s="356">
        <v>9.1399999999999999E-5</v>
      </c>
      <c r="I50" s="356">
        <v>1.142E-4</v>
      </c>
      <c r="J50" s="356">
        <v>1.4459999999999999E-4</v>
      </c>
      <c r="K50" s="356"/>
      <c r="L50" s="356">
        <v>5.24E-5</v>
      </c>
      <c r="M50" s="356">
        <v>3.6999999999999998E-5</v>
      </c>
      <c r="N50" s="356">
        <v>9.3399999999999993E-5</v>
      </c>
      <c r="O50" s="356">
        <v>5.2899999999999998E-5</v>
      </c>
    </row>
    <row r="51" spans="1:15" ht="17.399999999999999" x14ac:dyDescent="0.3">
      <c r="A51" s="260" t="s">
        <v>364</v>
      </c>
      <c r="B51" s="356">
        <v>1.2100000000000001E-6</v>
      </c>
      <c r="C51" s="356">
        <v>3.4900000000000001E-5</v>
      </c>
      <c r="D51" s="356">
        <v>8.5700000000000001E-4</v>
      </c>
      <c r="E51" s="356">
        <v>2.7839999999999999E-4</v>
      </c>
      <c r="F51" s="357"/>
      <c r="G51" s="356">
        <v>0</v>
      </c>
      <c r="H51" s="356">
        <v>1.33E-5</v>
      </c>
      <c r="I51" s="356">
        <v>1.8039999999999999E-4</v>
      </c>
      <c r="J51" s="356">
        <v>1.0009999999999999E-4</v>
      </c>
      <c r="K51" s="356"/>
      <c r="L51" s="356">
        <v>2.3099999999999999E-6</v>
      </c>
      <c r="M51" s="356">
        <v>5.5199999999999997E-6</v>
      </c>
      <c r="N51" s="356">
        <v>2.37E-5</v>
      </c>
      <c r="O51" s="356">
        <v>3.93E-5</v>
      </c>
    </row>
    <row r="52" spans="1:15" ht="17.399999999999999" x14ac:dyDescent="0.3">
      <c r="A52" s="260" t="s">
        <v>648</v>
      </c>
      <c r="B52" s="356">
        <v>1.7780000000000001E-4</v>
      </c>
      <c r="C52" s="356">
        <v>9.1899999999999998E-5</v>
      </c>
      <c r="D52" s="356">
        <v>3.9753000000000002E-3</v>
      </c>
      <c r="E52" s="356">
        <v>9.2409999999999996E-4</v>
      </c>
      <c r="F52" s="357"/>
      <c r="G52" s="356">
        <v>1.4200000000000001E-9</v>
      </c>
      <c r="H52" s="356">
        <v>3.0199999999999999E-5</v>
      </c>
      <c r="I52" s="356">
        <v>2.1340000000000001E-4</v>
      </c>
      <c r="J52" s="356">
        <v>2.308E-4</v>
      </c>
      <c r="K52" s="356"/>
      <c r="L52" s="356">
        <v>1.5500000000000001E-5</v>
      </c>
      <c r="M52" s="356">
        <v>1.3699999999999999E-5</v>
      </c>
      <c r="N52" s="356">
        <v>2.989E-4</v>
      </c>
      <c r="O52" s="356">
        <v>9.6399999999999999E-5</v>
      </c>
    </row>
    <row r="53" spans="1:15" ht="17.399999999999999" x14ac:dyDescent="0.3">
      <c r="A53" s="260" t="s">
        <v>553</v>
      </c>
      <c r="B53" s="356">
        <v>7.1899999999999998E-6</v>
      </c>
      <c r="C53" s="356">
        <v>8.8700000000000001E-5</v>
      </c>
      <c r="D53" s="356">
        <v>1.9600000000000001E-7</v>
      </c>
      <c r="E53" s="356">
        <v>6.0900000000000003E-5</v>
      </c>
      <c r="F53" s="357"/>
      <c r="G53" s="356">
        <v>0</v>
      </c>
      <c r="H53" s="356">
        <v>1.2099999999999999E-5</v>
      </c>
      <c r="I53" s="356">
        <v>7.7100000000000007E-6</v>
      </c>
      <c r="J53" s="356">
        <v>9.2E-6</v>
      </c>
      <c r="K53" s="356"/>
      <c r="L53" s="356">
        <v>2.5399999999999999E-8</v>
      </c>
      <c r="M53" s="356">
        <v>5.9599999999999997E-6</v>
      </c>
      <c r="N53" s="356">
        <v>0</v>
      </c>
      <c r="O53" s="356">
        <v>4.2699999999999998E-6</v>
      </c>
    </row>
    <row r="54" spans="1:15" ht="17.399999999999999" x14ac:dyDescent="0.3">
      <c r="A54" s="260" t="s">
        <v>554</v>
      </c>
      <c r="B54" s="356">
        <v>8.7599999999999996E-7</v>
      </c>
      <c r="C54" s="356">
        <v>1.061E-4</v>
      </c>
      <c r="D54" s="356">
        <v>0</v>
      </c>
      <c r="E54" s="356">
        <v>6.9800000000000003E-5</v>
      </c>
      <c r="F54" s="357"/>
      <c r="G54" s="356">
        <v>0</v>
      </c>
      <c r="H54" s="356">
        <v>1.63E-5</v>
      </c>
      <c r="I54" s="356">
        <v>0</v>
      </c>
      <c r="J54" s="356">
        <v>1.1E-5</v>
      </c>
      <c r="K54" s="356"/>
      <c r="L54" s="356">
        <v>6.3700000000000003E-5</v>
      </c>
      <c r="M54" s="356">
        <v>8.3799999999999994E-6</v>
      </c>
      <c r="N54" s="356">
        <v>0</v>
      </c>
      <c r="O54" s="356">
        <v>5.2100000000000001E-6</v>
      </c>
    </row>
    <row r="55" spans="1:15" ht="17.399999999999999" x14ac:dyDescent="0.3">
      <c r="A55" s="260" t="s">
        <v>546</v>
      </c>
      <c r="B55" s="356">
        <v>5.6959999999999997E-4</v>
      </c>
      <c r="C55" s="356">
        <v>1.7642999999999999E-3</v>
      </c>
      <c r="D55" s="356">
        <v>6.7199999999999996E-4</v>
      </c>
      <c r="E55" s="356">
        <v>7.4220000000000004E-4</v>
      </c>
      <c r="F55" s="357"/>
      <c r="G55" s="356">
        <v>4.5590000000000002E-4</v>
      </c>
      <c r="H55" s="356">
        <v>3.6709999999999998E-4</v>
      </c>
      <c r="I55" s="356">
        <v>1.2960999999999999E-3</v>
      </c>
      <c r="J55" s="356">
        <v>1.3520000000000001E-4</v>
      </c>
      <c r="K55" s="356"/>
      <c r="L55" s="356">
        <v>2.196E-3</v>
      </c>
      <c r="M55" s="356">
        <v>1.6190000000000001E-4</v>
      </c>
      <c r="N55" s="356">
        <v>8.2200000000000006E-5</v>
      </c>
      <c r="O55" s="356">
        <v>5.3999999999999998E-5</v>
      </c>
    </row>
    <row r="56" spans="1:15" ht="17.399999999999999" x14ac:dyDescent="0.3">
      <c r="A56" s="260" t="s">
        <v>550</v>
      </c>
      <c r="B56" s="356">
        <v>0</v>
      </c>
      <c r="C56" s="356">
        <v>4.9400000000000001E-5</v>
      </c>
      <c r="D56" s="356">
        <v>7.1000000000000002E-4</v>
      </c>
      <c r="E56" s="356">
        <v>1.8139999999999999E-4</v>
      </c>
      <c r="F56" s="357"/>
      <c r="G56" s="356">
        <v>0</v>
      </c>
      <c r="H56" s="356">
        <v>1.27E-5</v>
      </c>
      <c r="I56" s="356">
        <v>1.6009999999999999E-4</v>
      </c>
      <c r="J56" s="356">
        <v>4.0899999999999998E-5</v>
      </c>
      <c r="K56" s="356"/>
      <c r="L56" s="356">
        <v>0</v>
      </c>
      <c r="M56" s="356">
        <v>6.46E-6</v>
      </c>
      <c r="N56" s="356">
        <v>2.0599999999999999E-5</v>
      </c>
      <c r="O56" s="356">
        <v>1.7600000000000001E-5</v>
      </c>
    </row>
    <row r="57" spans="1:15" ht="17.399999999999999" x14ac:dyDescent="0.3">
      <c r="A57" s="260" t="s">
        <v>544</v>
      </c>
      <c r="B57" s="356">
        <v>4.8600000000000001E-6</v>
      </c>
      <c r="C57" s="356">
        <v>1.154E-4</v>
      </c>
      <c r="D57" s="356">
        <v>1.875E-4</v>
      </c>
      <c r="E57" s="356">
        <v>1.065E-4</v>
      </c>
      <c r="F57" s="357"/>
      <c r="G57" s="356">
        <v>4.6100000000000002E-5</v>
      </c>
      <c r="H57" s="356">
        <v>2.05E-5</v>
      </c>
      <c r="I57" s="356">
        <v>4.4299999999999999E-6</v>
      </c>
      <c r="J57" s="356">
        <v>2.1800000000000001E-5</v>
      </c>
      <c r="K57" s="356"/>
      <c r="L57" s="356">
        <v>3.4299999999999999E-9</v>
      </c>
      <c r="M57" s="356">
        <v>1.01E-5</v>
      </c>
      <c r="N57" s="356">
        <v>4.87E-6</v>
      </c>
      <c r="O57" s="356">
        <v>9.9399999999999997E-6</v>
      </c>
    </row>
    <row r="58" spans="1:15" ht="17.399999999999999" x14ac:dyDescent="0.3">
      <c r="A58" s="260" t="s">
        <v>267</v>
      </c>
      <c r="B58" s="356">
        <v>5.59804E-2</v>
      </c>
      <c r="C58" s="356">
        <v>1.5030099999999999E-2</v>
      </c>
      <c r="D58" s="356">
        <v>9.5843999999999999E-3</v>
      </c>
      <c r="E58" s="356">
        <v>2.9026999999999998E-3</v>
      </c>
      <c r="F58" s="357"/>
      <c r="G58" s="356">
        <v>1.1426199999999999E-2</v>
      </c>
      <c r="H58" s="356">
        <v>2.3925000000000001E-3</v>
      </c>
      <c r="I58" s="356">
        <v>2.4466000000000002E-3</v>
      </c>
      <c r="J58" s="356">
        <v>4.0010000000000002E-4</v>
      </c>
      <c r="K58" s="356"/>
      <c r="L58" s="356">
        <v>1.06561E-2</v>
      </c>
      <c r="M58" s="356">
        <v>1.1130000000000001E-3</v>
      </c>
      <c r="N58" s="356">
        <v>8.8230000000000003E-4</v>
      </c>
      <c r="O58" s="356">
        <v>1.761E-4</v>
      </c>
    </row>
    <row r="59" spans="1:15" ht="17.399999999999999" x14ac:dyDescent="0.3">
      <c r="A59" s="260" t="s">
        <v>510</v>
      </c>
      <c r="B59" s="356">
        <v>0</v>
      </c>
      <c r="C59" s="356">
        <v>6.3600000000000001E-5</v>
      </c>
      <c r="D59" s="356">
        <v>0</v>
      </c>
      <c r="E59" s="356">
        <v>4.7500000000000003E-5</v>
      </c>
      <c r="F59" s="357"/>
      <c r="G59" s="356">
        <v>0</v>
      </c>
      <c r="H59" s="356">
        <v>6.0599999999999996E-6</v>
      </c>
      <c r="I59" s="356">
        <v>0</v>
      </c>
      <c r="J59" s="356">
        <v>6.3600000000000001E-6</v>
      </c>
      <c r="K59" s="356"/>
      <c r="L59" s="356">
        <v>0</v>
      </c>
      <c r="M59" s="356">
        <v>8.2199999999999992E-6</v>
      </c>
      <c r="N59" s="356">
        <v>0</v>
      </c>
      <c r="O59" s="356">
        <v>3.0900000000000001E-6</v>
      </c>
    </row>
    <row r="60" spans="1:15" ht="17.399999999999999" x14ac:dyDescent="0.3">
      <c r="A60" s="260" t="s">
        <v>502</v>
      </c>
      <c r="B60" s="356">
        <v>2.36E-7</v>
      </c>
      <c r="C60" s="356">
        <v>0</v>
      </c>
      <c r="D60" s="356">
        <v>0</v>
      </c>
      <c r="E60" s="356">
        <v>0</v>
      </c>
      <c r="F60" s="357"/>
      <c r="G60" s="356">
        <v>0</v>
      </c>
      <c r="H60" s="356">
        <v>0</v>
      </c>
      <c r="I60" s="356">
        <v>0</v>
      </c>
      <c r="J60" s="356">
        <v>0</v>
      </c>
      <c r="K60" s="356"/>
      <c r="L60" s="356">
        <v>0</v>
      </c>
      <c r="M60" s="356">
        <v>0</v>
      </c>
      <c r="N60" s="356">
        <v>0</v>
      </c>
      <c r="O60" s="356">
        <v>0</v>
      </c>
    </row>
    <row r="61" spans="1:15" ht="17.399999999999999" x14ac:dyDescent="0.3">
      <c r="A61" s="260" t="s">
        <v>490</v>
      </c>
      <c r="B61" s="356">
        <v>0</v>
      </c>
      <c r="C61" s="356">
        <v>0</v>
      </c>
      <c r="D61" s="356">
        <v>0</v>
      </c>
      <c r="E61" s="356">
        <v>0</v>
      </c>
      <c r="F61" s="357"/>
      <c r="G61" s="356">
        <v>0</v>
      </c>
      <c r="H61" s="356">
        <v>0</v>
      </c>
      <c r="I61" s="356">
        <v>0</v>
      </c>
      <c r="J61" s="356">
        <v>0</v>
      </c>
      <c r="K61" s="356"/>
      <c r="L61" s="356">
        <v>0</v>
      </c>
      <c r="M61" s="356">
        <v>0</v>
      </c>
      <c r="N61" s="356">
        <v>0</v>
      </c>
      <c r="O61" s="356">
        <v>0</v>
      </c>
    </row>
    <row r="62" spans="1:15" ht="17.399999999999999" x14ac:dyDescent="0.3">
      <c r="A62" s="260" t="s">
        <v>489</v>
      </c>
      <c r="B62" s="356">
        <v>0</v>
      </c>
      <c r="C62" s="356">
        <v>6.3899999999999995E-5</v>
      </c>
      <c r="D62" s="356">
        <v>6.4999999999999996E-6</v>
      </c>
      <c r="E62" s="356">
        <v>4.7200000000000002E-5</v>
      </c>
      <c r="F62" s="357"/>
      <c r="G62" s="356">
        <v>0</v>
      </c>
      <c r="H62" s="356">
        <v>6.8499999999999996E-6</v>
      </c>
      <c r="I62" s="356">
        <v>2.4699999999999998E-7</v>
      </c>
      <c r="J62" s="356">
        <v>6.9099999999999999E-6</v>
      </c>
      <c r="K62" s="356"/>
      <c r="L62" s="356">
        <v>1.33E-5</v>
      </c>
      <c r="M62" s="356">
        <v>3.41E-6</v>
      </c>
      <c r="N62" s="356">
        <v>1.44E-9</v>
      </c>
      <c r="O62" s="356">
        <v>3.18E-6</v>
      </c>
    </row>
    <row r="63" spans="1:15" ht="17.399999999999999" x14ac:dyDescent="0.3">
      <c r="A63" s="260" t="s">
        <v>488</v>
      </c>
      <c r="B63" s="356">
        <v>0</v>
      </c>
      <c r="C63" s="356">
        <v>0</v>
      </c>
      <c r="D63" s="356">
        <v>0</v>
      </c>
      <c r="E63" s="356">
        <v>0</v>
      </c>
      <c r="F63" s="357"/>
      <c r="G63" s="356">
        <v>0</v>
      </c>
      <c r="H63" s="356">
        <v>0</v>
      </c>
      <c r="I63" s="356">
        <v>0</v>
      </c>
      <c r="J63" s="356">
        <v>0</v>
      </c>
      <c r="K63" s="356"/>
      <c r="L63" s="356">
        <v>0</v>
      </c>
      <c r="M63" s="356">
        <v>0</v>
      </c>
      <c r="N63" s="356">
        <v>0</v>
      </c>
      <c r="O63" s="356">
        <v>0</v>
      </c>
    </row>
    <row r="64" spans="1:15" ht="17.399999999999999" x14ac:dyDescent="0.3">
      <c r="A64" s="260" t="s">
        <v>498</v>
      </c>
      <c r="B64" s="356">
        <v>2.3099999999999999E-7</v>
      </c>
      <c r="C64" s="356">
        <v>0</v>
      </c>
      <c r="D64" s="356">
        <v>0</v>
      </c>
      <c r="E64" s="356">
        <v>0</v>
      </c>
      <c r="F64" s="357"/>
      <c r="G64" s="356">
        <v>0</v>
      </c>
      <c r="H64" s="356">
        <v>0</v>
      </c>
      <c r="I64" s="356">
        <v>0</v>
      </c>
      <c r="J64" s="356">
        <v>0</v>
      </c>
      <c r="K64" s="356"/>
      <c r="L64" s="356">
        <v>0</v>
      </c>
      <c r="M64" s="356">
        <v>0</v>
      </c>
      <c r="N64" s="356">
        <v>0</v>
      </c>
      <c r="O64" s="356">
        <v>0</v>
      </c>
    </row>
    <row r="65" spans="1:15" ht="17.399999999999999" x14ac:dyDescent="0.3">
      <c r="A65" s="260" t="s">
        <v>483</v>
      </c>
      <c r="B65" s="356">
        <v>0</v>
      </c>
      <c r="C65" s="356">
        <v>6.8300000000000007E-5</v>
      </c>
      <c r="D65" s="356">
        <v>9.2800000000000005E-7</v>
      </c>
      <c r="E65" s="356">
        <v>4.74E-5</v>
      </c>
      <c r="F65" s="357"/>
      <c r="G65" s="356">
        <v>0</v>
      </c>
      <c r="H65" s="356">
        <v>9.1700000000000003E-6</v>
      </c>
      <c r="I65" s="356">
        <v>2.57E-6</v>
      </c>
      <c r="J65" s="356">
        <v>8.0700000000000007E-6</v>
      </c>
      <c r="K65" s="356"/>
      <c r="L65" s="356">
        <v>0</v>
      </c>
      <c r="M65" s="356">
        <v>4.5700000000000003E-6</v>
      </c>
      <c r="N65" s="356">
        <v>9.9799999999999994E-8</v>
      </c>
      <c r="O65" s="356">
        <v>3.7500000000000001E-6</v>
      </c>
    </row>
    <row r="66" spans="1:15" ht="17.399999999999999" x14ac:dyDescent="0.3">
      <c r="A66" s="260" t="s">
        <v>542</v>
      </c>
      <c r="B66" s="356">
        <v>9.1800000000000002E-6</v>
      </c>
      <c r="C66" s="356">
        <v>8.6299999999999997E-5</v>
      </c>
      <c r="D66" s="356">
        <v>2.23E-5</v>
      </c>
      <c r="E66" s="356">
        <v>8.2899999999999996E-5</v>
      </c>
      <c r="F66" s="357"/>
      <c r="G66" s="356">
        <v>0</v>
      </c>
      <c r="H66" s="356">
        <v>1.2799999999999999E-5</v>
      </c>
      <c r="I66" s="356">
        <v>1.2700000000000001E-7</v>
      </c>
      <c r="J66" s="356">
        <v>1.5999999999999999E-5</v>
      </c>
      <c r="K66" s="356"/>
      <c r="L66" s="356">
        <v>0</v>
      </c>
      <c r="M66" s="356">
        <v>4.4299999999999999E-6</v>
      </c>
      <c r="N66" s="356">
        <v>5.1900000000000003E-7</v>
      </c>
      <c r="O66" s="356">
        <v>5.2700000000000004E-6</v>
      </c>
    </row>
    <row r="67" spans="1:15" ht="17.399999999999999" x14ac:dyDescent="0.3">
      <c r="A67" s="260" t="s">
        <v>472</v>
      </c>
      <c r="B67" s="356">
        <v>4.8100000000000003E-7</v>
      </c>
      <c r="C67" s="356">
        <v>8.0400000000000003E-5</v>
      </c>
      <c r="D67" s="356">
        <v>2.5500000000000002E-4</v>
      </c>
      <c r="E67" s="356">
        <v>2.8400000000000002E-4</v>
      </c>
      <c r="F67" s="357"/>
      <c r="G67" s="356">
        <v>0</v>
      </c>
      <c r="H67" s="356">
        <v>9.0999999999999993E-6</v>
      </c>
      <c r="I67" s="356">
        <v>8.0399999999999993E-6</v>
      </c>
      <c r="J67" s="356">
        <v>5.7800000000000002E-5</v>
      </c>
      <c r="K67" s="356"/>
      <c r="L67" s="356">
        <v>0</v>
      </c>
      <c r="M67" s="356">
        <v>3.6600000000000001E-6</v>
      </c>
      <c r="N67" s="356">
        <v>9.1400000000000006E-6</v>
      </c>
      <c r="O67" s="356">
        <v>2.2399999999999999E-5</v>
      </c>
    </row>
    <row r="68" spans="1:15" ht="17.399999999999999" x14ac:dyDescent="0.3">
      <c r="A68" s="260" t="s">
        <v>449</v>
      </c>
      <c r="B68" s="356">
        <v>0</v>
      </c>
      <c r="C68" s="356">
        <v>0</v>
      </c>
      <c r="D68" s="356">
        <v>0</v>
      </c>
      <c r="E68" s="356">
        <v>0</v>
      </c>
      <c r="F68" s="357"/>
      <c r="G68" s="356">
        <v>0</v>
      </c>
      <c r="H68" s="356">
        <v>0</v>
      </c>
      <c r="I68" s="356">
        <v>0</v>
      </c>
      <c r="J68" s="356">
        <v>0</v>
      </c>
      <c r="K68" s="356"/>
      <c r="L68" s="356">
        <v>0</v>
      </c>
      <c r="M68" s="356">
        <v>0</v>
      </c>
      <c r="N68" s="356">
        <v>0</v>
      </c>
      <c r="O68" s="356">
        <v>0</v>
      </c>
    </row>
    <row r="69" spans="1:15" ht="17.399999999999999" x14ac:dyDescent="0.3">
      <c r="A69" s="260" t="s">
        <v>439</v>
      </c>
      <c r="B69" s="356">
        <v>0</v>
      </c>
      <c r="C69" s="356">
        <v>7.1899999999999999E-5</v>
      </c>
      <c r="D69" s="356">
        <v>0</v>
      </c>
      <c r="E69" s="356">
        <v>5.02E-5</v>
      </c>
      <c r="F69" s="357"/>
      <c r="G69" s="356">
        <v>0</v>
      </c>
      <c r="H69" s="356">
        <v>7.7999999999999999E-6</v>
      </c>
      <c r="I69" s="356">
        <v>0</v>
      </c>
      <c r="J69" s="356">
        <v>6.6800000000000004E-6</v>
      </c>
      <c r="K69" s="356"/>
      <c r="L69" s="356">
        <v>4.08E-7</v>
      </c>
      <c r="M69" s="356">
        <v>3.9700000000000001E-6</v>
      </c>
      <c r="N69" s="356">
        <v>0</v>
      </c>
      <c r="O69" s="356">
        <v>3.1499999999999999E-6</v>
      </c>
    </row>
    <row r="70" spans="1:15" ht="17.399999999999999" x14ac:dyDescent="0.3">
      <c r="A70" s="260" t="s">
        <v>432</v>
      </c>
      <c r="B70" s="356">
        <v>1.2413199999999999E-2</v>
      </c>
      <c r="C70" s="356">
        <v>1.6000000000000001E-3</v>
      </c>
      <c r="D70" s="356">
        <v>1.2846999999999999E-3</v>
      </c>
      <c r="E70" s="356">
        <v>2.5300000000000001E-3</v>
      </c>
      <c r="F70" s="357"/>
      <c r="G70" s="356">
        <v>1.2692000000000001E-3</v>
      </c>
      <c r="H70" s="356">
        <v>6.5399999999999996E-4</v>
      </c>
      <c r="I70" s="356">
        <v>7.3622000000000002E-3</v>
      </c>
      <c r="J70" s="356">
        <v>6.357E-4</v>
      </c>
      <c r="K70" s="356"/>
      <c r="L70" s="356">
        <v>5.4469999999999996E-3</v>
      </c>
      <c r="M70" s="356">
        <v>3.0689999999999998E-4</v>
      </c>
      <c r="N70" s="356">
        <v>2.7047700000000001E-2</v>
      </c>
      <c r="O70" s="356">
        <v>2.7040000000000001E-4</v>
      </c>
    </row>
    <row r="71" spans="1:15" ht="17.399999999999999" x14ac:dyDescent="0.3">
      <c r="A71" s="260" t="s">
        <v>392</v>
      </c>
      <c r="B71" s="356">
        <v>1.9999999999999999E-7</v>
      </c>
      <c r="C71" s="356">
        <v>7.5599999999999994E-5</v>
      </c>
      <c r="D71" s="356">
        <v>0</v>
      </c>
      <c r="E71" s="356">
        <v>6.4999999999999994E-5</v>
      </c>
      <c r="F71" s="357"/>
      <c r="G71" s="356">
        <v>0</v>
      </c>
      <c r="H71" s="356">
        <v>8.5900000000000008E-6</v>
      </c>
      <c r="I71" s="356">
        <v>4.3800000000000004E-6</v>
      </c>
      <c r="J71" s="356">
        <v>9.9299999999999998E-6</v>
      </c>
      <c r="K71" s="356"/>
      <c r="L71" s="356">
        <v>0</v>
      </c>
      <c r="M71" s="356">
        <v>4.2799999999999997E-6</v>
      </c>
      <c r="N71" s="356">
        <v>0</v>
      </c>
      <c r="O71" s="356">
        <v>4.5499999999999996E-6</v>
      </c>
    </row>
    <row r="72" spans="1:15" ht="17.399999999999999" x14ac:dyDescent="0.3">
      <c r="A72" s="260" t="s">
        <v>391</v>
      </c>
      <c r="B72" s="356">
        <v>0</v>
      </c>
      <c r="C72" s="356">
        <v>6.4999999999999994E-5</v>
      </c>
      <c r="D72" s="356">
        <v>2.6699999999999998E-5</v>
      </c>
      <c r="E72" s="356">
        <v>5.3499999999999999E-5</v>
      </c>
      <c r="F72" s="357"/>
      <c r="G72" s="356">
        <v>0</v>
      </c>
      <c r="H72" s="356">
        <v>6.7499999999999997E-6</v>
      </c>
      <c r="I72" s="356">
        <v>0</v>
      </c>
      <c r="J72" s="356">
        <v>8.1200000000000002E-6</v>
      </c>
      <c r="K72" s="356"/>
      <c r="L72" s="356">
        <v>8.6600000000000001E-6</v>
      </c>
      <c r="M72" s="356">
        <v>3.45E-6</v>
      </c>
      <c r="N72" s="356">
        <v>2.44E-8</v>
      </c>
      <c r="O72" s="356">
        <v>3.7799999999999998E-6</v>
      </c>
    </row>
    <row r="73" spans="1:15" ht="17.399999999999999" x14ac:dyDescent="0.3">
      <c r="A73" s="260" t="s">
        <v>390</v>
      </c>
      <c r="B73" s="356">
        <v>0</v>
      </c>
      <c r="C73" s="356">
        <v>0</v>
      </c>
      <c r="D73" s="356">
        <v>0</v>
      </c>
      <c r="E73" s="356">
        <v>0</v>
      </c>
      <c r="F73" s="357"/>
      <c r="G73" s="356">
        <v>0</v>
      </c>
      <c r="H73" s="356">
        <v>0</v>
      </c>
      <c r="I73" s="356">
        <v>0</v>
      </c>
      <c r="J73" s="356">
        <v>0</v>
      </c>
      <c r="K73" s="356"/>
      <c r="L73" s="356">
        <v>0</v>
      </c>
      <c r="M73" s="356">
        <v>0</v>
      </c>
      <c r="N73" s="356">
        <v>0</v>
      </c>
      <c r="O73" s="356">
        <v>0</v>
      </c>
    </row>
    <row r="74" spans="1:15" ht="17.399999999999999" x14ac:dyDescent="0.3">
      <c r="A74" s="260" t="s">
        <v>389</v>
      </c>
      <c r="B74" s="356">
        <v>0</v>
      </c>
      <c r="C74" s="356">
        <v>7.4599999999999997E-5</v>
      </c>
      <c r="D74" s="356">
        <v>8.23E-7</v>
      </c>
      <c r="E74" s="356">
        <v>4.5000000000000003E-5</v>
      </c>
      <c r="F74" s="357"/>
      <c r="G74" s="356">
        <v>0</v>
      </c>
      <c r="H74" s="356">
        <v>9.3500000000000003E-6</v>
      </c>
      <c r="I74" s="356">
        <v>0</v>
      </c>
      <c r="J74" s="356">
        <v>6.19E-6</v>
      </c>
      <c r="K74" s="356"/>
      <c r="L74" s="356">
        <v>1.8799999999999999E-7</v>
      </c>
      <c r="M74" s="356">
        <v>4.6199999999999998E-6</v>
      </c>
      <c r="N74" s="356">
        <v>0</v>
      </c>
      <c r="O74" s="356">
        <v>2.9000000000000002E-6</v>
      </c>
    </row>
    <row r="75" spans="1:15" ht="17.399999999999999" x14ac:dyDescent="0.3">
      <c r="A75" s="260" t="s">
        <v>387</v>
      </c>
      <c r="B75" s="356">
        <v>0</v>
      </c>
      <c r="C75" s="356">
        <v>3.1300000000000002E-5</v>
      </c>
      <c r="D75" s="356">
        <v>0</v>
      </c>
      <c r="E75" s="356">
        <v>3.6000000000000001E-5</v>
      </c>
      <c r="F75" s="357"/>
      <c r="G75" s="356">
        <v>0</v>
      </c>
      <c r="H75" s="356">
        <v>6.3899999999999998E-6</v>
      </c>
      <c r="I75" s="356">
        <v>0</v>
      </c>
      <c r="J75" s="356">
        <v>5.48E-6</v>
      </c>
      <c r="K75" s="356"/>
      <c r="L75" s="356">
        <v>0</v>
      </c>
      <c r="M75" s="356">
        <v>3.3799999999999998E-6</v>
      </c>
      <c r="N75" s="356">
        <v>0</v>
      </c>
      <c r="O75" s="356">
        <v>2.7099999999999999E-6</v>
      </c>
    </row>
    <row r="76" spans="1:15" ht="17.399999999999999" x14ac:dyDescent="0.3">
      <c r="A76" s="260" t="s">
        <v>374</v>
      </c>
      <c r="B76" s="356">
        <v>1.8199999999999999E-5</v>
      </c>
      <c r="C76" s="356">
        <v>7.5900000000000002E-5</v>
      </c>
      <c r="D76" s="356">
        <v>5.4029999999999996E-4</v>
      </c>
      <c r="E76" s="356">
        <v>1.5420000000000001E-4</v>
      </c>
      <c r="F76" s="357"/>
      <c r="G76" s="356">
        <v>0</v>
      </c>
      <c r="H76" s="356">
        <v>1.08E-5</v>
      </c>
      <c r="I76" s="356">
        <v>7.1199999999999996E-5</v>
      </c>
      <c r="J76" s="356">
        <v>3.4900000000000001E-5</v>
      </c>
      <c r="K76" s="356"/>
      <c r="L76" s="356">
        <v>0</v>
      </c>
      <c r="M76" s="356">
        <v>5.1699999999999996E-6</v>
      </c>
      <c r="N76" s="356">
        <v>4.32E-5</v>
      </c>
      <c r="O76" s="356">
        <v>1.52E-5</v>
      </c>
    </row>
    <row r="77" spans="1:15" ht="17.399999999999999" x14ac:dyDescent="0.3">
      <c r="A77" s="260" t="s">
        <v>535</v>
      </c>
      <c r="B77" s="356">
        <v>0</v>
      </c>
      <c r="C77" s="356">
        <v>0</v>
      </c>
      <c r="D77" s="356">
        <v>0</v>
      </c>
      <c r="E77" s="356">
        <v>0</v>
      </c>
      <c r="F77" s="357"/>
      <c r="G77" s="356">
        <v>0</v>
      </c>
      <c r="H77" s="356">
        <v>0</v>
      </c>
      <c r="I77" s="356">
        <v>0</v>
      </c>
      <c r="J77" s="356">
        <v>0</v>
      </c>
      <c r="K77" s="356"/>
      <c r="L77" s="356">
        <v>0</v>
      </c>
      <c r="M77" s="356">
        <v>0</v>
      </c>
      <c r="N77" s="356">
        <v>0</v>
      </c>
      <c r="O77" s="356">
        <v>0</v>
      </c>
    </row>
    <row r="78" spans="1:15" ht="17.399999999999999" x14ac:dyDescent="0.3">
      <c r="A78" s="260" t="s">
        <v>248</v>
      </c>
      <c r="B78" s="356">
        <v>3.0151600000000001E-2</v>
      </c>
      <c r="C78" s="356">
        <v>2.4179099999999999E-2</v>
      </c>
      <c r="D78" s="356">
        <v>0.1058135</v>
      </c>
      <c r="E78" s="356">
        <v>3.7084100000000002E-2</v>
      </c>
      <c r="F78" s="357"/>
      <c r="G78" s="356">
        <v>7.0809700000000003E-2</v>
      </c>
      <c r="H78" s="356">
        <v>4.7539000000000001E-3</v>
      </c>
      <c r="I78" s="356">
        <v>0.14642289999999999</v>
      </c>
      <c r="J78" s="356">
        <v>7.1861E-3</v>
      </c>
      <c r="K78" s="356"/>
      <c r="L78" s="356">
        <v>3.6708499999999998E-2</v>
      </c>
      <c r="M78" s="356">
        <v>2.0858999999999999E-3</v>
      </c>
      <c r="N78" s="356">
        <v>2.9009500000000001E-2</v>
      </c>
      <c r="O78" s="356">
        <v>2.8103E-3</v>
      </c>
    </row>
    <row r="79" spans="1:15" ht="17.399999999999999" x14ac:dyDescent="0.3">
      <c r="A79" s="260" t="s">
        <v>370</v>
      </c>
      <c r="B79" s="356">
        <v>9.0299999999999999E-6</v>
      </c>
      <c r="C79" s="356">
        <v>1.3689999999999999E-4</v>
      </c>
      <c r="D79" s="356">
        <v>0</v>
      </c>
      <c r="E79" s="356">
        <v>8.7600000000000002E-5</v>
      </c>
      <c r="F79" s="357"/>
      <c r="G79" s="356">
        <v>0</v>
      </c>
      <c r="H79" s="356">
        <v>2.7399999999999999E-5</v>
      </c>
      <c r="I79" s="356">
        <v>2.8200000000000001E-5</v>
      </c>
      <c r="J79" s="356">
        <v>1.5500000000000001E-5</v>
      </c>
      <c r="K79" s="356"/>
      <c r="L79" s="356">
        <v>0</v>
      </c>
      <c r="M79" s="356">
        <v>1.15E-5</v>
      </c>
      <c r="N79" s="356">
        <v>0</v>
      </c>
      <c r="O79" s="356">
        <v>6.1199999999999999E-6</v>
      </c>
    </row>
    <row r="80" spans="1:15" ht="17.399999999999999" x14ac:dyDescent="0.3">
      <c r="A80" s="260" t="s">
        <v>296</v>
      </c>
      <c r="B80" s="356">
        <v>0</v>
      </c>
      <c r="C80" s="356">
        <v>5.4700000000000001E-5</v>
      </c>
      <c r="D80" s="356">
        <v>0</v>
      </c>
      <c r="E80" s="356">
        <v>5.5300000000000002E-5</v>
      </c>
      <c r="F80" s="357"/>
      <c r="G80" s="356">
        <v>5.1200000000000001E-6</v>
      </c>
      <c r="H80" s="356">
        <v>4.7899999999999999E-5</v>
      </c>
      <c r="I80" s="356">
        <v>6.36E-8</v>
      </c>
      <c r="J80" s="356">
        <v>3.7700000000000002E-5</v>
      </c>
      <c r="K80" s="356"/>
      <c r="L80" s="356">
        <v>7.8099999999999998E-6</v>
      </c>
      <c r="M80" s="356">
        <v>2.05E-5</v>
      </c>
      <c r="N80" s="356">
        <v>7.9200000000000004E-6</v>
      </c>
      <c r="O80" s="356">
        <v>1.4800000000000001E-5</v>
      </c>
    </row>
    <row r="81" spans="1:15" ht="17.399999999999999" x14ac:dyDescent="0.3">
      <c r="A81" s="260" t="s">
        <v>333</v>
      </c>
      <c r="B81" s="356">
        <v>1.076E-4</v>
      </c>
      <c r="C81" s="356">
        <v>1.3210000000000001E-4</v>
      </c>
      <c r="D81" s="356">
        <v>1.2970000000000001E-4</v>
      </c>
      <c r="E81" s="356">
        <v>3.3569999999999997E-4</v>
      </c>
      <c r="F81" s="357"/>
      <c r="G81" s="356">
        <v>1.8600000000000001E-5</v>
      </c>
      <c r="H81" s="356">
        <v>1.037E-4</v>
      </c>
      <c r="I81" s="356">
        <v>9.2799999999999992E-6</v>
      </c>
      <c r="J81" s="356">
        <v>1.998E-4</v>
      </c>
      <c r="K81" s="356"/>
      <c r="L81" s="356">
        <v>4.5330000000000001E-4</v>
      </c>
      <c r="M81" s="356">
        <v>5.9299999999999998E-5</v>
      </c>
      <c r="N81" s="356">
        <v>3.77E-4</v>
      </c>
      <c r="O81" s="356">
        <v>1.1230000000000001E-4</v>
      </c>
    </row>
    <row r="82" spans="1:15" ht="17.399999999999999" x14ac:dyDescent="0.3">
      <c r="A82" s="260" t="s">
        <v>476</v>
      </c>
      <c r="B82" s="356">
        <v>0</v>
      </c>
      <c r="C82" s="356">
        <v>1.5299999999999999E-5</v>
      </c>
      <c r="D82" s="356">
        <v>0</v>
      </c>
      <c r="E82" s="356">
        <v>4.1900000000000002E-5</v>
      </c>
      <c r="F82" s="357"/>
      <c r="G82" s="356">
        <v>0</v>
      </c>
      <c r="H82" s="356">
        <v>1.1600000000000001E-5</v>
      </c>
      <c r="I82" s="356">
        <v>0</v>
      </c>
      <c r="J82" s="356">
        <v>2.7399999999999999E-5</v>
      </c>
      <c r="K82" s="356"/>
      <c r="L82" s="356">
        <v>1.59E-5</v>
      </c>
      <c r="M82" s="356">
        <v>5.2499999999999997E-6</v>
      </c>
      <c r="N82" s="356">
        <v>1.42E-5</v>
      </c>
      <c r="O82" s="356">
        <v>1.13E-5</v>
      </c>
    </row>
    <row r="83" spans="1:15" ht="17.399999999999999" x14ac:dyDescent="0.3">
      <c r="A83" s="260" t="s">
        <v>475</v>
      </c>
      <c r="B83" s="356">
        <v>0</v>
      </c>
      <c r="C83" s="356">
        <v>1.6900000000000001E-5</v>
      </c>
      <c r="D83" s="356">
        <v>0</v>
      </c>
      <c r="E83" s="356">
        <v>3.4400000000000003E-5</v>
      </c>
      <c r="F83" s="357"/>
      <c r="G83" s="356">
        <v>0</v>
      </c>
      <c r="H83" s="356">
        <v>1.15E-5</v>
      </c>
      <c r="I83" s="356">
        <v>9.9799999999999993E-6</v>
      </c>
      <c r="J83" s="356">
        <v>2.02E-5</v>
      </c>
      <c r="K83" s="356"/>
      <c r="L83" s="356">
        <v>0</v>
      </c>
      <c r="M83" s="356">
        <v>5.9499999999999998E-6</v>
      </c>
      <c r="N83" s="356">
        <v>2.5400000000000001E-5</v>
      </c>
      <c r="O83" s="356">
        <v>9.4900000000000006E-6</v>
      </c>
    </row>
    <row r="84" spans="1:15" ht="17.399999999999999" x14ac:dyDescent="0.3">
      <c r="A84" s="260" t="s">
        <v>474</v>
      </c>
      <c r="B84" s="356">
        <v>8.0339999999999995E-3</v>
      </c>
      <c r="C84" s="356">
        <v>7.337E-4</v>
      </c>
      <c r="D84" s="356">
        <v>1.0838499999999999E-2</v>
      </c>
      <c r="E84" s="356">
        <v>2.6229999999999998E-4</v>
      </c>
      <c r="F84" s="357"/>
      <c r="G84" s="356">
        <v>2.5839999999999999E-4</v>
      </c>
      <c r="H84" s="356">
        <v>3.747E-4</v>
      </c>
      <c r="I84" s="356">
        <v>5.3640000000000003E-4</v>
      </c>
      <c r="J84" s="356">
        <v>1.561E-4</v>
      </c>
      <c r="K84" s="356"/>
      <c r="L84" s="356">
        <v>4.2739999999999998E-4</v>
      </c>
      <c r="M84" s="356">
        <v>2.107E-4</v>
      </c>
      <c r="N84" s="356">
        <v>2.184E-4</v>
      </c>
      <c r="O84" s="356">
        <v>8.5500000000000005E-5</v>
      </c>
    </row>
    <row r="85" spans="1:15" ht="17.399999999999999" x14ac:dyDescent="0.3">
      <c r="A85" s="260" t="s">
        <v>471</v>
      </c>
      <c r="B85" s="356">
        <v>1.8300000000000001E-5</v>
      </c>
      <c r="C85" s="356">
        <v>2.9300000000000001E-5</v>
      </c>
      <c r="D85" s="356">
        <v>2.4199999999999999E-5</v>
      </c>
      <c r="E85" s="356">
        <v>2.3900000000000002E-5</v>
      </c>
      <c r="F85" s="357"/>
      <c r="G85" s="356">
        <v>0</v>
      </c>
      <c r="H85" s="356">
        <v>1.98E-5</v>
      </c>
      <c r="I85" s="356">
        <v>0</v>
      </c>
      <c r="J85" s="356">
        <v>1.2E-5</v>
      </c>
      <c r="K85" s="356"/>
      <c r="L85" s="356">
        <v>3.4299999999999999E-7</v>
      </c>
      <c r="M85" s="356">
        <v>1.1600000000000001E-5</v>
      </c>
      <c r="N85" s="356">
        <v>2.3499999999999999E-5</v>
      </c>
      <c r="O85" s="356">
        <v>6.9700000000000002E-6</v>
      </c>
    </row>
    <row r="86" spans="1:15" ht="17.399999999999999" x14ac:dyDescent="0.3">
      <c r="A86" s="260" t="s">
        <v>295</v>
      </c>
      <c r="B86" s="356">
        <v>0</v>
      </c>
      <c r="C86" s="356">
        <v>3.65E-5</v>
      </c>
      <c r="D86" s="356">
        <v>0</v>
      </c>
      <c r="E86" s="356">
        <v>5.4299999999999998E-5</v>
      </c>
      <c r="F86" s="357"/>
      <c r="G86" s="356">
        <v>0</v>
      </c>
      <c r="H86" s="356">
        <v>3.0499999999999999E-5</v>
      </c>
      <c r="I86" s="356">
        <v>2.1299999999999999E-6</v>
      </c>
      <c r="J86" s="356">
        <v>3.57E-5</v>
      </c>
      <c r="K86" s="356"/>
      <c r="L86" s="356">
        <v>2.41E-5</v>
      </c>
      <c r="M86" s="356">
        <v>2.02E-5</v>
      </c>
      <c r="N86" s="356">
        <v>1.7600000000000001E-5</v>
      </c>
      <c r="O86" s="356">
        <v>1.88E-5</v>
      </c>
    </row>
    <row r="87" spans="1:15" ht="17.399999999999999" x14ac:dyDescent="0.3">
      <c r="A87" s="260" t="s">
        <v>462</v>
      </c>
      <c r="B87" s="356">
        <v>2.27E-5</v>
      </c>
      <c r="C87" s="356">
        <v>3.15E-5</v>
      </c>
      <c r="D87" s="356">
        <v>1.404E-4</v>
      </c>
      <c r="E87" s="356">
        <v>6.3299999999999994E-5</v>
      </c>
      <c r="F87" s="357"/>
      <c r="G87" s="356">
        <v>0</v>
      </c>
      <c r="H87" s="356">
        <v>2.1500000000000001E-5</v>
      </c>
      <c r="I87" s="356">
        <v>6.7000000000000002E-6</v>
      </c>
      <c r="J87" s="356">
        <v>3.5200000000000002E-5</v>
      </c>
      <c r="K87" s="356"/>
      <c r="L87" s="356">
        <v>5.5999999999999999E-5</v>
      </c>
      <c r="M87" s="356">
        <v>2.3600000000000001E-5</v>
      </c>
      <c r="N87" s="356">
        <v>2.0699999999999998E-5</v>
      </c>
      <c r="O87" s="356">
        <v>1.9899999999999999E-5</v>
      </c>
    </row>
    <row r="88" spans="1:15" ht="17.399999999999999" x14ac:dyDescent="0.3">
      <c r="A88" s="260" t="s">
        <v>423</v>
      </c>
      <c r="B88" s="356">
        <v>0</v>
      </c>
      <c r="C88" s="356">
        <v>3.6000000000000001E-5</v>
      </c>
      <c r="D88" s="356">
        <v>0</v>
      </c>
      <c r="E88" s="356">
        <v>2.5700000000000001E-5</v>
      </c>
      <c r="F88" s="357"/>
      <c r="G88" s="356">
        <v>7.7100000000000007E-6</v>
      </c>
      <c r="H88" s="356">
        <v>3.2799999999999998E-5</v>
      </c>
      <c r="I88" s="356">
        <v>0</v>
      </c>
      <c r="J88" s="356">
        <v>1.84E-5</v>
      </c>
      <c r="K88" s="356"/>
      <c r="L88" s="356">
        <v>7.4499999999999995E-5</v>
      </c>
      <c r="M88" s="356">
        <v>1.22E-5</v>
      </c>
      <c r="N88" s="356">
        <v>5.2499999999999995E-7</v>
      </c>
      <c r="O88" s="356">
        <v>5.9800000000000003E-6</v>
      </c>
    </row>
    <row r="89" spans="1:15" ht="17.399999999999999" x14ac:dyDescent="0.3">
      <c r="A89" s="260" t="s">
        <v>412</v>
      </c>
      <c r="B89" s="356">
        <v>0</v>
      </c>
      <c r="C89" s="356">
        <v>7.5699999999999997E-5</v>
      </c>
      <c r="D89" s="356">
        <v>0</v>
      </c>
      <c r="E89" s="356">
        <v>2.418E-4</v>
      </c>
      <c r="F89" s="357"/>
      <c r="G89" s="356">
        <v>1.06E-5</v>
      </c>
      <c r="H89" s="356">
        <v>4.9299999999999999E-5</v>
      </c>
      <c r="I89" s="356">
        <v>4.9700000000000002E-5</v>
      </c>
      <c r="J89" s="356">
        <v>1.4249999999999999E-4</v>
      </c>
      <c r="K89" s="356"/>
      <c r="L89" s="356">
        <v>4.5599999999999997E-5</v>
      </c>
      <c r="M89" s="356">
        <v>1.95E-5</v>
      </c>
      <c r="N89" s="356">
        <v>7.7100000000000007E-6</v>
      </c>
      <c r="O89" s="356">
        <v>5.3300000000000001E-5</v>
      </c>
    </row>
    <row r="90" spans="1:15" ht="17.399999999999999" x14ac:dyDescent="0.3">
      <c r="A90" s="260" t="s">
        <v>405</v>
      </c>
      <c r="B90" s="356">
        <v>0</v>
      </c>
      <c r="C90" s="356">
        <v>7.2299999999999996E-5</v>
      </c>
      <c r="D90" s="356">
        <v>0</v>
      </c>
      <c r="E90" s="356">
        <v>5.1799999999999999E-5</v>
      </c>
      <c r="F90" s="357"/>
      <c r="G90" s="356">
        <v>3.49E-6</v>
      </c>
      <c r="H90" s="356">
        <v>6.1099999999999994E-5</v>
      </c>
      <c r="I90" s="356">
        <v>3.8399999999999997E-6</v>
      </c>
      <c r="J90" s="356">
        <v>3.3500000000000001E-5</v>
      </c>
      <c r="K90" s="356"/>
      <c r="L90" s="356">
        <v>2.1550000000000001E-4</v>
      </c>
      <c r="M90" s="356">
        <v>2.7900000000000001E-5</v>
      </c>
      <c r="N90" s="356">
        <v>8.8300000000000002E-6</v>
      </c>
      <c r="O90" s="356">
        <v>1.4100000000000001E-5</v>
      </c>
    </row>
    <row r="91" spans="1:15" ht="17.399999999999999" x14ac:dyDescent="0.3">
      <c r="A91" s="260" t="s">
        <v>384</v>
      </c>
      <c r="B91" s="356">
        <v>0</v>
      </c>
      <c r="C91" s="356">
        <v>1.4E-5</v>
      </c>
      <c r="D91" s="356">
        <v>0</v>
      </c>
      <c r="E91" s="356">
        <v>1.33E-5</v>
      </c>
      <c r="F91" s="357"/>
      <c r="G91" s="356">
        <v>0</v>
      </c>
      <c r="H91" s="356">
        <v>7.9500000000000001E-6</v>
      </c>
      <c r="I91" s="356">
        <v>0</v>
      </c>
      <c r="J91" s="356">
        <v>5.8000000000000004E-6</v>
      </c>
      <c r="K91" s="356"/>
      <c r="L91" s="356">
        <v>0</v>
      </c>
      <c r="M91" s="356">
        <v>9.9699999999999994E-6</v>
      </c>
      <c r="N91" s="356">
        <v>0</v>
      </c>
      <c r="O91" s="356">
        <v>7.9200000000000004E-6</v>
      </c>
    </row>
    <row r="92" spans="1:15" ht="17.399999999999999" x14ac:dyDescent="0.3">
      <c r="A92" s="260" t="s">
        <v>366</v>
      </c>
      <c r="B92" s="356">
        <v>0</v>
      </c>
      <c r="C92" s="356">
        <v>7.1099999999999994E-5</v>
      </c>
      <c r="D92" s="356">
        <v>0</v>
      </c>
      <c r="E92" s="356">
        <v>1.7420000000000001E-4</v>
      </c>
      <c r="F92" s="357"/>
      <c r="G92" s="356">
        <v>1.5999999999999999E-5</v>
      </c>
      <c r="H92" s="356">
        <v>6.9099999999999999E-5</v>
      </c>
      <c r="I92" s="356">
        <v>6.1799999999999998E-5</v>
      </c>
      <c r="J92" s="356">
        <v>1.3119999999999999E-4</v>
      </c>
      <c r="K92" s="356"/>
      <c r="L92" s="356">
        <v>4.7599999999999998E-5</v>
      </c>
      <c r="M92" s="356">
        <v>3.4999999999999997E-5</v>
      </c>
      <c r="N92" s="356">
        <v>6.2199999999999994E-5</v>
      </c>
      <c r="O92" s="356">
        <v>5.6100000000000002E-5</v>
      </c>
    </row>
    <row r="93" spans="1:15" ht="17.399999999999999" x14ac:dyDescent="0.3">
      <c r="A93" s="260" t="s">
        <v>334</v>
      </c>
      <c r="B93" s="356">
        <v>6.9289999999999998E-4</v>
      </c>
      <c r="C93" s="356">
        <v>1.672E-4</v>
      </c>
      <c r="D93" s="356">
        <v>7.4879999999999999E-4</v>
      </c>
      <c r="E93" s="356">
        <v>7.2000000000000002E-5</v>
      </c>
      <c r="F93" s="357"/>
      <c r="G93" s="356">
        <v>7.6100000000000007E-5</v>
      </c>
      <c r="H93" s="356">
        <v>1.2210000000000001E-4</v>
      </c>
      <c r="I93" s="356">
        <v>8.5900000000000008E-6</v>
      </c>
      <c r="J93" s="356">
        <v>3.8500000000000001E-5</v>
      </c>
      <c r="K93" s="356"/>
      <c r="L93" s="356">
        <v>3.6249999999999998E-4</v>
      </c>
      <c r="M93" s="356">
        <v>6.9599999999999998E-5</v>
      </c>
      <c r="N93" s="356">
        <v>2.73E-5</v>
      </c>
      <c r="O93" s="356">
        <v>2.2200000000000001E-5</v>
      </c>
    </row>
    <row r="94" spans="1:15" ht="17.399999999999999" x14ac:dyDescent="0.3">
      <c r="A94" s="260" t="s">
        <v>353</v>
      </c>
      <c r="B94" s="356">
        <v>0</v>
      </c>
      <c r="C94" s="356">
        <v>1.7200000000000001E-5</v>
      </c>
      <c r="D94" s="356">
        <v>0</v>
      </c>
      <c r="E94" s="356">
        <v>1.66E-5</v>
      </c>
      <c r="F94" s="357"/>
      <c r="G94" s="356">
        <v>0</v>
      </c>
      <c r="H94" s="356">
        <v>1.19E-5</v>
      </c>
      <c r="I94" s="356">
        <v>0</v>
      </c>
      <c r="J94" s="356">
        <v>9.0000000000000002E-6</v>
      </c>
      <c r="K94" s="356"/>
      <c r="L94" s="356">
        <v>0</v>
      </c>
      <c r="M94" s="356">
        <v>5.1800000000000004E-6</v>
      </c>
      <c r="N94" s="356">
        <v>0</v>
      </c>
      <c r="O94" s="356">
        <v>3.6399999999999999E-6</v>
      </c>
    </row>
    <row r="95" spans="1:15" ht="17.399999999999999" x14ac:dyDescent="0.3">
      <c r="A95" s="260" t="s">
        <v>355</v>
      </c>
      <c r="B95" s="356">
        <v>0</v>
      </c>
      <c r="C95" s="356">
        <v>1.4100000000000001E-5</v>
      </c>
      <c r="D95" s="356">
        <v>0</v>
      </c>
      <c r="E95" s="356">
        <v>1.38E-5</v>
      </c>
      <c r="F95" s="357"/>
      <c r="G95" s="356">
        <v>0</v>
      </c>
      <c r="H95" s="356">
        <v>7.7300000000000005E-6</v>
      </c>
      <c r="I95" s="356">
        <v>0</v>
      </c>
      <c r="J95" s="356">
        <v>5.84E-6</v>
      </c>
      <c r="K95" s="356"/>
      <c r="L95" s="356">
        <v>0</v>
      </c>
      <c r="M95" s="356">
        <v>5.3800000000000002E-6</v>
      </c>
      <c r="N95" s="356">
        <v>0</v>
      </c>
      <c r="O95" s="356">
        <v>3.9099999999999998E-6</v>
      </c>
    </row>
    <row r="96" spans="1:15" ht="17.399999999999999" x14ac:dyDescent="0.3">
      <c r="A96" s="260" t="s">
        <v>560</v>
      </c>
      <c r="B96" s="356">
        <v>0</v>
      </c>
      <c r="C96" s="356">
        <v>1.7900000000000001E-5</v>
      </c>
      <c r="D96" s="356">
        <v>0</v>
      </c>
      <c r="E96" s="356">
        <v>1.59E-5</v>
      </c>
      <c r="F96" s="357"/>
      <c r="G96" s="356">
        <v>0</v>
      </c>
      <c r="H96" s="356">
        <v>1.73E-5</v>
      </c>
      <c r="I96" s="356">
        <v>0</v>
      </c>
      <c r="J96" s="356">
        <v>1.2500000000000001E-5</v>
      </c>
      <c r="K96" s="356"/>
      <c r="L96" s="356">
        <v>0</v>
      </c>
      <c r="M96" s="356">
        <v>5.0200000000000002E-6</v>
      </c>
      <c r="N96" s="356">
        <v>0</v>
      </c>
      <c r="O96" s="356">
        <v>3.18E-6</v>
      </c>
    </row>
    <row r="97" spans="1:15" ht="17.399999999999999" x14ac:dyDescent="0.3">
      <c r="A97" s="260" t="s">
        <v>545</v>
      </c>
      <c r="B97" s="356">
        <v>6.4999999999999996E-6</v>
      </c>
      <c r="C97" s="356">
        <v>2.6599999999999999E-5</v>
      </c>
      <c r="D97" s="356">
        <v>4.2199999999999999E-7</v>
      </c>
      <c r="E97" s="356">
        <v>1.9000000000000001E-5</v>
      </c>
      <c r="F97" s="357"/>
      <c r="G97" s="356">
        <v>1.13E-8</v>
      </c>
      <c r="H97" s="356">
        <v>3.3699999999999999E-5</v>
      </c>
      <c r="I97" s="356">
        <v>1.1799999999999999E-6</v>
      </c>
      <c r="J97" s="356">
        <v>2.0999999999999999E-5</v>
      </c>
      <c r="K97" s="356"/>
      <c r="L97" s="356">
        <v>0</v>
      </c>
      <c r="M97" s="356">
        <v>7.0099999999999998E-6</v>
      </c>
      <c r="N97" s="356">
        <v>0</v>
      </c>
      <c r="O97" s="356">
        <v>3.2600000000000001E-6</v>
      </c>
    </row>
    <row r="98" spans="1:15" ht="17.399999999999999" x14ac:dyDescent="0.3">
      <c r="A98" s="260" t="s">
        <v>540</v>
      </c>
      <c r="B98" s="356">
        <v>0</v>
      </c>
      <c r="C98" s="356">
        <v>1.73E-5</v>
      </c>
      <c r="D98" s="356">
        <v>0</v>
      </c>
      <c r="E98" s="356">
        <v>1.66E-5</v>
      </c>
      <c r="F98" s="357"/>
      <c r="G98" s="356">
        <v>0</v>
      </c>
      <c r="H98" s="356">
        <v>2.26E-5</v>
      </c>
      <c r="I98" s="356">
        <v>0</v>
      </c>
      <c r="J98" s="356">
        <v>1.84E-5</v>
      </c>
      <c r="K98" s="356"/>
      <c r="L98" s="356">
        <v>0</v>
      </c>
      <c r="M98" s="356">
        <v>4.0099999999999997E-6</v>
      </c>
      <c r="N98" s="356">
        <v>0</v>
      </c>
      <c r="O98" s="356">
        <v>2.74E-6</v>
      </c>
    </row>
    <row r="99" spans="1:15" ht="17.399999999999999" x14ac:dyDescent="0.3">
      <c r="A99" s="260" t="s">
        <v>534</v>
      </c>
      <c r="B99" s="356">
        <v>0</v>
      </c>
      <c r="C99" s="356">
        <v>2.6100000000000001E-5</v>
      </c>
      <c r="D99" s="356">
        <v>0</v>
      </c>
      <c r="E99" s="356">
        <v>2.2799999999999999E-5</v>
      </c>
      <c r="F99" s="357"/>
      <c r="G99" s="356">
        <v>0</v>
      </c>
      <c r="H99" s="356">
        <v>4.8199999999999999E-5</v>
      </c>
      <c r="I99" s="356">
        <v>0</v>
      </c>
      <c r="J99" s="356">
        <v>3.5299999999999997E-5</v>
      </c>
      <c r="K99" s="356"/>
      <c r="L99" s="356">
        <v>4.9699999999999998E-6</v>
      </c>
      <c r="M99" s="356">
        <v>6.9700000000000002E-6</v>
      </c>
      <c r="N99" s="356">
        <v>0</v>
      </c>
      <c r="O99" s="356">
        <v>3.8199999999999998E-6</v>
      </c>
    </row>
    <row r="100" spans="1:15" ht="17.399999999999999" x14ac:dyDescent="0.3">
      <c r="A100" s="260" t="s">
        <v>436</v>
      </c>
      <c r="B100" s="356">
        <v>0</v>
      </c>
      <c r="C100" s="356">
        <v>1.7200000000000001E-5</v>
      </c>
      <c r="D100" s="356">
        <v>0</v>
      </c>
      <c r="E100" s="356">
        <v>1.6399999999999999E-5</v>
      </c>
      <c r="F100" s="357"/>
      <c r="G100" s="356">
        <v>1.3799999999999999E-6</v>
      </c>
      <c r="H100" s="356">
        <v>2.4000000000000001E-5</v>
      </c>
      <c r="I100" s="356">
        <v>0</v>
      </c>
      <c r="J100" s="356">
        <v>1.9599999999999999E-5</v>
      </c>
      <c r="K100" s="356"/>
      <c r="L100" s="356">
        <v>0</v>
      </c>
      <c r="M100" s="356">
        <v>3.6899999999999998E-6</v>
      </c>
      <c r="N100" s="356">
        <v>0</v>
      </c>
      <c r="O100" s="356">
        <v>2.4899999999999999E-6</v>
      </c>
    </row>
    <row r="101" spans="1:15" ht="17.399999999999999" x14ac:dyDescent="0.3">
      <c r="A101" s="260" t="s">
        <v>530</v>
      </c>
      <c r="B101" s="356">
        <v>0</v>
      </c>
      <c r="C101" s="356">
        <v>2.0400000000000001E-5</v>
      </c>
      <c r="D101" s="356">
        <v>0</v>
      </c>
      <c r="E101" s="356">
        <v>1.6699999999999999E-5</v>
      </c>
      <c r="F101" s="357"/>
      <c r="G101" s="356">
        <v>0</v>
      </c>
      <c r="H101" s="356">
        <v>3.04E-5</v>
      </c>
      <c r="I101" s="356">
        <v>0</v>
      </c>
      <c r="J101" s="356">
        <v>2.1999999999999999E-5</v>
      </c>
      <c r="K101" s="356"/>
      <c r="L101" s="356">
        <v>0</v>
      </c>
      <c r="M101" s="356">
        <v>8.6000000000000007E-6</v>
      </c>
      <c r="N101" s="356">
        <v>0</v>
      </c>
      <c r="O101" s="356">
        <v>5.5600000000000001E-6</v>
      </c>
    </row>
    <row r="102" spans="1:15" ht="17.399999999999999" x14ac:dyDescent="0.3">
      <c r="A102" s="260" t="s">
        <v>394</v>
      </c>
      <c r="B102" s="356">
        <v>2.27E-5</v>
      </c>
      <c r="C102" s="356">
        <v>3.93E-5</v>
      </c>
      <c r="D102" s="356">
        <v>6.41E-5</v>
      </c>
      <c r="E102" s="356">
        <v>3.6900000000000002E-5</v>
      </c>
      <c r="F102" s="357"/>
      <c r="G102" s="356">
        <v>8.7400000000000002E-7</v>
      </c>
      <c r="H102" s="356">
        <v>4.2500000000000003E-5</v>
      </c>
      <c r="I102" s="356">
        <v>5.37E-7</v>
      </c>
      <c r="J102" s="356">
        <v>3.3500000000000001E-5</v>
      </c>
      <c r="K102" s="356"/>
      <c r="L102" s="356">
        <v>1.4899999999999999E-6</v>
      </c>
      <c r="M102" s="356">
        <v>1.13E-5</v>
      </c>
      <c r="N102" s="356">
        <v>0</v>
      </c>
      <c r="O102" s="356">
        <v>7.4200000000000001E-6</v>
      </c>
    </row>
    <row r="103" spans="1:15" ht="17.399999999999999" x14ac:dyDescent="0.3">
      <c r="A103" s="260" t="s">
        <v>382</v>
      </c>
      <c r="B103" s="356">
        <v>1.35572E-2</v>
      </c>
      <c r="C103" s="356">
        <v>1.3538000000000001E-3</v>
      </c>
      <c r="D103" s="356">
        <v>2.7169999999999999E-4</v>
      </c>
      <c r="E103" s="356">
        <v>1.4359999999999999E-4</v>
      </c>
      <c r="F103" s="357"/>
      <c r="G103" s="356">
        <v>3.212E-3</v>
      </c>
      <c r="H103" s="356">
        <v>3.4259E-3</v>
      </c>
      <c r="I103" s="356">
        <v>3.2199999999999997E-5</v>
      </c>
      <c r="J103" s="356">
        <v>4.2309999999999998E-4</v>
      </c>
      <c r="K103" s="356"/>
      <c r="L103" s="356">
        <v>1.902E-3</v>
      </c>
      <c r="M103" s="356">
        <v>4.2269999999999997E-4</v>
      </c>
      <c r="N103" s="356">
        <v>1.8129999999999999E-4</v>
      </c>
      <c r="O103" s="356">
        <v>2.83E-5</v>
      </c>
    </row>
    <row r="104" spans="1:15" ht="17.399999999999999" x14ac:dyDescent="0.3">
      <c r="A104" s="260" t="s">
        <v>480</v>
      </c>
      <c r="B104" s="356">
        <v>1.80214E-2</v>
      </c>
      <c r="C104" s="356">
        <v>3.2366999999999999E-3</v>
      </c>
      <c r="D104" s="356">
        <v>1.6488E-3</v>
      </c>
      <c r="E104" s="356">
        <v>4.0690000000000002E-4</v>
      </c>
      <c r="F104" s="357"/>
      <c r="G104" s="356">
        <v>2.2062700000000001E-2</v>
      </c>
      <c r="H104" s="356">
        <v>3.5493999999999999E-3</v>
      </c>
      <c r="I104" s="356">
        <v>6.8610000000000003E-4</v>
      </c>
      <c r="J104" s="356">
        <v>6.3690000000000003E-4</v>
      </c>
      <c r="K104" s="356"/>
      <c r="L104" s="356">
        <v>5.2388000000000001E-3</v>
      </c>
      <c r="M104" s="356">
        <v>8.1610000000000005E-4</v>
      </c>
      <c r="N104" s="356">
        <v>5.0210000000000001E-4</v>
      </c>
      <c r="O104" s="356">
        <v>9.6700000000000006E-5</v>
      </c>
    </row>
    <row r="105" spans="1:15" ht="17.399999999999999" x14ac:dyDescent="0.3">
      <c r="A105" s="260" t="s">
        <v>335</v>
      </c>
      <c r="B105" s="356">
        <v>9.4483999999999992E-3</v>
      </c>
      <c r="C105" s="356">
        <v>1.8886E-3</v>
      </c>
      <c r="D105" s="356">
        <v>7.5560000000000004E-4</v>
      </c>
      <c r="E105" s="356">
        <v>2.221E-4</v>
      </c>
      <c r="F105" s="357"/>
      <c r="G105" s="356">
        <v>3.9242000000000001E-3</v>
      </c>
      <c r="H105" s="356">
        <v>1.2997E-3</v>
      </c>
      <c r="I105" s="356">
        <v>1.819E-4</v>
      </c>
      <c r="J105" s="356">
        <v>1.985E-4</v>
      </c>
      <c r="K105" s="356"/>
      <c r="L105" s="356">
        <v>2.2506000000000002E-3</v>
      </c>
      <c r="M105" s="356">
        <v>4.4359999999999999E-4</v>
      </c>
      <c r="N105" s="356">
        <v>1.262E-4</v>
      </c>
      <c r="O105" s="356">
        <v>5.4400000000000001E-5</v>
      </c>
    </row>
    <row r="106" spans="1:15" ht="17.399999999999999" x14ac:dyDescent="0.3">
      <c r="A106" s="260" t="s">
        <v>477</v>
      </c>
      <c r="B106" s="356">
        <v>2.1706E-3</v>
      </c>
      <c r="C106" s="356">
        <v>5.5290000000000005E-4</v>
      </c>
      <c r="D106" s="356">
        <v>1.2750000000000001E-3</v>
      </c>
      <c r="E106" s="356">
        <v>1.671E-4</v>
      </c>
      <c r="F106" s="357"/>
      <c r="G106" s="356">
        <v>6.0550000000000003E-4</v>
      </c>
      <c r="H106" s="356">
        <v>6.8409999999999999E-4</v>
      </c>
      <c r="I106" s="356">
        <v>1.8210000000000001E-4</v>
      </c>
      <c r="J106" s="356">
        <v>1.8330000000000001E-4</v>
      </c>
      <c r="K106" s="356"/>
      <c r="L106" s="356">
        <v>4.5439999999999999E-4</v>
      </c>
      <c r="M106" s="356">
        <v>1.706E-4</v>
      </c>
      <c r="N106" s="356">
        <v>4.0800000000000002E-5</v>
      </c>
      <c r="O106" s="356">
        <v>3.3800000000000002E-5</v>
      </c>
    </row>
    <row r="107" spans="1:15" ht="17.399999999999999" x14ac:dyDescent="0.3">
      <c r="A107" s="260" t="s">
        <v>378</v>
      </c>
      <c r="B107" s="356">
        <v>0</v>
      </c>
      <c r="C107" s="356">
        <v>2.0299999999999999E-5</v>
      </c>
      <c r="D107" s="356">
        <v>0</v>
      </c>
      <c r="E107" s="356">
        <v>1.9899999999999999E-5</v>
      </c>
      <c r="F107" s="357"/>
      <c r="G107" s="356">
        <v>0</v>
      </c>
      <c r="H107" s="356">
        <v>2.9499999999999999E-5</v>
      </c>
      <c r="I107" s="356">
        <v>0</v>
      </c>
      <c r="J107" s="356">
        <v>2.5000000000000001E-5</v>
      </c>
      <c r="K107" s="356"/>
      <c r="L107" s="356">
        <v>0</v>
      </c>
      <c r="M107" s="356">
        <v>3.6500000000000002E-6</v>
      </c>
      <c r="N107" s="356">
        <v>0</v>
      </c>
      <c r="O107" s="356">
        <v>2.4899999999999999E-6</v>
      </c>
    </row>
    <row r="108" spans="1:15" ht="17.399999999999999" x14ac:dyDescent="0.3">
      <c r="A108" s="260" t="s">
        <v>466</v>
      </c>
      <c r="B108" s="356">
        <v>2.40848E-2</v>
      </c>
      <c r="C108" s="356">
        <v>2.5554000000000002E-3</v>
      </c>
      <c r="D108" s="356">
        <v>6.1418000000000002E-3</v>
      </c>
      <c r="E108" s="356">
        <v>1.1776E-3</v>
      </c>
      <c r="F108" s="357"/>
      <c r="G108" s="356">
        <v>6.0060000000000001E-3</v>
      </c>
      <c r="H108" s="356">
        <v>8.2480000000000001E-3</v>
      </c>
      <c r="I108" s="356">
        <v>4.0358E-3</v>
      </c>
      <c r="J108" s="356">
        <v>4.5465000000000002E-3</v>
      </c>
      <c r="K108" s="356"/>
      <c r="L108" s="356">
        <v>5.1647000000000004E-3</v>
      </c>
      <c r="M108" s="356">
        <v>8.3460000000000001E-4</v>
      </c>
      <c r="N108" s="356">
        <v>2.3446999999999999E-3</v>
      </c>
      <c r="O108" s="356">
        <v>2.4449999999999998E-4</v>
      </c>
    </row>
    <row r="109" spans="1:15" ht="17.399999999999999" x14ac:dyDescent="0.3">
      <c r="A109" s="260" t="s">
        <v>464</v>
      </c>
      <c r="B109" s="356">
        <v>0</v>
      </c>
      <c r="C109" s="356">
        <v>1.9599999999999999E-5</v>
      </c>
      <c r="D109" s="356">
        <v>0</v>
      </c>
      <c r="E109" s="356">
        <v>1.6799999999999998E-5</v>
      </c>
      <c r="F109" s="357"/>
      <c r="G109" s="356">
        <v>0</v>
      </c>
      <c r="H109" s="356">
        <v>2.9600000000000001E-5</v>
      </c>
      <c r="I109" s="356">
        <v>0</v>
      </c>
      <c r="J109" s="356">
        <v>2.2399999999999999E-5</v>
      </c>
      <c r="K109" s="356"/>
      <c r="L109" s="356">
        <v>0</v>
      </c>
      <c r="M109" s="356">
        <v>8.3899999999999993E-6</v>
      </c>
      <c r="N109" s="356">
        <v>0</v>
      </c>
      <c r="O109" s="356">
        <v>5.7200000000000003E-6</v>
      </c>
    </row>
    <row r="110" spans="1:15" ht="17.399999999999999" x14ac:dyDescent="0.3">
      <c r="A110" s="260" t="s">
        <v>457</v>
      </c>
      <c r="B110" s="356">
        <v>0</v>
      </c>
      <c r="C110" s="356">
        <v>3.0199999999999999E-5</v>
      </c>
      <c r="D110" s="356">
        <v>0</v>
      </c>
      <c r="E110" s="356">
        <v>2.2399999999999999E-5</v>
      </c>
      <c r="F110" s="357"/>
      <c r="G110" s="356">
        <v>1.1599999999999999E-6</v>
      </c>
      <c r="H110" s="356">
        <v>6.3899999999999995E-5</v>
      </c>
      <c r="I110" s="356">
        <v>0</v>
      </c>
      <c r="J110" s="356">
        <v>4.1499999999999999E-5</v>
      </c>
      <c r="K110" s="356"/>
      <c r="L110" s="356">
        <v>0</v>
      </c>
      <c r="M110" s="356">
        <v>8.3399999999999998E-6</v>
      </c>
      <c r="N110" s="356">
        <v>0</v>
      </c>
      <c r="O110" s="356">
        <v>3.7699999999999999E-6</v>
      </c>
    </row>
    <row r="111" spans="1:15" ht="17.399999999999999" x14ac:dyDescent="0.3">
      <c r="A111" s="260" t="s">
        <v>328</v>
      </c>
      <c r="B111" s="356">
        <v>2.3313000000000001E-3</v>
      </c>
      <c r="C111" s="356">
        <v>6.2890000000000005E-4</v>
      </c>
      <c r="D111" s="356">
        <v>3.3825999999999999E-3</v>
      </c>
      <c r="E111" s="356">
        <v>3.5389999999999998E-4</v>
      </c>
      <c r="F111" s="357"/>
      <c r="G111" s="356">
        <v>1.1590000000000001E-3</v>
      </c>
      <c r="H111" s="356">
        <v>7.8379999999999997E-4</v>
      </c>
      <c r="I111" s="356">
        <v>1.0792E-3</v>
      </c>
      <c r="J111" s="356">
        <v>3.903E-4</v>
      </c>
      <c r="K111" s="356"/>
      <c r="L111" s="356">
        <v>6.3960000000000004E-4</v>
      </c>
      <c r="M111" s="356">
        <v>1.9570000000000001E-4</v>
      </c>
      <c r="N111" s="356">
        <v>5.5360000000000001E-4</v>
      </c>
      <c r="O111" s="356">
        <v>7.4200000000000001E-5</v>
      </c>
    </row>
    <row r="112" spans="1:15" ht="17.399999999999999" x14ac:dyDescent="0.3">
      <c r="A112" s="260" t="s">
        <v>453</v>
      </c>
      <c r="B112" s="356">
        <v>0</v>
      </c>
      <c r="C112" s="356">
        <v>1.8199999999999999E-5</v>
      </c>
      <c r="D112" s="356">
        <v>0</v>
      </c>
      <c r="E112" s="356">
        <v>1.5099999999999999E-5</v>
      </c>
      <c r="F112" s="357"/>
      <c r="G112" s="356">
        <v>0</v>
      </c>
      <c r="H112" s="356">
        <v>1.8700000000000001E-5</v>
      </c>
      <c r="I112" s="356">
        <v>0</v>
      </c>
      <c r="J112" s="356">
        <v>1.26E-5</v>
      </c>
      <c r="K112" s="356"/>
      <c r="L112" s="356">
        <v>0</v>
      </c>
      <c r="M112" s="356">
        <v>4.5399999999999997E-6</v>
      </c>
      <c r="N112" s="356">
        <v>0</v>
      </c>
      <c r="O112" s="356">
        <v>2.5399999999999998E-6</v>
      </c>
    </row>
    <row r="113" spans="1:15" ht="17.399999999999999" x14ac:dyDescent="0.3">
      <c r="A113" s="260" t="s">
        <v>433</v>
      </c>
      <c r="B113" s="356">
        <v>0</v>
      </c>
      <c r="C113" s="356">
        <v>1.8600000000000001E-5</v>
      </c>
      <c r="D113" s="356">
        <v>0</v>
      </c>
      <c r="E113" s="356">
        <v>1.7200000000000001E-5</v>
      </c>
      <c r="F113" s="357"/>
      <c r="G113" s="356">
        <v>0</v>
      </c>
      <c r="H113" s="356">
        <v>2.26E-5</v>
      </c>
      <c r="I113" s="356">
        <v>0</v>
      </c>
      <c r="J113" s="356">
        <v>1.7600000000000001E-5</v>
      </c>
      <c r="K113" s="356"/>
      <c r="L113" s="356">
        <v>0</v>
      </c>
      <c r="M113" s="356">
        <v>4.5800000000000002E-6</v>
      </c>
      <c r="N113" s="356">
        <v>2.6E-7</v>
      </c>
      <c r="O113" s="356">
        <v>2.9699999999999999E-6</v>
      </c>
    </row>
    <row r="114" spans="1:15" ht="17.399999999999999" x14ac:dyDescent="0.3">
      <c r="A114" s="260" t="s">
        <v>422</v>
      </c>
      <c r="B114" s="356">
        <v>1.2070000000000001E-4</v>
      </c>
      <c r="C114" s="356">
        <v>8.1299999999999997E-5</v>
      </c>
      <c r="D114" s="356">
        <v>9.5699999999999995E-5</v>
      </c>
      <c r="E114" s="356">
        <v>4.7800000000000003E-5</v>
      </c>
      <c r="F114" s="357"/>
      <c r="G114" s="356">
        <v>3.41E-6</v>
      </c>
      <c r="H114" s="356">
        <v>4.8000000000000001E-5</v>
      </c>
      <c r="I114" s="356">
        <v>9.1200000000000008E-6</v>
      </c>
      <c r="J114" s="356">
        <v>3.9700000000000003E-5</v>
      </c>
      <c r="K114" s="356"/>
      <c r="L114" s="356">
        <v>7.0199999999999997E-6</v>
      </c>
      <c r="M114" s="356">
        <v>1.5099999999999999E-5</v>
      </c>
      <c r="N114" s="356">
        <v>7.4199999999999995E-7</v>
      </c>
      <c r="O114" s="356">
        <v>1.0699999999999999E-5</v>
      </c>
    </row>
    <row r="115" spans="1:15" ht="17.399999999999999" x14ac:dyDescent="0.3">
      <c r="A115" s="260" t="s">
        <v>421</v>
      </c>
      <c r="B115" s="356">
        <v>0</v>
      </c>
      <c r="C115" s="356">
        <v>5.1999999999999997E-5</v>
      </c>
      <c r="D115" s="356">
        <v>0</v>
      </c>
      <c r="E115" s="356">
        <v>3.5099999999999999E-5</v>
      </c>
      <c r="F115" s="357"/>
      <c r="G115" s="356">
        <v>0</v>
      </c>
      <c r="H115" s="356">
        <v>4.9200000000000003E-5</v>
      </c>
      <c r="I115" s="356">
        <v>0</v>
      </c>
      <c r="J115" s="356">
        <v>5.3100000000000003E-5</v>
      </c>
      <c r="K115" s="356"/>
      <c r="L115" s="356">
        <v>0</v>
      </c>
      <c r="M115" s="356">
        <v>2.3999999999999999E-6</v>
      </c>
      <c r="N115" s="356">
        <v>0</v>
      </c>
      <c r="O115" s="356">
        <v>2.0200000000000001E-6</v>
      </c>
    </row>
    <row r="116" spans="1:15" ht="17.399999999999999" x14ac:dyDescent="0.3">
      <c r="A116" s="260" t="s">
        <v>417</v>
      </c>
      <c r="B116" s="356">
        <v>1.1257999999999999E-3</v>
      </c>
      <c r="C116" s="356">
        <v>5.5179999999999997E-4</v>
      </c>
      <c r="D116" s="356">
        <v>3.0620000000000001E-3</v>
      </c>
      <c r="E116" s="356">
        <v>7.6179999999999998E-4</v>
      </c>
      <c r="F116" s="357"/>
      <c r="G116" s="356">
        <v>5.7700000000000004E-4</v>
      </c>
      <c r="H116" s="356">
        <v>3.7579999999999997E-4</v>
      </c>
      <c r="I116" s="356">
        <v>8.9119999999999998E-4</v>
      </c>
      <c r="J116" s="356">
        <v>6.6699999999999995E-4</v>
      </c>
      <c r="K116" s="356"/>
      <c r="L116" s="356">
        <v>2.7950000000000002E-4</v>
      </c>
      <c r="M116" s="356">
        <v>6.8899999999999994E-5</v>
      </c>
      <c r="N116" s="356">
        <v>4.684E-4</v>
      </c>
      <c r="O116" s="356">
        <v>8.8200000000000003E-5</v>
      </c>
    </row>
    <row r="117" spans="1:15" ht="17.399999999999999" x14ac:dyDescent="0.3">
      <c r="A117" s="260" t="s">
        <v>329</v>
      </c>
      <c r="B117" s="356">
        <v>1.0546700000000001E-2</v>
      </c>
      <c r="C117" s="356">
        <v>1.918E-3</v>
      </c>
      <c r="D117" s="356">
        <v>3.9475999999999999E-3</v>
      </c>
      <c r="E117" s="356">
        <v>7.3530000000000004E-4</v>
      </c>
      <c r="F117" s="357"/>
      <c r="G117" s="356">
        <v>6.0987999999999997E-3</v>
      </c>
      <c r="H117" s="356">
        <v>1.9436E-3</v>
      </c>
      <c r="I117" s="356">
        <v>1.5812000000000001E-3</v>
      </c>
      <c r="J117" s="356">
        <v>9.5660000000000005E-4</v>
      </c>
      <c r="K117" s="356"/>
      <c r="L117" s="356">
        <v>1.5319000000000001E-3</v>
      </c>
      <c r="M117" s="356">
        <v>4.4999999999999999E-4</v>
      </c>
      <c r="N117" s="356">
        <v>3.5159999999999998E-4</v>
      </c>
      <c r="O117" s="356">
        <v>1.728E-4</v>
      </c>
    </row>
    <row r="118" spans="1:15" ht="17.399999999999999" x14ac:dyDescent="0.3">
      <c r="A118" s="260" t="s">
        <v>379</v>
      </c>
      <c r="B118" s="356">
        <v>2.4004E-3</v>
      </c>
      <c r="C118" s="356">
        <v>5.042E-4</v>
      </c>
      <c r="D118" s="356">
        <v>9.0370000000000001E-4</v>
      </c>
      <c r="E118" s="356">
        <v>1.4660000000000001E-4</v>
      </c>
      <c r="F118" s="357"/>
      <c r="G118" s="356">
        <v>1.5238999999999999E-3</v>
      </c>
      <c r="H118" s="356">
        <v>6.4499999999999996E-4</v>
      </c>
      <c r="I118" s="356">
        <v>3.3060000000000001E-4</v>
      </c>
      <c r="J118" s="356">
        <v>1.6880000000000001E-4</v>
      </c>
      <c r="K118" s="356"/>
      <c r="L118" s="356">
        <v>5.4149999999999999E-4</v>
      </c>
      <c r="M118" s="356">
        <v>1.5760000000000001E-4</v>
      </c>
      <c r="N118" s="356">
        <v>9.6299999999999996E-5</v>
      </c>
      <c r="O118" s="356">
        <v>3.04E-5</v>
      </c>
    </row>
    <row r="119" spans="1:15" ht="17.399999999999999" x14ac:dyDescent="0.3">
      <c r="A119" s="260" t="s">
        <v>359</v>
      </c>
      <c r="B119" s="356">
        <v>5.3499999999999996E-7</v>
      </c>
      <c r="C119" s="356">
        <v>4.0800000000000002E-5</v>
      </c>
      <c r="D119" s="356">
        <v>1.1120000000000001E-4</v>
      </c>
      <c r="E119" s="356">
        <v>6.7999999999999999E-5</v>
      </c>
      <c r="F119" s="357"/>
      <c r="G119" s="356">
        <v>2.96E-6</v>
      </c>
      <c r="H119" s="356">
        <v>6.0399999999999998E-5</v>
      </c>
      <c r="I119" s="356">
        <v>2.16E-5</v>
      </c>
      <c r="J119" s="356">
        <v>8.81E-5</v>
      </c>
      <c r="K119" s="356"/>
      <c r="L119" s="356">
        <v>1.4E-5</v>
      </c>
      <c r="M119" s="356">
        <v>1.7499999999999998E-5</v>
      </c>
      <c r="N119" s="356">
        <v>9.1200000000000008E-6</v>
      </c>
      <c r="O119" s="356">
        <v>2.3E-5</v>
      </c>
    </row>
    <row r="120" spans="1:15" ht="17.399999999999999" x14ac:dyDescent="0.3">
      <c r="A120" s="260" t="s">
        <v>511</v>
      </c>
      <c r="B120" s="356">
        <v>0</v>
      </c>
      <c r="C120" s="356">
        <v>1.5099999999999999E-5</v>
      </c>
      <c r="D120" s="356">
        <v>0</v>
      </c>
      <c r="E120" s="356">
        <v>1.6200000000000001E-5</v>
      </c>
      <c r="F120" s="357"/>
      <c r="G120" s="356">
        <v>0</v>
      </c>
      <c r="H120" s="356">
        <v>1.0000000000000001E-5</v>
      </c>
      <c r="I120" s="356">
        <v>0</v>
      </c>
      <c r="J120" s="356">
        <v>8.6100000000000006E-6</v>
      </c>
      <c r="K120" s="356"/>
      <c r="L120" s="356">
        <v>0</v>
      </c>
      <c r="M120" s="356">
        <v>1.6500000000000001E-5</v>
      </c>
      <c r="N120" s="356">
        <v>0</v>
      </c>
      <c r="O120" s="356">
        <v>7.4399999999999999E-6</v>
      </c>
    </row>
    <row r="121" spans="1:15" ht="17.399999999999999" x14ac:dyDescent="0.3">
      <c r="A121" s="260" t="s">
        <v>558</v>
      </c>
      <c r="B121" s="356">
        <v>0</v>
      </c>
      <c r="C121" s="356">
        <v>1.11E-5</v>
      </c>
      <c r="D121" s="356">
        <v>0</v>
      </c>
      <c r="E121" s="356">
        <v>1.91E-5</v>
      </c>
      <c r="F121" s="357"/>
      <c r="G121" s="356">
        <v>0</v>
      </c>
      <c r="H121" s="356">
        <v>1.86E-6</v>
      </c>
      <c r="I121" s="356">
        <v>4.1600000000000002E-7</v>
      </c>
      <c r="J121" s="356">
        <v>4.9799999999999998E-6</v>
      </c>
      <c r="K121" s="356"/>
      <c r="L121" s="356">
        <v>2.05E-5</v>
      </c>
      <c r="M121" s="356">
        <v>2.2799999999999999E-5</v>
      </c>
      <c r="N121" s="356">
        <v>1.5500000000000001E-5</v>
      </c>
      <c r="O121" s="356">
        <v>1.6500000000000001E-5</v>
      </c>
    </row>
    <row r="122" spans="1:15" ht="17.399999999999999" x14ac:dyDescent="0.3">
      <c r="A122" s="260" t="s">
        <v>555</v>
      </c>
      <c r="B122" s="356">
        <v>0</v>
      </c>
      <c r="C122" s="356">
        <v>2.3300000000000001E-5</v>
      </c>
      <c r="D122" s="356">
        <v>0</v>
      </c>
      <c r="E122" s="356">
        <v>2.37E-5</v>
      </c>
      <c r="F122" s="357"/>
      <c r="G122" s="356">
        <v>0</v>
      </c>
      <c r="H122" s="356">
        <v>1.1600000000000001E-5</v>
      </c>
      <c r="I122" s="356">
        <v>0</v>
      </c>
      <c r="J122" s="356">
        <v>8.9099999999999994E-6</v>
      </c>
      <c r="K122" s="356"/>
      <c r="L122" s="356">
        <v>0</v>
      </c>
      <c r="M122" s="356">
        <v>5.93E-6</v>
      </c>
      <c r="N122" s="356">
        <v>0</v>
      </c>
      <c r="O122" s="356">
        <v>4.2899999999999996E-6</v>
      </c>
    </row>
    <row r="123" spans="1:15" ht="17.399999999999999" x14ac:dyDescent="0.3">
      <c r="A123" s="260" t="s">
        <v>537</v>
      </c>
      <c r="B123" s="356">
        <v>3.5700000000000001E-6</v>
      </c>
      <c r="C123" s="356">
        <v>4.2700000000000001E-5</v>
      </c>
      <c r="D123" s="356">
        <v>1.68E-6</v>
      </c>
      <c r="E123" s="356">
        <v>2.0100000000000001E-5</v>
      </c>
      <c r="F123" s="357"/>
      <c r="G123" s="356">
        <v>0</v>
      </c>
      <c r="H123" s="356">
        <v>1.34E-5</v>
      </c>
      <c r="I123" s="356">
        <v>0</v>
      </c>
      <c r="J123" s="356">
        <v>8.6999999999999997E-6</v>
      </c>
      <c r="K123" s="356"/>
      <c r="L123" s="356">
        <v>4.14E-8</v>
      </c>
      <c r="M123" s="356">
        <v>5.2800000000000003E-6</v>
      </c>
      <c r="N123" s="356">
        <v>2.6599999999999999E-6</v>
      </c>
      <c r="O123" s="356">
        <v>3.1300000000000001E-6</v>
      </c>
    </row>
    <row r="124" spans="1:15" ht="17.399999999999999" x14ac:dyDescent="0.3">
      <c r="A124" s="260" t="s">
        <v>531</v>
      </c>
      <c r="B124" s="356">
        <v>0</v>
      </c>
      <c r="C124" s="356">
        <v>1.7200000000000001E-5</v>
      </c>
      <c r="D124" s="356">
        <v>5.8599999999999998E-7</v>
      </c>
      <c r="E124" s="356">
        <v>1.8600000000000001E-5</v>
      </c>
      <c r="F124" s="357"/>
      <c r="G124" s="356">
        <v>0</v>
      </c>
      <c r="H124" s="356">
        <v>9.5300000000000002E-6</v>
      </c>
      <c r="I124" s="356">
        <v>0</v>
      </c>
      <c r="J124" s="356">
        <v>8.2199999999999992E-6</v>
      </c>
      <c r="K124" s="356"/>
      <c r="L124" s="356">
        <v>0</v>
      </c>
      <c r="M124" s="356">
        <v>1.0200000000000001E-5</v>
      </c>
      <c r="N124" s="356">
        <v>0</v>
      </c>
      <c r="O124" s="356">
        <v>3.6200000000000001E-6</v>
      </c>
    </row>
    <row r="125" spans="1:15" ht="17.399999999999999" x14ac:dyDescent="0.3">
      <c r="A125" s="260" t="s">
        <v>529</v>
      </c>
      <c r="B125" s="356">
        <v>0</v>
      </c>
      <c r="C125" s="356">
        <v>3.82E-5</v>
      </c>
      <c r="D125" s="356">
        <v>0</v>
      </c>
      <c r="E125" s="356">
        <v>2.1999999999999999E-5</v>
      </c>
      <c r="F125" s="357"/>
      <c r="G125" s="356">
        <v>0</v>
      </c>
      <c r="H125" s="356">
        <v>8.5299999999999996E-6</v>
      </c>
      <c r="I125" s="356">
        <v>0</v>
      </c>
      <c r="J125" s="356">
        <v>7.3799999999999996E-6</v>
      </c>
      <c r="K125" s="356"/>
      <c r="L125" s="356">
        <v>3.8999999999999999E-5</v>
      </c>
      <c r="M125" s="356">
        <v>1.9000000000000001E-5</v>
      </c>
      <c r="N125" s="356">
        <v>5.4099999999999999E-7</v>
      </c>
      <c r="O125" s="356">
        <v>9.0000000000000002E-6</v>
      </c>
    </row>
    <row r="126" spans="1:15" ht="17.399999999999999" x14ac:dyDescent="0.3">
      <c r="A126" s="260" t="s">
        <v>528</v>
      </c>
      <c r="B126" s="356">
        <v>0</v>
      </c>
      <c r="C126" s="356">
        <v>2.97E-5</v>
      </c>
      <c r="D126" s="356">
        <v>0</v>
      </c>
      <c r="E126" s="356">
        <v>2.73E-5</v>
      </c>
      <c r="F126" s="357"/>
      <c r="G126" s="356">
        <v>0</v>
      </c>
      <c r="H126" s="356">
        <v>8.6999999999999997E-6</v>
      </c>
      <c r="I126" s="356">
        <v>0</v>
      </c>
      <c r="J126" s="356">
        <v>5.2299999999999999E-6</v>
      </c>
      <c r="K126" s="356"/>
      <c r="L126" s="356">
        <v>0</v>
      </c>
      <c r="M126" s="356">
        <v>6.5699999999999998E-6</v>
      </c>
      <c r="N126" s="356">
        <v>0</v>
      </c>
      <c r="O126" s="356">
        <v>4.0799999999999999E-6</v>
      </c>
    </row>
    <row r="127" spans="1:15" ht="17.399999999999999" x14ac:dyDescent="0.3">
      <c r="A127" s="260" t="s">
        <v>527</v>
      </c>
      <c r="B127" s="356">
        <v>0</v>
      </c>
      <c r="C127" s="356">
        <v>1.8199999999999999E-5</v>
      </c>
      <c r="D127" s="356">
        <v>2.6300000000000001E-7</v>
      </c>
      <c r="E127" s="356">
        <v>1.9400000000000001E-5</v>
      </c>
      <c r="F127" s="357"/>
      <c r="G127" s="356">
        <v>0</v>
      </c>
      <c r="H127" s="356">
        <v>8.5900000000000008E-6</v>
      </c>
      <c r="I127" s="356">
        <v>8.0699999999999996E-7</v>
      </c>
      <c r="J127" s="356">
        <v>7.17E-6</v>
      </c>
      <c r="K127" s="356"/>
      <c r="L127" s="356">
        <v>3.6800000000000001E-7</v>
      </c>
      <c r="M127" s="356">
        <v>1.8300000000000001E-5</v>
      </c>
      <c r="N127" s="356">
        <v>0</v>
      </c>
      <c r="O127" s="356">
        <v>8.3499999999999997E-6</v>
      </c>
    </row>
    <row r="128" spans="1:15" ht="17.399999999999999" x14ac:dyDescent="0.3">
      <c r="A128" s="260" t="s">
        <v>526</v>
      </c>
      <c r="B128" s="356">
        <v>0</v>
      </c>
      <c r="C128" s="356">
        <v>1.7399999999999999E-5</v>
      </c>
      <c r="D128" s="356">
        <v>0</v>
      </c>
      <c r="E128" s="356">
        <v>1.7799999999999999E-5</v>
      </c>
      <c r="F128" s="357"/>
      <c r="G128" s="356">
        <v>0</v>
      </c>
      <c r="H128" s="356">
        <v>7.4499999999999998E-6</v>
      </c>
      <c r="I128" s="356">
        <v>0</v>
      </c>
      <c r="J128" s="356">
        <v>5.8699999999999997E-6</v>
      </c>
      <c r="K128" s="356"/>
      <c r="L128" s="356">
        <v>0</v>
      </c>
      <c r="M128" s="356">
        <v>1.8899999999999999E-5</v>
      </c>
      <c r="N128" s="356">
        <v>0</v>
      </c>
      <c r="O128" s="356">
        <v>8.4200000000000007E-6</v>
      </c>
    </row>
    <row r="129" spans="1:15" ht="17.399999999999999" x14ac:dyDescent="0.3">
      <c r="A129" s="260" t="s">
        <v>521</v>
      </c>
      <c r="B129" s="356">
        <v>0</v>
      </c>
      <c r="C129" s="356">
        <v>1.8E-5</v>
      </c>
      <c r="D129" s="356">
        <v>0</v>
      </c>
      <c r="E129" s="356">
        <v>1.8099999999999999E-5</v>
      </c>
      <c r="F129" s="357"/>
      <c r="G129" s="356">
        <v>0</v>
      </c>
      <c r="H129" s="356">
        <v>1.24E-5</v>
      </c>
      <c r="I129" s="356">
        <v>0</v>
      </c>
      <c r="J129" s="356">
        <v>9.8200000000000008E-6</v>
      </c>
      <c r="K129" s="356"/>
      <c r="L129" s="356">
        <v>0</v>
      </c>
      <c r="M129" s="356">
        <v>1.6699999999999999E-5</v>
      </c>
      <c r="N129" s="356">
        <v>0</v>
      </c>
      <c r="O129" s="356">
        <v>7.0400000000000004E-6</v>
      </c>
    </row>
    <row r="130" spans="1:15" ht="17.399999999999999" x14ac:dyDescent="0.3">
      <c r="A130" s="260" t="s">
        <v>519</v>
      </c>
      <c r="B130" s="356">
        <v>0</v>
      </c>
      <c r="C130" s="356">
        <v>1.7499999999999998E-5</v>
      </c>
      <c r="D130" s="356">
        <v>3.6200000000000001E-6</v>
      </c>
      <c r="E130" s="356">
        <v>2.0100000000000001E-5</v>
      </c>
      <c r="F130" s="357"/>
      <c r="G130" s="356">
        <v>0</v>
      </c>
      <c r="H130" s="356">
        <v>7.7999999999999999E-6</v>
      </c>
      <c r="I130" s="356">
        <v>0</v>
      </c>
      <c r="J130" s="356">
        <v>7.2400000000000001E-6</v>
      </c>
      <c r="K130" s="356"/>
      <c r="L130" s="356">
        <v>2.3300000000000001E-6</v>
      </c>
      <c r="M130" s="356">
        <v>1.6500000000000001E-5</v>
      </c>
      <c r="N130" s="356">
        <v>0</v>
      </c>
      <c r="O130" s="356">
        <v>7.8800000000000008E-6</v>
      </c>
    </row>
    <row r="131" spans="1:15" ht="17.399999999999999" x14ac:dyDescent="0.3">
      <c r="A131" s="260" t="s">
        <v>520</v>
      </c>
      <c r="B131" s="356">
        <v>0</v>
      </c>
      <c r="C131" s="356">
        <v>2.1100000000000001E-5</v>
      </c>
      <c r="D131" s="356">
        <v>0</v>
      </c>
      <c r="E131" s="356">
        <v>2.1500000000000001E-5</v>
      </c>
      <c r="F131" s="357"/>
      <c r="G131" s="356">
        <v>1.72E-7</v>
      </c>
      <c r="H131" s="356">
        <v>1.0200000000000001E-5</v>
      </c>
      <c r="I131" s="356">
        <v>0</v>
      </c>
      <c r="J131" s="356">
        <v>7.9300000000000003E-6</v>
      </c>
      <c r="K131" s="356"/>
      <c r="L131" s="356">
        <v>4.4499999999999997E-6</v>
      </c>
      <c r="M131" s="356">
        <v>1.19E-5</v>
      </c>
      <c r="N131" s="356">
        <v>8.0600000000000008E-6</v>
      </c>
      <c r="O131" s="356">
        <v>4.0899999999999998E-6</v>
      </c>
    </row>
    <row r="132" spans="1:15" ht="17.399999999999999" x14ac:dyDescent="0.3">
      <c r="A132" s="260" t="s">
        <v>541</v>
      </c>
      <c r="B132" s="356">
        <v>0</v>
      </c>
      <c r="C132" s="356">
        <v>1.9000000000000001E-5</v>
      </c>
      <c r="D132" s="356">
        <v>0</v>
      </c>
      <c r="E132" s="356">
        <v>2.0699999999999998E-5</v>
      </c>
      <c r="F132" s="357"/>
      <c r="G132" s="356">
        <v>0</v>
      </c>
      <c r="H132" s="356">
        <v>6.8000000000000001E-6</v>
      </c>
      <c r="I132" s="356">
        <v>0</v>
      </c>
      <c r="J132" s="356">
        <v>5.8499999999999999E-6</v>
      </c>
      <c r="K132" s="356"/>
      <c r="L132" s="356">
        <v>0</v>
      </c>
      <c r="M132" s="356">
        <v>1.8099999999999999E-5</v>
      </c>
      <c r="N132" s="356">
        <v>0</v>
      </c>
      <c r="O132" s="356">
        <v>8.4100000000000008E-6</v>
      </c>
    </row>
    <row r="133" spans="1:15" ht="17.399999999999999" x14ac:dyDescent="0.3">
      <c r="A133" s="260" t="s">
        <v>506</v>
      </c>
      <c r="B133" s="356">
        <v>0</v>
      </c>
      <c r="C133" s="356">
        <v>1.7099999999999999E-5</v>
      </c>
      <c r="D133" s="356">
        <v>0</v>
      </c>
      <c r="E133" s="356">
        <v>2.0000000000000002E-5</v>
      </c>
      <c r="F133" s="357"/>
      <c r="G133" s="356">
        <v>0</v>
      </c>
      <c r="H133" s="356">
        <v>7.4200000000000001E-6</v>
      </c>
      <c r="I133" s="356">
        <v>0</v>
      </c>
      <c r="J133" s="356">
        <v>6.7599999999999997E-6</v>
      </c>
      <c r="K133" s="356"/>
      <c r="L133" s="356">
        <v>0</v>
      </c>
      <c r="M133" s="356">
        <v>1.06E-5</v>
      </c>
      <c r="N133" s="356">
        <v>0</v>
      </c>
      <c r="O133" s="356">
        <v>4.1200000000000004E-6</v>
      </c>
    </row>
    <row r="134" spans="1:15" ht="17.399999999999999" x14ac:dyDescent="0.3">
      <c r="A134" s="260" t="s">
        <v>505</v>
      </c>
      <c r="B134" s="356">
        <v>0</v>
      </c>
      <c r="C134" s="356">
        <v>3.2400000000000001E-5</v>
      </c>
      <c r="D134" s="356">
        <v>0</v>
      </c>
      <c r="E134" s="356">
        <v>1.6699999999999999E-5</v>
      </c>
      <c r="F134" s="357"/>
      <c r="G134" s="356">
        <v>0</v>
      </c>
      <c r="H134" s="356">
        <v>9.8800000000000003E-6</v>
      </c>
      <c r="I134" s="356">
        <v>0</v>
      </c>
      <c r="J134" s="356">
        <v>8.0399999999999993E-6</v>
      </c>
      <c r="K134" s="356"/>
      <c r="L134" s="356">
        <v>0</v>
      </c>
      <c r="M134" s="356">
        <v>4.7899999999999999E-6</v>
      </c>
      <c r="N134" s="356">
        <v>0</v>
      </c>
      <c r="O134" s="356">
        <v>3.6600000000000001E-6</v>
      </c>
    </row>
    <row r="135" spans="1:15" ht="17.399999999999999" x14ac:dyDescent="0.3">
      <c r="A135" s="260" t="s">
        <v>503</v>
      </c>
      <c r="B135" s="356">
        <v>0</v>
      </c>
      <c r="C135" s="356">
        <v>3.1699999999999998E-5</v>
      </c>
      <c r="D135" s="356">
        <v>0</v>
      </c>
      <c r="E135" s="356">
        <v>1.7099999999999999E-5</v>
      </c>
      <c r="F135" s="357"/>
      <c r="G135" s="356">
        <v>0</v>
      </c>
      <c r="H135" s="356">
        <v>9.5999999999999996E-6</v>
      </c>
      <c r="I135" s="356">
        <v>0</v>
      </c>
      <c r="J135" s="356">
        <v>8.3599999999999996E-6</v>
      </c>
      <c r="K135" s="356"/>
      <c r="L135" s="356">
        <v>0</v>
      </c>
      <c r="M135" s="356">
        <v>4.3499999999999999E-6</v>
      </c>
      <c r="N135" s="356">
        <v>0</v>
      </c>
      <c r="O135" s="356">
        <v>3.5300000000000001E-6</v>
      </c>
    </row>
    <row r="136" spans="1:15" ht="17.399999999999999" x14ac:dyDescent="0.3">
      <c r="A136" s="260" t="s">
        <v>495</v>
      </c>
      <c r="B136" s="356">
        <v>0</v>
      </c>
      <c r="C136" s="356">
        <v>3.0199999999999999E-5</v>
      </c>
      <c r="D136" s="356">
        <v>0</v>
      </c>
      <c r="E136" s="356">
        <v>2.9499999999999999E-5</v>
      </c>
      <c r="F136" s="357"/>
      <c r="G136" s="356">
        <v>0</v>
      </c>
      <c r="H136" s="356">
        <v>1.5500000000000001E-5</v>
      </c>
      <c r="I136" s="356">
        <v>1.9700000000000002E-6</v>
      </c>
      <c r="J136" s="356">
        <v>1.11E-5</v>
      </c>
      <c r="K136" s="356"/>
      <c r="L136" s="356">
        <v>3.9320000000000002E-4</v>
      </c>
      <c r="M136" s="356">
        <v>2.6400000000000001E-5</v>
      </c>
      <c r="N136" s="356">
        <v>3.2000000000000001E-7</v>
      </c>
      <c r="O136" s="356">
        <v>1.17E-5</v>
      </c>
    </row>
    <row r="137" spans="1:15" ht="17.399999999999999" x14ac:dyDescent="0.3">
      <c r="A137" s="260" t="s">
        <v>494</v>
      </c>
      <c r="B137" s="356">
        <v>1.1300000000000001E-7</v>
      </c>
      <c r="C137" s="356">
        <v>4.2700000000000001E-5</v>
      </c>
      <c r="D137" s="356">
        <v>1.08E-5</v>
      </c>
      <c r="E137" s="356">
        <v>2.76E-5</v>
      </c>
      <c r="F137" s="357"/>
      <c r="G137" s="356">
        <v>0</v>
      </c>
      <c r="H137" s="356">
        <v>5.9599999999999997E-6</v>
      </c>
      <c r="I137" s="356">
        <v>6.3600000000000003E-7</v>
      </c>
      <c r="J137" s="356">
        <v>6.0100000000000001E-6</v>
      </c>
      <c r="K137" s="356"/>
      <c r="L137" s="356">
        <v>0</v>
      </c>
      <c r="M137" s="356">
        <v>5.1399999999999999E-6</v>
      </c>
      <c r="N137" s="356">
        <v>0</v>
      </c>
      <c r="O137" s="356">
        <v>4.6299999999999997E-6</v>
      </c>
    </row>
    <row r="138" spans="1:15" ht="17.399999999999999" x14ac:dyDescent="0.3">
      <c r="A138" s="260" t="s">
        <v>492</v>
      </c>
      <c r="B138" s="356">
        <v>1.4129999999999999E-4</v>
      </c>
      <c r="C138" s="356">
        <v>6.3999999999999997E-5</v>
      </c>
      <c r="D138" s="356">
        <v>2.0000000000000002E-5</v>
      </c>
      <c r="E138" s="356">
        <v>3.7100000000000001E-5</v>
      </c>
      <c r="F138" s="357"/>
      <c r="G138" s="356">
        <v>3.5899999999999999E-6</v>
      </c>
      <c r="H138" s="356">
        <v>1.6799999999999998E-5</v>
      </c>
      <c r="I138" s="356">
        <v>3.5499999999999999E-6</v>
      </c>
      <c r="J138" s="356">
        <v>1.2300000000000001E-5</v>
      </c>
      <c r="K138" s="356"/>
      <c r="L138" s="356">
        <v>1.49E-5</v>
      </c>
      <c r="M138" s="356">
        <v>1.04E-5</v>
      </c>
      <c r="N138" s="356">
        <v>1.59E-6</v>
      </c>
      <c r="O138" s="356">
        <v>7.5000000000000002E-6</v>
      </c>
    </row>
    <row r="139" spans="1:15" ht="17.399999999999999" x14ac:dyDescent="0.3">
      <c r="A139" s="260" t="s">
        <v>484</v>
      </c>
      <c r="B139" s="356">
        <v>0</v>
      </c>
      <c r="C139" s="356">
        <v>2.7100000000000001E-5</v>
      </c>
      <c r="D139" s="356">
        <v>0</v>
      </c>
      <c r="E139" s="356">
        <v>2.48E-5</v>
      </c>
      <c r="F139" s="357"/>
      <c r="G139" s="356">
        <v>0</v>
      </c>
      <c r="H139" s="356">
        <v>8.6600000000000001E-6</v>
      </c>
      <c r="I139" s="356">
        <v>0</v>
      </c>
      <c r="J139" s="356">
        <v>5.3000000000000001E-6</v>
      </c>
      <c r="K139" s="356"/>
      <c r="L139" s="356">
        <v>0</v>
      </c>
      <c r="M139" s="356">
        <v>6.5699999999999998E-6</v>
      </c>
      <c r="N139" s="356">
        <v>0</v>
      </c>
      <c r="O139" s="356">
        <v>4.1300000000000003E-6</v>
      </c>
    </row>
    <row r="140" spans="1:15" ht="17.399999999999999" x14ac:dyDescent="0.3">
      <c r="A140" s="260" t="s">
        <v>485</v>
      </c>
      <c r="B140" s="356">
        <v>1.6199999999999999E-7</v>
      </c>
      <c r="C140" s="356">
        <v>2.3300000000000001E-5</v>
      </c>
      <c r="D140" s="356">
        <v>0</v>
      </c>
      <c r="E140" s="356">
        <v>2.6599999999999999E-5</v>
      </c>
      <c r="F140" s="357"/>
      <c r="G140" s="356">
        <v>0</v>
      </c>
      <c r="H140" s="356">
        <v>6.6900000000000003E-6</v>
      </c>
      <c r="I140" s="356">
        <v>0</v>
      </c>
      <c r="J140" s="356">
        <v>6.0499999999999997E-6</v>
      </c>
      <c r="K140" s="356"/>
      <c r="L140" s="356">
        <v>0</v>
      </c>
      <c r="M140" s="356">
        <v>1.8700000000000001E-5</v>
      </c>
      <c r="N140" s="356">
        <v>0</v>
      </c>
      <c r="O140" s="356">
        <v>9.0499999999999997E-6</v>
      </c>
    </row>
    <row r="141" spans="1:15" ht="17.399999999999999" x14ac:dyDescent="0.3">
      <c r="A141" s="260" t="s">
        <v>649</v>
      </c>
      <c r="B141" s="356">
        <v>8.1100000000000005E-7</v>
      </c>
      <c r="C141" s="356">
        <v>3.0899999999999999E-5</v>
      </c>
      <c r="D141" s="356">
        <v>9.7800000000000006E-5</v>
      </c>
      <c r="E141" s="356">
        <v>8.0900000000000001E-5</v>
      </c>
      <c r="F141" s="357"/>
      <c r="G141" s="356">
        <v>0</v>
      </c>
      <c r="H141" s="356">
        <v>1.2999999999999999E-5</v>
      </c>
      <c r="I141" s="356">
        <v>2.2699999999999999E-6</v>
      </c>
      <c r="J141" s="356">
        <v>3.0199999999999999E-5</v>
      </c>
      <c r="K141" s="356"/>
      <c r="L141" s="356">
        <v>1.1230000000000001E-4</v>
      </c>
      <c r="M141" s="356">
        <v>2.5700000000000001E-5</v>
      </c>
      <c r="N141" s="356">
        <v>1.339E-4</v>
      </c>
      <c r="O141" s="356">
        <v>3.0199999999999999E-5</v>
      </c>
    </row>
    <row r="142" spans="1:15" ht="17.399999999999999" x14ac:dyDescent="0.3">
      <c r="A142" s="260" t="s">
        <v>469</v>
      </c>
      <c r="B142" s="356">
        <v>3.58E-6</v>
      </c>
      <c r="C142" s="356">
        <v>4.6900000000000002E-5</v>
      </c>
      <c r="D142" s="356">
        <v>1.03E-5</v>
      </c>
      <c r="E142" s="356">
        <v>2.27E-5</v>
      </c>
      <c r="F142" s="357"/>
      <c r="G142" s="356">
        <v>0</v>
      </c>
      <c r="H142" s="356">
        <v>1.7E-5</v>
      </c>
      <c r="I142" s="356">
        <v>0</v>
      </c>
      <c r="J142" s="356">
        <v>1.15E-5</v>
      </c>
      <c r="K142" s="356"/>
      <c r="L142" s="356">
        <v>0</v>
      </c>
      <c r="M142" s="356">
        <v>7.2300000000000002E-6</v>
      </c>
      <c r="N142" s="356">
        <v>6.6699999999999995E-8</v>
      </c>
      <c r="O142" s="356">
        <v>4.51E-6</v>
      </c>
    </row>
    <row r="143" spans="1:15" ht="17.399999999999999" x14ac:dyDescent="0.3">
      <c r="A143" s="260" t="s">
        <v>461</v>
      </c>
      <c r="B143" s="356">
        <v>1.6199999999999999E-6</v>
      </c>
      <c r="C143" s="356">
        <v>3.7499999999999997E-5</v>
      </c>
      <c r="D143" s="356">
        <v>1.06E-7</v>
      </c>
      <c r="E143" s="356">
        <v>1.98E-5</v>
      </c>
      <c r="F143" s="357"/>
      <c r="G143" s="356">
        <v>0</v>
      </c>
      <c r="H143" s="356">
        <v>1.11E-5</v>
      </c>
      <c r="I143" s="356">
        <v>0</v>
      </c>
      <c r="J143" s="356">
        <v>8.6799999999999999E-6</v>
      </c>
      <c r="K143" s="356"/>
      <c r="L143" s="356">
        <v>0</v>
      </c>
      <c r="M143" s="356">
        <v>4.0500000000000002E-6</v>
      </c>
      <c r="N143" s="356">
        <v>0</v>
      </c>
      <c r="O143" s="356">
        <v>2.9299999999999999E-6</v>
      </c>
    </row>
    <row r="144" spans="1:15" ht="17.399999999999999" x14ac:dyDescent="0.3">
      <c r="A144" s="260" t="s">
        <v>460</v>
      </c>
      <c r="B144" s="356">
        <v>1.1354E-3</v>
      </c>
      <c r="C144" s="356">
        <v>2.2719999999999999E-4</v>
      </c>
      <c r="D144" s="356">
        <v>1.1563000000000001E-3</v>
      </c>
      <c r="E144" s="356">
        <v>1.038E-4</v>
      </c>
      <c r="F144" s="357"/>
      <c r="G144" s="356">
        <v>3.9499999999999998E-5</v>
      </c>
      <c r="H144" s="356">
        <v>7.3300000000000006E-5</v>
      </c>
      <c r="I144" s="356">
        <v>1.29E-5</v>
      </c>
      <c r="J144" s="356">
        <v>3.6300000000000001E-5</v>
      </c>
      <c r="K144" s="356"/>
      <c r="L144" s="356">
        <v>3.93E-5</v>
      </c>
      <c r="M144" s="356">
        <v>4.18E-5</v>
      </c>
      <c r="N144" s="356">
        <v>2.94E-5</v>
      </c>
      <c r="O144" s="356">
        <v>2.0699999999999998E-5</v>
      </c>
    </row>
    <row r="145" spans="1:15" ht="17.399999999999999" x14ac:dyDescent="0.3">
      <c r="A145" s="260" t="s">
        <v>459</v>
      </c>
      <c r="B145" s="356">
        <v>0</v>
      </c>
      <c r="C145" s="356">
        <v>1.33E-5</v>
      </c>
      <c r="D145" s="356">
        <v>0</v>
      </c>
      <c r="E145" s="356">
        <v>1.3499999999999999E-5</v>
      </c>
      <c r="F145" s="357"/>
      <c r="G145" s="356">
        <v>0</v>
      </c>
      <c r="H145" s="356">
        <v>4.5399999999999997E-6</v>
      </c>
      <c r="I145" s="356">
        <v>0</v>
      </c>
      <c r="J145" s="356">
        <v>3.5700000000000001E-6</v>
      </c>
      <c r="K145" s="356"/>
      <c r="L145" s="356">
        <v>0</v>
      </c>
      <c r="M145" s="356">
        <v>6.7700000000000004E-6</v>
      </c>
      <c r="N145" s="356">
        <v>0</v>
      </c>
      <c r="O145" s="356">
        <v>5.2000000000000002E-6</v>
      </c>
    </row>
    <row r="146" spans="1:15" ht="17.399999999999999" x14ac:dyDescent="0.3">
      <c r="A146" s="260" t="s">
        <v>455</v>
      </c>
      <c r="B146" s="356">
        <v>3.3999999999999997E-7</v>
      </c>
      <c r="C146" s="356">
        <v>1.84E-5</v>
      </c>
      <c r="D146" s="356">
        <v>0</v>
      </c>
      <c r="E146" s="356">
        <v>1.8700000000000001E-5</v>
      </c>
      <c r="F146" s="357"/>
      <c r="G146" s="356">
        <v>0</v>
      </c>
      <c r="H146" s="356">
        <v>1.34E-5</v>
      </c>
      <c r="I146" s="356">
        <v>0</v>
      </c>
      <c r="J146" s="356">
        <v>1.08E-5</v>
      </c>
      <c r="K146" s="356"/>
      <c r="L146" s="356">
        <v>8.0499999999999992E-6</v>
      </c>
      <c r="M146" s="356">
        <v>1.6500000000000001E-5</v>
      </c>
      <c r="N146" s="356">
        <v>0</v>
      </c>
      <c r="O146" s="356">
        <v>6.9999999999999999E-6</v>
      </c>
    </row>
    <row r="147" spans="1:15" ht="17.399999999999999" x14ac:dyDescent="0.3">
      <c r="A147" s="260" t="s">
        <v>454</v>
      </c>
      <c r="B147" s="356">
        <v>2.1500000000000002E-6</v>
      </c>
      <c r="C147" s="356">
        <v>3.6999999999999998E-5</v>
      </c>
      <c r="D147" s="356">
        <v>0</v>
      </c>
      <c r="E147" s="356">
        <v>1.9400000000000001E-5</v>
      </c>
      <c r="F147" s="357"/>
      <c r="G147" s="356">
        <v>0</v>
      </c>
      <c r="H147" s="356">
        <v>1.15E-5</v>
      </c>
      <c r="I147" s="356">
        <v>0</v>
      </c>
      <c r="J147" s="356">
        <v>9.1400000000000006E-6</v>
      </c>
      <c r="K147" s="356"/>
      <c r="L147" s="356">
        <v>0</v>
      </c>
      <c r="M147" s="356">
        <v>4.5199999999999999E-6</v>
      </c>
      <c r="N147" s="356">
        <v>0</v>
      </c>
      <c r="O147" s="356">
        <v>3.3100000000000001E-6</v>
      </c>
    </row>
    <row r="148" spans="1:15" ht="17.399999999999999" x14ac:dyDescent="0.3">
      <c r="A148" s="260" t="s">
        <v>452</v>
      </c>
      <c r="B148" s="356">
        <v>4.5299999999999999E-7</v>
      </c>
      <c r="C148" s="356">
        <v>2.0999999999999999E-5</v>
      </c>
      <c r="D148" s="356">
        <v>0</v>
      </c>
      <c r="E148" s="356">
        <v>2.2799999999999999E-5</v>
      </c>
      <c r="F148" s="357"/>
      <c r="G148" s="356">
        <v>0</v>
      </c>
      <c r="H148" s="356">
        <v>6.4099999999999996E-6</v>
      </c>
      <c r="I148" s="356">
        <v>0</v>
      </c>
      <c r="J148" s="356">
        <v>5.4E-6</v>
      </c>
      <c r="K148" s="356"/>
      <c r="L148" s="356">
        <v>0</v>
      </c>
      <c r="M148" s="356">
        <v>1.9199999999999999E-5</v>
      </c>
      <c r="N148" s="356">
        <v>0</v>
      </c>
      <c r="O148" s="356">
        <v>8.9500000000000007E-6</v>
      </c>
    </row>
    <row r="149" spans="1:15" ht="17.399999999999999" x14ac:dyDescent="0.3">
      <c r="A149" s="260" t="s">
        <v>448</v>
      </c>
      <c r="B149" s="356">
        <v>0</v>
      </c>
      <c r="C149" s="356">
        <v>2.65E-5</v>
      </c>
      <c r="D149" s="356">
        <v>0</v>
      </c>
      <c r="E149" s="356">
        <v>2.5000000000000001E-5</v>
      </c>
      <c r="F149" s="357"/>
      <c r="G149" s="356">
        <v>0</v>
      </c>
      <c r="H149" s="356">
        <v>8.0800000000000006E-6</v>
      </c>
      <c r="I149" s="356">
        <v>0</v>
      </c>
      <c r="J149" s="356">
        <v>5.1699999999999996E-6</v>
      </c>
      <c r="K149" s="356"/>
      <c r="L149" s="356">
        <v>0</v>
      </c>
      <c r="M149" s="356">
        <v>1.2099999999999999E-5</v>
      </c>
      <c r="N149" s="356">
        <v>0</v>
      </c>
      <c r="O149" s="356">
        <v>9.0999999999999993E-6</v>
      </c>
    </row>
    <row r="150" spans="1:15" ht="17.399999999999999" x14ac:dyDescent="0.3">
      <c r="A150" s="260" t="s">
        <v>447</v>
      </c>
      <c r="B150" s="356">
        <v>1.2579999999999999E-4</v>
      </c>
      <c r="C150" s="356">
        <v>1.617E-4</v>
      </c>
      <c r="D150" s="356">
        <v>7.2899999999999997E-5</v>
      </c>
      <c r="E150" s="356">
        <v>4.8600000000000002E-5</v>
      </c>
      <c r="F150" s="357"/>
      <c r="G150" s="356">
        <v>1.8870000000000001E-4</v>
      </c>
      <c r="H150" s="356">
        <v>8.6899999999999998E-5</v>
      </c>
      <c r="I150" s="356">
        <v>3.1499999999999999E-6</v>
      </c>
      <c r="J150" s="356">
        <v>3.3300000000000003E-5</v>
      </c>
      <c r="K150" s="356"/>
      <c r="L150" s="356">
        <v>1.596E-4</v>
      </c>
      <c r="M150" s="356">
        <v>5.0500000000000001E-5</v>
      </c>
      <c r="N150" s="356">
        <v>6.5300000000000004E-9</v>
      </c>
      <c r="O150" s="356">
        <v>9.7999999999999993E-6</v>
      </c>
    </row>
    <row r="151" spans="1:15" ht="17.399999999999999" x14ac:dyDescent="0.3">
      <c r="A151" s="260" t="s">
        <v>438</v>
      </c>
      <c r="B151" s="356">
        <v>5.63E-5</v>
      </c>
      <c r="C151" s="356">
        <v>1.0959999999999999E-4</v>
      </c>
      <c r="D151" s="356">
        <v>1.5029999999999999E-4</v>
      </c>
      <c r="E151" s="356">
        <v>8.2200000000000006E-5</v>
      </c>
      <c r="F151" s="357"/>
      <c r="G151" s="356">
        <v>1.9199999999999999E-5</v>
      </c>
      <c r="H151" s="356">
        <v>5.6499999999999998E-5</v>
      </c>
      <c r="I151" s="356">
        <v>2.1399999999999998E-6</v>
      </c>
      <c r="J151" s="356">
        <v>2.8500000000000002E-5</v>
      </c>
      <c r="K151" s="356"/>
      <c r="L151" s="356">
        <v>1.6604E-3</v>
      </c>
      <c r="M151" s="356">
        <v>1.144E-4</v>
      </c>
      <c r="N151" s="356">
        <v>1.3090000000000001E-4</v>
      </c>
      <c r="O151" s="356">
        <v>4.7500000000000003E-5</v>
      </c>
    </row>
    <row r="152" spans="1:15" ht="17.399999999999999" x14ac:dyDescent="0.3">
      <c r="A152" s="260" t="s">
        <v>354</v>
      </c>
      <c r="B152" s="356">
        <v>0</v>
      </c>
      <c r="C152" s="356">
        <v>0</v>
      </c>
      <c r="D152" s="356">
        <v>0</v>
      </c>
      <c r="E152" s="356">
        <v>0</v>
      </c>
      <c r="F152" s="357"/>
      <c r="G152" s="356">
        <v>0</v>
      </c>
      <c r="H152" s="356">
        <v>0</v>
      </c>
      <c r="I152" s="356">
        <v>0</v>
      </c>
      <c r="J152" s="356">
        <v>0</v>
      </c>
      <c r="K152" s="356"/>
      <c r="L152" s="356">
        <v>0</v>
      </c>
      <c r="M152" s="356">
        <v>0</v>
      </c>
      <c r="N152" s="356">
        <v>0</v>
      </c>
      <c r="O152" s="356">
        <v>0</v>
      </c>
    </row>
    <row r="153" spans="1:15" ht="17.399999999999999" x14ac:dyDescent="0.3">
      <c r="A153" s="260" t="s">
        <v>437</v>
      </c>
      <c r="B153" s="356">
        <v>3.3999999999999997E-7</v>
      </c>
      <c r="C153" s="356">
        <v>2.2799999999999999E-5</v>
      </c>
      <c r="D153" s="356">
        <v>0</v>
      </c>
      <c r="E153" s="356">
        <v>1.91E-5</v>
      </c>
      <c r="F153" s="357"/>
      <c r="G153" s="356">
        <v>0</v>
      </c>
      <c r="H153" s="356">
        <v>1.45E-5</v>
      </c>
      <c r="I153" s="356">
        <v>0</v>
      </c>
      <c r="J153" s="356">
        <v>9.0899999999999994E-6</v>
      </c>
      <c r="K153" s="356"/>
      <c r="L153" s="356">
        <v>0</v>
      </c>
      <c r="M153" s="356">
        <v>5.3399999999999997E-6</v>
      </c>
      <c r="N153" s="356">
        <v>0</v>
      </c>
      <c r="O153" s="356">
        <v>3.0000000000000001E-6</v>
      </c>
    </row>
    <row r="154" spans="1:15" ht="17.399999999999999" x14ac:dyDescent="0.3">
      <c r="A154" s="260" t="s">
        <v>428</v>
      </c>
      <c r="B154" s="356">
        <v>9.0999999999999994E-8</v>
      </c>
      <c r="C154" s="356">
        <v>1.9000000000000001E-5</v>
      </c>
      <c r="D154" s="356">
        <v>0</v>
      </c>
      <c r="E154" s="356">
        <v>2.1699999999999999E-5</v>
      </c>
      <c r="F154" s="357"/>
      <c r="G154" s="356">
        <v>0</v>
      </c>
      <c r="H154" s="356">
        <v>6.63E-6</v>
      </c>
      <c r="I154" s="356">
        <v>0</v>
      </c>
      <c r="J154" s="356">
        <v>6.1199999999999999E-6</v>
      </c>
      <c r="K154" s="356"/>
      <c r="L154" s="356">
        <v>0</v>
      </c>
      <c r="M154" s="356">
        <v>1.9400000000000001E-5</v>
      </c>
      <c r="N154" s="356">
        <v>0</v>
      </c>
      <c r="O154" s="356">
        <v>9.6399999999999992E-6</v>
      </c>
    </row>
    <row r="155" spans="1:15" ht="17.399999999999999" x14ac:dyDescent="0.3">
      <c r="A155" s="260" t="s">
        <v>427</v>
      </c>
      <c r="B155" s="356">
        <v>0</v>
      </c>
      <c r="C155" s="356">
        <v>6.1299999999999999E-5</v>
      </c>
      <c r="D155" s="356">
        <v>0</v>
      </c>
      <c r="E155" s="356">
        <v>6.02E-5</v>
      </c>
      <c r="F155" s="357"/>
      <c r="G155" s="356">
        <v>0</v>
      </c>
      <c r="H155" s="356">
        <v>1.66E-5</v>
      </c>
      <c r="I155" s="356">
        <v>2.6699999999999998E-6</v>
      </c>
      <c r="J155" s="356">
        <v>2.3200000000000001E-5</v>
      </c>
      <c r="K155" s="356"/>
      <c r="L155" s="356">
        <v>1.13E-6</v>
      </c>
      <c r="M155" s="356">
        <v>1.04E-5</v>
      </c>
      <c r="N155" s="356">
        <v>5.3600000000000002E-5</v>
      </c>
      <c r="O155" s="356">
        <v>1.33E-5</v>
      </c>
    </row>
    <row r="156" spans="1:15" ht="17.399999999999999" x14ac:dyDescent="0.3">
      <c r="A156" s="260" t="s">
        <v>650</v>
      </c>
      <c r="B156" s="356">
        <v>0</v>
      </c>
      <c r="C156" s="356">
        <v>0</v>
      </c>
      <c r="D156" s="356">
        <v>1.6500000000000001E-7</v>
      </c>
      <c r="E156" s="356">
        <v>0</v>
      </c>
      <c r="F156" s="357"/>
      <c r="G156" s="356">
        <v>0</v>
      </c>
      <c r="H156" s="356">
        <v>0</v>
      </c>
      <c r="I156" s="356">
        <v>0</v>
      </c>
      <c r="J156" s="356">
        <v>0</v>
      </c>
      <c r="K156" s="356"/>
      <c r="L156" s="356">
        <v>0</v>
      </c>
      <c r="M156" s="356">
        <v>0</v>
      </c>
      <c r="N156" s="356">
        <v>0</v>
      </c>
      <c r="O156" s="356">
        <v>0</v>
      </c>
    </row>
    <row r="157" spans="1:15" ht="17.399999999999999" x14ac:dyDescent="0.3">
      <c r="A157" s="260" t="s">
        <v>351</v>
      </c>
      <c r="B157" s="356">
        <v>1.7900000000000001E-5</v>
      </c>
      <c r="C157" s="356">
        <v>5.6700000000000003E-5</v>
      </c>
      <c r="D157" s="356">
        <v>4.0299999999999997E-5</v>
      </c>
      <c r="E157" s="356">
        <v>2.5599999999999999E-5</v>
      </c>
      <c r="F157" s="357"/>
      <c r="G157" s="356">
        <v>0</v>
      </c>
      <c r="H157" s="356">
        <v>2.0699999999999998E-5</v>
      </c>
      <c r="I157" s="356">
        <v>0</v>
      </c>
      <c r="J157" s="356">
        <v>1.2300000000000001E-5</v>
      </c>
      <c r="K157" s="356"/>
      <c r="L157" s="356">
        <v>4.1500000000000001E-6</v>
      </c>
      <c r="M157" s="356">
        <v>8.3899999999999993E-6</v>
      </c>
      <c r="N157" s="356">
        <v>0</v>
      </c>
      <c r="O157" s="356">
        <v>4.5299999999999998E-6</v>
      </c>
    </row>
    <row r="158" spans="1:15" ht="17.399999999999999" x14ac:dyDescent="0.3">
      <c r="A158" s="260" t="s">
        <v>409</v>
      </c>
      <c r="B158" s="356">
        <v>0</v>
      </c>
      <c r="C158" s="356">
        <v>3.1999999999999999E-5</v>
      </c>
      <c r="D158" s="356">
        <v>0</v>
      </c>
      <c r="E158" s="356">
        <v>1.84E-5</v>
      </c>
      <c r="F158" s="357"/>
      <c r="G158" s="356">
        <v>1.2499999999999999E-8</v>
      </c>
      <c r="H158" s="356">
        <v>8.4800000000000001E-6</v>
      </c>
      <c r="I158" s="356">
        <v>0</v>
      </c>
      <c r="J158" s="356">
        <v>7.9799999999999998E-6</v>
      </c>
      <c r="K158" s="356"/>
      <c r="L158" s="356">
        <v>0</v>
      </c>
      <c r="M158" s="356">
        <v>9.4900000000000006E-6</v>
      </c>
      <c r="N158" s="356">
        <v>0</v>
      </c>
      <c r="O158" s="356">
        <v>3.54E-6</v>
      </c>
    </row>
    <row r="159" spans="1:15" ht="17.399999999999999" x14ac:dyDescent="0.3">
      <c r="A159" s="260" t="s">
        <v>651</v>
      </c>
      <c r="B159" s="356">
        <v>0</v>
      </c>
      <c r="C159" s="356">
        <v>2.0599999999999999E-5</v>
      </c>
      <c r="D159" s="356">
        <v>0</v>
      </c>
      <c r="E159" s="356">
        <v>2.0999999999999999E-5</v>
      </c>
      <c r="F159" s="357"/>
      <c r="G159" s="356">
        <v>0</v>
      </c>
      <c r="H159" s="356">
        <v>8.5699999999999993E-6</v>
      </c>
      <c r="I159" s="356">
        <v>0</v>
      </c>
      <c r="J159" s="356">
        <v>6.6100000000000002E-6</v>
      </c>
      <c r="K159" s="356"/>
      <c r="L159" s="356">
        <v>0</v>
      </c>
      <c r="M159" s="356">
        <v>5.31E-6</v>
      </c>
      <c r="N159" s="356">
        <v>0</v>
      </c>
      <c r="O159" s="356">
        <v>3.9099999999999998E-6</v>
      </c>
    </row>
    <row r="160" spans="1:15" ht="17.399999999999999" x14ac:dyDescent="0.3">
      <c r="A160" s="260" t="s">
        <v>402</v>
      </c>
      <c r="B160" s="356">
        <v>9.7100000000000003E-8</v>
      </c>
      <c r="C160" s="356">
        <v>3.3099999999999998E-5</v>
      </c>
      <c r="D160" s="356">
        <v>3.9600000000000002E-6</v>
      </c>
      <c r="E160" s="356">
        <v>2.58E-5</v>
      </c>
      <c r="F160" s="357"/>
      <c r="G160" s="356">
        <v>0</v>
      </c>
      <c r="H160" s="356">
        <v>1.3499999999999999E-5</v>
      </c>
      <c r="I160" s="356">
        <v>0</v>
      </c>
      <c r="J160" s="356">
        <v>1.7099999999999999E-5</v>
      </c>
      <c r="K160" s="356"/>
      <c r="L160" s="356">
        <v>0</v>
      </c>
      <c r="M160" s="356">
        <v>9.8700000000000004E-6</v>
      </c>
      <c r="N160" s="356">
        <v>5.7100000000000002E-7</v>
      </c>
      <c r="O160" s="356">
        <v>5.2100000000000001E-6</v>
      </c>
    </row>
    <row r="161" spans="1:15" ht="17.399999999999999" x14ac:dyDescent="0.3">
      <c r="A161" s="260" t="s">
        <v>404</v>
      </c>
      <c r="B161" s="356">
        <v>9.3100000000000006E-8</v>
      </c>
      <c r="C161" s="356">
        <v>2.9099999999999999E-5</v>
      </c>
      <c r="D161" s="356">
        <v>7.61E-8</v>
      </c>
      <c r="E161" s="356">
        <v>2.9E-5</v>
      </c>
      <c r="F161" s="357"/>
      <c r="G161" s="356">
        <v>0</v>
      </c>
      <c r="H161" s="356">
        <v>9.3600000000000002E-6</v>
      </c>
      <c r="I161" s="356">
        <v>0</v>
      </c>
      <c r="J161" s="356">
        <v>6.5599999999999999E-6</v>
      </c>
      <c r="K161" s="356"/>
      <c r="L161" s="356">
        <v>2.3900000000000002E-5</v>
      </c>
      <c r="M161" s="356">
        <v>2.3E-5</v>
      </c>
      <c r="N161" s="356">
        <v>2.6200000000000003E-10</v>
      </c>
      <c r="O161" s="356">
        <v>1.01E-5</v>
      </c>
    </row>
    <row r="162" spans="1:15" ht="17.399999999999999" x14ac:dyDescent="0.3">
      <c r="A162" s="260" t="s">
        <v>401</v>
      </c>
      <c r="B162" s="356">
        <v>0</v>
      </c>
      <c r="C162" s="356">
        <v>4.1600000000000002E-5</v>
      </c>
      <c r="D162" s="356">
        <v>0</v>
      </c>
      <c r="E162" s="356">
        <v>2.73E-5</v>
      </c>
      <c r="F162" s="357"/>
      <c r="G162" s="356">
        <v>0</v>
      </c>
      <c r="H162" s="356">
        <v>6.1999999999999999E-6</v>
      </c>
      <c r="I162" s="356">
        <v>0</v>
      </c>
      <c r="J162" s="356">
        <v>6.4400000000000002E-6</v>
      </c>
      <c r="K162" s="356"/>
      <c r="L162" s="356">
        <v>0</v>
      </c>
      <c r="M162" s="356">
        <v>4.9400000000000001E-6</v>
      </c>
      <c r="N162" s="356">
        <v>0</v>
      </c>
      <c r="O162" s="356">
        <v>4.5800000000000002E-6</v>
      </c>
    </row>
    <row r="163" spans="1:15" ht="17.399999999999999" x14ac:dyDescent="0.3">
      <c r="A163" s="260" t="s">
        <v>397</v>
      </c>
      <c r="B163" s="356">
        <v>0</v>
      </c>
      <c r="C163" s="356">
        <v>0</v>
      </c>
      <c r="D163" s="356">
        <v>0</v>
      </c>
      <c r="E163" s="356">
        <v>0</v>
      </c>
      <c r="F163" s="357"/>
      <c r="G163" s="356">
        <v>0</v>
      </c>
      <c r="H163" s="356">
        <v>0</v>
      </c>
      <c r="I163" s="356">
        <v>0</v>
      </c>
      <c r="J163" s="356">
        <v>0</v>
      </c>
      <c r="K163" s="356"/>
      <c r="L163" s="356">
        <v>0</v>
      </c>
      <c r="M163" s="356">
        <v>0</v>
      </c>
      <c r="N163" s="356">
        <v>0</v>
      </c>
      <c r="O163" s="356">
        <v>0</v>
      </c>
    </row>
    <row r="164" spans="1:15" ht="17.399999999999999" x14ac:dyDescent="0.3">
      <c r="A164" s="260" t="s">
        <v>435</v>
      </c>
      <c r="B164" s="356">
        <v>4.4400000000000001E-7</v>
      </c>
      <c r="C164" s="356">
        <v>3.9799999999999998E-5</v>
      </c>
      <c r="D164" s="356">
        <v>3.5600000000000001E-7</v>
      </c>
      <c r="E164" s="356">
        <v>2.1399999999999998E-5</v>
      </c>
      <c r="F164" s="357"/>
      <c r="G164" s="356">
        <v>0</v>
      </c>
      <c r="H164" s="356">
        <v>1.06E-5</v>
      </c>
      <c r="I164" s="356">
        <v>9.8200000000000008E-7</v>
      </c>
      <c r="J164" s="356">
        <v>8.3000000000000002E-6</v>
      </c>
      <c r="K164" s="356"/>
      <c r="L164" s="356">
        <v>0</v>
      </c>
      <c r="M164" s="356">
        <v>4.5700000000000003E-6</v>
      </c>
      <c r="N164" s="356">
        <v>0</v>
      </c>
      <c r="O164" s="356">
        <v>3.3299999999999999E-6</v>
      </c>
    </row>
    <row r="165" spans="1:15" ht="17.399999999999999" x14ac:dyDescent="0.3">
      <c r="A165" s="260" t="s">
        <v>388</v>
      </c>
      <c r="B165" s="356">
        <v>0</v>
      </c>
      <c r="C165" s="356">
        <v>2.19E-5</v>
      </c>
      <c r="D165" s="356">
        <v>0</v>
      </c>
      <c r="E165" s="356">
        <v>1.91E-5</v>
      </c>
      <c r="F165" s="357"/>
      <c r="G165" s="356">
        <v>0</v>
      </c>
      <c r="H165" s="356">
        <v>1.3499999999999999E-5</v>
      </c>
      <c r="I165" s="356">
        <v>0</v>
      </c>
      <c r="J165" s="356">
        <v>8.8300000000000002E-6</v>
      </c>
      <c r="K165" s="356"/>
      <c r="L165" s="356">
        <v>0</v>
      </c>
      <c r="M165" s="356">
        <v>7.2099999999999996E-6</v>
      </c>
      <c r="N165" s="356">
        <v>0</v>
      </c>
      <c r="O165" s="356">
        <v>4.5499999999999996E-6</v>
      </c>
    </row>
    <row r="166" spans="1:15" ht="17.399999999999999" x14ac:dyDescent="0.3">
      <c r="A166" s="260" t="s">
        <v>386</v>
      </c>
      <c r="B166" s="356">
        <v>9.0999999999999994E-8</v>
      </c>
      <c r="C166" s="356">
        <v>3.9199999999999997E-5</v>
      </c>
      <c r="D166" s="356">
        <v>1.99E-6</v>
      </c>
      <c r="E166" s="356">
        <v>1.95E-5</v>
      </c>
      <c r="F166" s="357"/>
      <c r="G166" s="356">
        <v>0</v>
      </c>
      <c r="H166" s="356">
        <v>1.24E-5</v>
      </c>
      <c r="I166" s="356">
        <v>0</v>
      </c>
      <c r="J166" s="356">
        <v>8.9800000000000004E-6</v>
      </c>
      <c r="K166" s="356"/>
      <c r="L166" s="356">
        <v>0</v>
      </c>
      <c r="M166" s="356">
        <v>4.5399999999999997E-6</v>
      </c>
      <c r="N166" s="356">
        <v>0</v>
      </c>
      <c r="O166" s="356">
        <v>3.0000000000000001E-6</v>
      </c>
    </row>
    <row r="167" spans="1:15" ht="17.399999999999999" x14ac:dyDescent="0.3">
      <c r="A167" s="260" t="s">
        <v>380</v>
      </c>
      <c r="B167" s="356">
        <v>8.1699999999999997E-7</v>
      </c>
      <c r="C167" s="356">
        <v>3.43E-5</v>
      </c>
      <c r="D167" s="356">
        <v>0</v>
      </c>
      <c r="E167" s="356">
        <v>2.0000000000000002E-5</v>
      </c>
      <c r="F167" s="357"/>
      <c r="G167" s="356">
        <v>0</v>
      </c>
      <c r="H167" s="356">
        <v>1.1E-5</v>
      </c>
      <c r="I167" s="356">
        <v>0</v>
      </c>
      <c r="J167" s="356">
        <v>1.0200000000000001E-5</v>
      </c>
      <c r="K167" s="356"/>
      <c r="L167" s="356">
        <v>0</v>
      </c>
      <c r="M167" s="356">
        <v>4.25E-6</v>
      </c>
      <c r="N167" s="356">
        <v>0</v>
      </c>
      <c r="O167" s="356">
        <v>3.67E-6</v>
      </c>
    </row>
    <row r="168" spans="1:15" ht="17.399999999999999" x14ac:dyDescent="0.3">
      <c r="A168" s="260" t="s">
        <v>377</v>
      </c>
      <c r="B168" s="356">
        <v>9.0999999999999994E-8</v>
      </c>
      <c r="C168" s="356">
        <v>1.9700000000000001E-5</v>
      </c>
      <c r="D168" s="356">
        <v>0</v>
      </c>
      <c r="E168" s="356">
        <v>2.0800000000000001E-5</v>
      </c>
      <c r="F168" s="357"/>
      <c r="G168" s="356">
        <v>0</v>
      </c>
      <c r="H168" s="356">
        <v>7.0899999999999999E-6</v>
      </c>
      <c r="I168" s="356">
        <v>0</v>
      </c>
      <c r="J168" s="356">
        <v>5.7599999999999999E-6</v>
      </c>
      <c r="K168" s="356"/>
      <c r="L168" s="356">
        <v>0</v>
      </c>
      <c r="M168" s="356">
        <v>1.8499999999999999E-5</v>
      </c>
      <c r="N168" s="356">
        <v>0</v>
      </c>
      <c r="O168" s="356">
        <v>8.3499999999999997E-6</v>
      </c>
    </row>
    <row r="169" spans="1:15" ht="17.399999999999999" x14ac:dyDescent="0.3">
      <c r="A169" s="260" t="s">
        <v>373</v>
      </c>
      <c r="B169" s="356">
        <v>1.0300000000000001E-6</v>
      </c>
      <c r="C169" s="356">
        <v>2.4899999999999999E-5</v>
      </c>
      <c r="D169" s="356">
        <v>5.1270000000000005E-4</v>
      </c>
      <c r="E169" s="356">
        <v>1.4449999999999999E-4</v>
      </c>
      <c r="F169" s="357"/>
      <c r="G169" s="356">
        <v>0</v>
      </c>
      <c r="H169" s="356">
        <v>1.15E-5</v>
      </c>
      <c r="I169" s="356">
        <v>6.4670000000000005E-4</v>
      </c>
      <c r="J169" s="356">
        <v>6.3999999999999997E-5</v>
      </c>
      <c r="K169" s="356"/>
      <c r="L169" s="356">
        <v>1.8369999999999999E-4</v>
      </c>
      <c r="M169" s="356">
        <v>3.8500000000000001E-5</v>
      </c>
      <c r="N169" s="356">
        <v>1.132E-4</v>
      </c>
      <c r="O169" s="356">
        <v>1.042E-4</v>
      </c>
    </row>
    <row r="170" spans="1:15" ht="17.399999999999999" x14ac:dyDescent="0.3">
      <c r="A170" s="260" t="s">
        <v>368</v>
      </c>
      <c r="B170" s="356">
        <v>6.1500000000000004E-7</v>
      </c>
      <c r="C170" s="356">
        <v>3.5500000000000002E-5</v>
      </c>
      <c r="D170" s="356">
        <v>1.4700000000000001E-7</v>
      </c>
      <c r="E170" s="356">
        <v>2.05E-5</v>
      </c>
      <c r="F170" s="357"/>
      <c r="G170" s="356">
        <v>0</v>
      </c>
      <c r="H170" s="356">
        <v>1.0499999999999999E-5</v>
      </c>
      <c r="I170" s="356">
        <v>0</v>
      </c>
      <c r="J170" s="356">
        <v>9.4800000000000007E-6</v>
      </c>
      <c r="K170" s="356"/>
      <c r="L170" s="356">
        <v>0</v>
      </c>
      <c r="M170" s="356">
        <v>4.8099999999999997E-6</v>
      </c>
      <c r="N170" s="356">
        <v>0</v>
      </c>
      <c r="O170" s="356">
        <v>4.0400000000000003E-6</v>
      </c>
    </row>
    <row r="171" spans="1:15" ht="17.399999999999999" x14ac:dyDescent="0.3">
      <c r="A171" s="260" t="s">
        <v>532</v>
      </c>
      <c r="B171" s="356">
        <v>0</v>
      </c>
      <c r="C171" s="356">
        <v>1.9000000000000001E-5</v>
      </c>
      <c r="D171" s="356">
        <v>0</v>
      </c>
      <c r="E171" s="356">
        <v>2.19E-5</v>
      </c>
      <c r="F171" s="357"/>
      <c r="G171" s="356">
        <v>0</v>
      </c>
      <c r="H171" s="356">
        <v>6.1199999999999999E-6</v>
      </c>
      <c r="I171" s="356">
        <v>0</v>
      </c>
      <c r="J171" s="356">
        <v>5.7799999999999997E-6</v>
      </c>
      <c r="K171" s="356"/>
      <c r="L171" s="356">
        <v>3.0899999999999999E-9</v>
      </c>
      <c r="M171" s="356">
        <v>1.8700000000000001E-5</v>
      </c>
      <c r="N171" s="356">
        <v>0</v>
      </c>
      <c r="O171" s="356">
        <v>9.2399999999999996E-6</v>
      </c>
    </row>
    <row r="172" spans="1:15" ht="17.399999999999999" x14ac:dyDescent="0.3">
      <c r="A172" s="260" t="s">
        <v>352</v>
      </c>
      <c r="B172" s="356">
        <v>5.4E-6</v>
      </c>
      <c r="C172" s="356">
        <v>5.3999999999999998E-5</v>
      </c>
      <c r="D172" s="356">
        <v>9.1299999999999998E-7</v>
      </c>
      <c r="E172" s="356">
        <v>2.2500000000000001E-5</v>
      </c>
      <c r="F172" s="357"/>
      <c r="G172" s="356">
        <v>0</v>
      </c>
      <c r="H172" s="356">
        <v>1.88E-5</v>
      </c>
      <c r="I172" s="356">
        <v>0</v>
      </c>
      <c r="J172" s="356">
        <v>1.0200000000000001E-5</v>
      </c>
      <c r="K172" s="356"/>
      <c r="L172" s="356">
        <v>1.7E-5</v>
      </c>
      <c r="M172" s="356">
        <v>7.9000000000000006E-6</v>
      </c>
      <c r="N172" s="356">
        <v>0</v>
      </c>
      <c r="O172" s="356">
        <v>3.9099999999999998E-6</v>
      </c>
    </row>
    <row r="173" spans="1:15" ht="17.399999999999999" x14ac:dyDescent="0.3">
      <c r="A173" s="260" t="s">
        <v>398</v>
      </c>
      <c r="B173" s="356">
        <v>0</v>
      </c>
      <c r="C173" s="356">
        <v>4.1199999999999999E-5</v>
      </c>
      <c r="D173" s="356">
        <v>0</v>
      </c>
      <c r="E173" s="356">
        <v>2.3799999999999999E-5</v>
      </c>
      <c r="F173" s="357"/>
      <c r="G173" s="356">
        <v>0</v>
      </c>
      <c r="H173" s="356">
        <v>2.7100000000000001E-5</v>
      </c>
      <c r="I173" s="356">
        <v>0</v>
      </c>
      <c r="J173" s="356">
        <v>2.48E-5</v>
      </c>
      <c r="K173" s="356"/>
      <c r="L173" s="356">
        <v>0</v>
      </c>
      <c r="M173" s="356">
        <v>2.7700000000000002E-6</v>
      </c>
      <c r="N173" s="356">
        <v>0</v>
      </c>
      <c r="O173" s="356">
        <v>2.1900000000000002E-6</v>
      </c>
    </row>
    <row r="174" spans="1:15" ht="17.399999999999999" x14ac:dyDescent="0.3">
      <c r="A174" s="260" t="s">
        <v>518</v>
      </c>
      <c r="B174" s="356">
        <v>2.7999999999999999E-6</v>
      </c>
      <c r="C174" s="356">
        <v>0</v>
      </c>
      <c r="D174" s="356">
        <v>0</v>
      </c>
      <c r="E174" s="356">
        <v>0</v>
      </c>
      <c r="F174" s="357"/>
      <c r="G174" s="356">
        <v>0</v>
      </c>
      <c r="H174" s="356">
        <v>0</v>
      </c>
      <c r="I174" s="356">
        <v>0</v>
      </c>
      <c r="J174" s="356">
        <v>0</v>
      </c>
      <c r="K174" s="356"/>
      <c r="L174" s="356">
        <v>0</v>
      </c>
      <c r="M174" s="356">
        <v>0</v>
      </c>
      <c r="N174" s="356">
        <v>0</v>
      </c>
      <c r="O174" s="356">
        <v>0</v>
      </c>
    </row>
    <row r="175" spans="1:15" ht="17.399999999999999" x14ac:dyDescent="0.3">
      <c r="A175" s="260" t="s">
        <v>501</v>
      </c>
      <c r="B175" s="356">
        <v>6.06E-7</v>
      </c>
      <c r="C175" s="356">
        <v>0</v>
      </c>
      <c r="D175" s="356">
        <v>0</v>
      </c>
      <c r="E175" s="356">
        <v>0</v>
      </c>
      <c r="F175" s="357"/>
      <c r="G175" s="356">
        <v>0</v>
      </c>
      <c r="H175" s="356">
        <v>0</v>
      </c>
      <c r="I175" s="356">
        <v>0</v>
      </c>
      <c r="J175" s="356">
        <v>0</v>
      </c>
      <c r="K175" s="356"/>
      <c r="L175" s="356">
        <v>3.0600000000000002E-9</v>
      </c>
      <c r="M175" s="356">
        <v>0</v>
      </c>
      <c r="N175" s="356">
        <v>0</v>
      </c>
      <c r="O175" s="356">
        <v>0</v>
      </c>
    </row>
    <row r="176" spans="1:15" ht="17.399999999999999" x14ac:dyDescent="0.3">
      <c r="A176" s="260" t="s">
        <v>500</v>
      </c>
      <c r="B176" s="356">
        <v>0</v>
      </c>
      <c r="C176" s="356">
        <v>4.0899999999999998E-5</v>
      </c>
      <c r="D176" s="356">
        <v>4.6199999999999998E-6</v>
      </c>
      <c r="E176" s="356">
        <v>3.0800000000000003E-5</v>
      </c>
      <c r="F176" s="357"/>
      <c r="G176" s="356">
        <v>0</v>
      </c>
      <c r="H176" s="356">
        <v>2.1100000000000001E-5</v>
      </c>
      <c r="I176" s="356">
        <v>0</v>
      </c>
      <c r="J176" s="356">
        <v>2.4600000000000002E-5</v>
      </c>
      <c r="K176" s="356"/>
      <c r="L176" s="356">
        <v>0</v>
      </c>
      <c r="M176" s="356">
        <v>2.17E-6</v>
      </c>
      <c r="N176" s="356">
        <v>0</v>
      </c>
      <c r="O176" s="356">
        <v>2.7599999999999998E-6</v>
      </c>
    </row>
    <row r="177" spans="1:15" ht="17.399999999999999" x14ac:dyDescent="0.3">
      <c r="A177" s="260" t="s">
        <v>491</v>
      </c>
      <c r="B177" s="356">
        <v>2.27E-5</v>
      </c>
      <c r="C177" s="356">
        <v>2.274E-4</v>
      </c>
      <c r="D177" s="356">
        <v>4.2300000000000002E-6</v>
      </c>
      <c r="E177" s="356">
        <v>2.408E-4</v>
      </c>
      <c r="F177" s="357"/>
      <c r="G177" s="356">
        <v>4.7999999999999996E-7</v>
      </c>
      <c r="H177" s="356">
        <v>4.0899999999999998E-5</v>
      </c>
      <c r="I177" s="356">
        <v>0</v>
      </c>
      <c r="J177" s="356">
        <v>6.3200000000000005E-5</v>
      </c>
      <c r="K177" s="356"/>
      <c r="L177" s="356">
        <v>1.8E-5</v>
      </c>
      <c r="M177" s="356">
        <v>5.1700000000000003E-5</v>
      </c>
      <c r="N177" s="356">
        <v>1.56E-5</v>
      </c>
      <c r="O177" s="356">
        <v>7.3800000000000005E-5</v>
      </c>
    </row>
    <row r="178" spans="1:15" ht="17.399999999999999" x14ac:dyDescent="0.3">
      <c r="A178" s="260" t="s">
        <v>468</v>
      </c>
      <c r="B178" s="356">
        <v>4.5499999999999997E-8</v>
      </c>
      <c r="C178" s="356">
        <v>4.57E-5</v>
      </c>
      <c r="D178" s="356">
        <v>0</v>
      </c>
      <c r="E178" s="356">
        <v>2.6699999999999998E-5</v>
      </c>
      <c r="F178" s="357"/>
      <c r="G178" s="356">
        <v>0</v>
      </c>
      <c r="H178" s="356">
        <v>2.87E-5</v>
      </c>
      <c r="I178" s="356">
        <v>0</v>
      </c>
      <c r="J178" s="356">
        <v>2.5899999999999999E-5</v>
      </c>
      <c r="K178" s="356"/>
      <c r="L178" s="356">
        <v>0</v>
      </c>
      <c r="M178" s="356">
        <v>3.1E-6</v>
      </c>
      <c r="N178" s="356">
        <v>0</v>
      </c>
      <c r="O178" s="356">
        <v>2.3499999999999999E-6</v>
      </c>
    </row>
    <row r="179" spans="1:15" ht="17.399999999999999" x14ac:dyDescent="0.3">
      <c r="A179" s="260" t="s">
        <v>487</v>
      </c>
      <c r="B179" s="356">
        <v>0</v>
      </c>
      <c r="C179" s="356">
        <v>0</v>
      </c>
      <c r="D179" s="356">
        <v>0</v>
      </c>
      <c r="E179" s="356">
        <v>0</v>
      </c>
      <c r="F179" s="357"/>
      <c r="G179" s="356">
        <v>0</v>
      </c>
      <c r="H179" s="356">
        <v>0</v>
      </c>
      <c r="I179" s="356">
        <v>0</v>
      </c>
      <c r="J179" s="356">
        <v>0</v>
      </c>
      <c r="K179" s="356"/>
      <c r="L179" s="356">
        <v>5.2100000000000001E-6</v>
      </c>
      <c r="M179" s="356">
        <v>0</v>
      </c>
      <c r="N179" s="356">
        <v>2.1799999999999999E-7</v>
      </c>
      <c r="O179" s="356">
        <v>0</v>
      </c>
    </row>
    <row r="180" spans="1:15" ht="17.399999999999999" x14ac:dyDescent="0.3">
      <c r="A180" s="260" t="s">
        <v>434</v>
      </c>
      <c r="B180" s="356">
        <v>0</v>
      </c>
      <c r="C180" s="356">
        <v>3.9199999999999997E-5</v>
      </c>
      <c r="D180" s="356">
        <v>0</v>
      </c>
      <c r="E180" s="356">
        <v>2.4199999999999999E-5</v>
      </c>
      <c r="F180" s="357"/>
      <c r="G180" s="356">
        <v>0</v>
      </c>
      <c r="H180" s="356">
        <v>2.58E-5</v>
      </c>
      <c r="I180" s="356">
        <v>1.7599999999999999E-7</v>
      </c>
      <c r="J180" s="356">
        <v>2.5400000000000001E-5</v>
      </c>
      <c r="K180" s="356"/>
      <c r="L180" s="356">
        <v>0</v>
      </c>
      <c r="M180" s="356">
        <v>2.3E-6</v>
      </c>
      <c r="N180" s="356">
        <v>0</v>
      </c>
      <c r="O180" s="356">
        <v>2.1299999999999999E-6</v>
      </c>
    </row>
    <row r="181" spans="1:15" ht="17.399999999999999" x14ac:dyDescent="0.3">
      <c r="A181" s="260" t="s">
        <v>431</v>
      </c>
      <c r="B181" s="356">
        <v>0</v>
      </c>
      <c r="C181" s="356">
        <v>0</v>
      </c>
      <c r="D181" s="356">
        <v>0</v>
      </c>
      <c r="E181" s="356">
        <v>0</v>
      </c>
      <c r="F181" s="357"/>
      <c r="G181" s="356">
        <v>0</v>
      </c>
      <c r="H181" s="356">
        <v>0</v>
      </c>
      <c r="I181" s="356">
        <v>0</v>
      </c>
      <c r="J181" s="356">
        <v>0</v>
      </c>
      <c r="K181" s="356"/>
      <c r="L181" s="356">
        <v>1.5E-6</v>
      </c>
      <c r="M181" s="356">
        <v>0</v>
      </c>
      <c r="N181" s="356">
        <v>0</v>
      </c>
      <c r="O181" s="356">
        <v>0</v>
      </c>
    </row>
    <row r="182" spans="1:15" ht="17.399999999999999" x14ac:dyDescent="0.3">
      <c r="A182" s="260" t="s">
        <v>362</v>
      </c>
      <c r="B182" s="356">
        <v>0</v>
      </c>
      <c r="C182" s="356">
        <v>4.0099999999999999E-5</v>
      </c>
      <c r="D182" s="356">
        <v>0</v>
      </c>
      <c r="E182" s="356">
        <v>2.3900000000000002E-5</v>
      </c>
      <c r="F182" s="357"/>
      <c r="G182" s="356">
        <v>0</v>
      </c>
      <c r="H182" s="356">
        <v>2.2799999999999999E-5</v>
      </c>
      <c r="I182" s="356">
        <v>0</v>
      </c>
      <c r="J182" s="356">
        <v>2.1299999999999999E-5</v>
      </c>
      <c r="K182" s="356"/>
      <c r="L182" s="356">
        <v>6.4099999999999996E-6</v>
      </c>
      <c r="M182" s="356">
        <v>1.22E-5</v>
      </c>
      <c r="N182" s="356">
        <v>0</v>
      </c>
      <c r="O182" s="356">
        <v>5.0499999999999999E-6</v>
      </c>
    </row>
    <row r="183" spans="1:15" ht="17.399999999999999" x14ac:dyDescent="0.3">
      <c r="A183" s="260" t="s">
        <v>420</v>
      </c>
      <c r="B183" s="356">
        <v>2.63E-4</v>
      </c>
      <c r="C183" s="356">
        <v>1.7469999999999999E-4</v>
      </c>
      <c r="D183" s="356">
        <v>0</v>
      </c>
      <c r="E183" s="356">
        <v>2.4899999999999999E-5</v>
      </c>
      <c r="F183" s="357"/>
      <c r="G183" s="356">
        <v>1.9000000000000001E-5</v>
      </c>
      <c r="H183" s="356">
        <v>1.3469999999999999E-4</v>
      </c>
      <c r="I183" s="356">
        <v>8.05E-8</v>
      </c>
      <c r="J183" s="356">
        <v>2.8799999999999999E-5</v>
      </c>
      <c r="K183" s="356"/>
      <c r="L183" s="356">
        <v>5.1799999999999999E-5</v>
      </c>
      <c r="M183" s="356">
        <v>2.5400000000000001E-5</v>
      </c>
      <c r="N183" s="356">
        <v>0</v>
      </c>
      <c r="O183" s="356">
        <v>2.7300000000000001E-6</v>
      </c>
    </row>
    <row r="184" spans="1:15" ht="17.399999999999999" x14ac:dyDescent="0.3">
      <c r="A184" s="260" t="s">
        <v>393</v>
      </c>
      <c r="B184" s="356">
        <v>0</v>
      </c>
      <c r="C184" s="356">
        <v>0</v>
      </c>
      <c r="D184" s="356">
        <v>0</v>
      </c>
      <c r="E184" s="356">
        <v>0</v>
      </c>
      <c r="F184" s="357"/>
      <c r="G184" s="356">
        <v>0</v>
      </c>
      <c r="H184" s="356">
        <v>0</v>
      </c>
      <c r="I184" s="356">
        <v>0</v>
      </c>
      <c r="J184" s="356">
        <v>0</v>
      </c>
      <c r="K184" s="356"/>
      <c r="L184" s="356">
        <v>0</v>
      </c>
      <c r="M184" s="356">
        <v>0</v>
      </c>
      <c r="N184" s="356">
        <v>0</v>
      </c>
      <c r="O184" s="356">
        <v>0</v>
      </c>
    </row>
    <row r="185" spans="1:15" ht="17.399999999999999" x14ac:dyDescent="0.3">
      <c r="A185" s="260" t="s">
        <v>557</v>
      </c>
      <c r="B185" s="356">
        <v>0</v>
      </c>
      <c r="C185" s="356">
        <v>0</v>
      </c>
      <c r="D185" s="356">
        <v>0</v>
      </c>
      <c r="E185" s="356">
        <v>0</v>
      </c>
      <c r="F185" s="357"/>
      <c r="G185" s="356">
        <v>0</v>
      </c>
      <c r="H185" s="356">
        <v>0</v>
      </c>
      <c r="I185" s="356">
        <v>0</v>
      </c>
      <c r="J185" s="356">
        <v>0</v>
      </c>
      <c r="K185" s="356"/>
      <c r="L185" s="356">
        <v>0</v>
      </c>
      <c r="M185" s="356">
        <v>0</v>
      </c>
      <c r="N185" s="356">
        <v>0</v>
      </c>
      <c r="O185" s="356">
        <v>0</v>
      </c>
    </row>
    <row r="186" spans="1:15" ht="17.399999999999999" x14ac:dyDescent="0.3">
      <c r="A186" s="260" t="s">
        <v>365</v>
      </c>
      <c r="B186" s="356">
        <v>0</v>
      </c>
      <c r="C186" s="356">
        <v>0</v>
      </c>
      <c r="D186" s="356">
        <v>0</v>
      </c>
      <c r="E186" s="356">
        <v>0</v>
      </c>
      <c r="F186" s="357"/>
      <c r="G186" s="356">
        <v>0</v>
      </c>
      <c r="H186" s="356">
        <v>0</v>
      </c>
      <c r="I186" s="356">
        <v>0</v>
      </c>
      <c r="J186" s="356">
        <v>0</v>
      </c>
      <c r="K186" s="356"/>
      <c r="L186" s="356">
        <v>6.5499999999999999E-9</v>
      </c>
      <c r="M186" s="356">
        <v>0</v>
      </c>
      <c r="N186" s="356">
        <v>0</v>
      </c>
      <c r="O186" s="356">
        <v>0</v>
      </c>
    </row>
    <row r="187" spans="1:15" ht="17.399999999999999" x14ac:dyDescent="0.3">
      <c r="A187" s="260" t="s">
        <v>407</v>
      </c>
      <c r="B187" s="356">
        <v>0</v>
      </c>
      <c r="C187" s="356">
        <v>4.21E-5</v>
      </c>
      <c r="D187" s="356">
        <v>0</v>
      </c>
      <c r="E187" s="356">
        <v>2.5299999999999998E-5</v>
      </c>
      <c r="F187" s="357"/>
      <c r="G187" s="356">
        <v>0</v>
      </c>
      <c r="H187" s="356">
        <v>2.4000000000000001E-5</v>
      </c>
      <c r="I187" s="356">
        <v>0</v>
      </c>
      <c r="J187" s="356">
        <v>2.2399999999999999E-5</v>
      </c>
      <c r="K187" s="356"/>
      <c r="L187" s="356">
        <v>0</v>
      </c>
      <c r="M187" s="356">
        <v>2.5299999999999999E-6</v>
      </c>
      <c r="N187" s="356">
        <v>0</v>
      </c>
      <c r="O187" s="356">
        <v>2.1299999999999999E-6</v>
      </c>
    </row>
    <row r="188" spans="1:15" ht="17.399999999999999" x14ac:dyDescent="0.3">
      <c r="A188" s="260" t="s">
        <v>375</v>
      </c>
      <c r="B188" s="356">
        <v>0</v>
      </c>
      <c r="C188" s="356">
        <v>4.5000000000000003E-5</v>
      </c>
      <c r="D188" s="356">
        <v>0</v>
      </c>
      <c r="E188" s="356">
        <v>2.6999999999999999E-5</v>
      </c>
      <c r="F188" s="357"/>
      <c r="G188" s="356">
        <v>0</v>
      </c>
      <c r="H188" s="356">
        <v>2.1800000000000001E-5</v>
      </c>
      <c r="I188" s="356">
        <v>0</v>
      </c>
      <c r="J188" s="356">
        <v>1.9599999999999999E-5</v>
      </c>
      <c r="K188" s="356"/>
      <c r="L188" s="356">
        <v>0</v>
      </c>
      <c r="M188" s="356">
        <v>2.5799999999999999E-6</v>
      </c>
      <c r="N188" s="356">
        <v>0</v>
      </c>
      <c r="O188" s="356">
        <v>2.08E-6</v>
      </c>
    </row>
    <row r="189" spans="1:15" ht="17.399999999999999" x14ac:dyDescent="0.3">
      <c r="A189" s="260" t="s">
        <v>450</v>
      </c>
      <c r="B189" s="356">
        <v>1.1846999999999999E-3</v>
      </c>
      <c r="C189" s="356">
        <v>1.5550000000000001E-4</v>
      </c>
      <c r="D189" s="356">
        <v>2.766E-4</v>
      </c>
      <c r="E189" s="356">
        <v>4.7700000000000001E-5</v>
      </c>
      <c r="F189" s="357"/>
      <c r="G189" s="356">
        <v>4.07E-5</v>
      </c>
      <c r="H189" s="356">
        <v>1.127E-4</v>
      </c>
      <c r="I189" s="356">
        <v>2.34E-6</v>
      </c>
      <c r="J189" s="356">
        <v>4.9299999999999999E-5</v>
      </c>
      <c r="K189" s="356"/>
      <c r="L189" s="356">
        <v>2.3099999999999999E-5</v>
      </c>
      <c r="M189" s="356">
        <v>2.0100000000000001E-5</v>
      </c>
      <c r="N189" s="356">
        <v>2.8700000000000001E-6</v>
      </c>
      <c r="O189" s="356">
        <v>5.5799999999999999E-6</v>
      </c>
    </row>
    <row r="190" spans="1:15" ht="17.399999999999999" x14ac:dyDescent="0.3">
      <c r="A190" s="260" t="s">
        <v>444</v>
      </c>
      <c r="B190" s="356">
        <v>0</v>
      </c>
      <c r="C190" s="356">
        <v>6.0399999999999998E-5</v>
      </c>
      <c r="D190" s="356">
        <v>0</v>
      </c>
      <c r="E190" s="356">
        <v>4.2400000000000001E-5</v>
      </c>
      <c r="F190" s="357"/>
      <c r="G190" s="356">
        <v>0</v>
      </c>
      <c r="H190" s="356">
        <v>3.1000000000000001E-5</v>
      </c>
      <c r="I190" s="356">
        <v>0</v>
      </c>
      <c r="J190" s="356">
        <v>3.0000000000000001E-5</v>
      </c>
      <c r="K190" s="356"/>
      <c r="L190" s="356">
        <v>0</v>
      </c>
      <c r="M190" s="356">
        <v>2.5799999999999999E-6</v>
      </c>
      <c r="N190" s="356">
        <v>0</v>
      </c>
      <c r="O190" s="356">
        <v>2.1799999999999999E-6</v>
      </c>
    </row>
    <row r="191" spans="1:15" ht="17.399999999999999" x14ac:dyDescent="0.3">
      <c r="A191" s="260" t="s">
        <v>369</v>
      </c>
      <c r="B191" s="356">
        <v>0</v>
      </c>
      <c r="C191" s="356">
        <v>0</v>
      </c>
      <c r="D191" s="356">
        <v>0</v>
      </c>
      <c r="E191" s="356">
        <v>0</v>
      </c>
      <c r="F191" s="357"/>
      <c r="G191" s="356">
        <v>0</v>
      </c>
      <c r="H191" s="356">
        <v>0</v>
      </c>
      <c r="I191" s="356">
        <v>0</v>
      </c>
      <c r="J191" s="356">
        <v>0</v>
      </c>
      <c r="K191" s="356"/>
      <c r="L191" s="356">
        <v>0</v>
      </c>
      <c r="M191" s="356">
        <v>0</v>
      </c>
      <c r="N191" s="356">
        <v>0</v>
      </c>
      <c r="O191" s="356">
        <v>0</v>
      </c>
    </row>
    <row r="192" spans="1:15" ht="17.399999999999999" x14ac:dyDescent="0.3">
      <c r="A192" s="260" t="s">
        <v>497</v>
      </c>
      <c r="B192" s="356">
        <v>0</v>
      </c>
      <c r="C192" s="356">
        <v>0</v>
      </c>
      <c r="D192" s="356">
        <v>0</v>
      </c>
      <c r="E192" s="356">
        <v>0</v>
      </c>
      <c r="F192" s="357"/>
      <c r="G192" s="356">
        <v>0</v>
      </c>
      <c r="H192" s="356">
        <v>0</v>
      </c>
      <c r="I192" s="356">
        <v>0</v>
      </c>
      <c r="J192" s="356">
        <v>0</v>
      </c>
      <c r="K192" s="356"/>
      <c r="L192" s="356">
        <v>1.2500000000000001E-5</v>
      </c>
      <c r="M192" s="356">
        <v>0</v>
      </c>
      <c r="N192" s="356">
        <v>1.8700000000000001E-5</v>
      </c>
      <c r="O192" s="356">
        <v>0</v>
      </c>
    </row>
    <row r="193" spans="1:15" ht="17.399999999999999" x14ac:dyDescent="0.3">
      <c r="A193" s="260" t="s">
        <v>356</v>
      </c>
      <c r="B193" s="356">
        <v>0</v>
      </c>
      <c r="C193" s="356">
        <v>0</v>
      </c>
      <c r="D193" s="356">
        <v>0</v>
      </c>
      <c r="E193" s="356">
        <v>0</v>
      </c>
      <c r="F193" s="357"/>
      <c r="G193" s="356">
        <v>0</v>
      </c>
      <c r="H193" s="356">
        <v>0</v>
      </c>
      <c r="I193" s="356">
        <v>0</v>
      </c>
      <c r="J193" s="356">
        <v>0</v>
      </c>
      <c r="K193" s="356"/>
      <c r="L193" s="356">
        <v>3.2100000000000003E-8</v>
      </c>
      <c r="M193" s="356">
        <v>0</v>
      </c>
      <c r="N193" s="356">
        <v>0</v>
      </c>
      <c r="O193" s="356">
        <v>0</v>
      </c>
    </row>
    <row r="194" spans="1:15" ht="17.399999999999999" x14ac:dyDescent="0.3">
      <c r="A194" s="260" t="s">
        <v>551</v>
      </c>
      <c r="B194" s="356">
        <v>0</v>
      </c>
      <c r="C194" s="356">
        <v>1.52E-5</v>
      </c>
      <c r="D194" s="356">
        <v>0</v>
      </c>
      <c r="E194" s="356">
        <v>1.3900000000000001E-5</v>
      </c>
      <c r="F194" s="357"/>
      <c r="G194" s="356">
        <v>0</v>
      </c>
      <c r="H194" s="356">
        <v>1.0000000000000001E-5</v>
      </c>
      <c r="I194" s="356">
        <v>0</v>
      </c>
      <c r="J194" s="356">
        <v>7.0600000000000002E-6</v>
      </c>
      <c r="K194" s="356"/>
      <c r="L194" s="356">
        <v>6.8299999999999998E-6</v>
      </c>
      <c r="M194" s="356">
        <v>5.5799999999999999E-6</v>
      </c>
      <c r="N194" s="356">
        <v>0</v>
      </c>
      <c r="O194" s="356">
        <v>3.7699999999999999E-6</v>
      </c>
    </row>
    <row r="195" spans="1:15" ht="17.399999999999999" x14ac:dyDescent="0.3">
      <c r="A195" s="260" t="s">
        <v>547</v>
      </c>
      <c r="B195" s="356">
        <v>0</v>
      </c>
      <c r="C195" s="356">
        <v>1.4E-5</v>
      </c>
      <c r="D195" s="356">
        <v>0</v>
      </c>
      <c r="E195" s="356">
        <v>1.7900000000000001E-5</v>
      </c>
      <c r="F195" s="357"/>
      <c r="G195" s="356">
        <v>0</v>
      </c>
      <c r="H195" s="356">
        <v>9.9799999999999993E-6</v>
      </c>
      <c r="I195" s="356">
        <v>0</v>
      </c>
      <c r="J195" s="356">
        <v>1.04E-5</v>
      </c>
      <c r="K195" s="356"/>
      <c r="L195" s="356">
        <v>0</v>
      </c>
      <c r="M195" s="356">
        <v>4.7700000000000001E-6</v>
      </c>
      <c r="N195" s="356">
        <v>0</v>
      </c>
      <c r="O195" s="356">
        <v>4.6399999999999996E-6</v>
      </c>
    </row>
    <row r="196" spans="1:15" ht="17.399999999999999" x14ac:dyDescent="0.3">
      <c r="A196" s="260" t="s">
        <v>543</v>
      </c>
      <c r="B196" s="356">
        <v>0</v>
      </c>
      <c r="C196" s="356">
        <v>1.2099999999999999E-5</v>
      </c>
      <c r="D196" s="356">
        <v>0</v>
      </c>
      <c r="E196" s="356">
        <v>1.0900000000000001E-5</v>
      </c>
      <c r="F196" s="357"/>
      <c r="G196" s="356">
        <v>0</v>
      </c>
      <c r="H196" s="356">
        <v>5.2599999999999996E-6</v>
      </c>
      <c r="I196" s="356">
        <v>0</v>
      </c>
      <c r="J196" s="356">
        <v>3.4699999999999998E-6</v>
      </c>
      <c r="K196" s="356"/>
      <c r="L196" s="356">
        <v>0</v>
      </c>
      <c r="M196" s="356">
        <v>6.3400000000000003E-6</v>
      </c>
      <c r="N196" s="356">
        <v>0</v>
      </c>
      <c r="O196" s="356">
        <v>4.3800000000000004E-6</v>
      </c>
    </row>
    <row r="197" spans="1:15" ht="17.399999999999999" x14ac:dyDescent="0.3">
      <c r="A197" s="260" t="s">
        <v>559</v>
      </c>
      <c r="B197" s="356">
        <v>0</v>
      </c>
      <c r="C197" s="356">
        <v>1.59E-5</v>
      </c>
      <c r="D197" s="356">
        <v>7.0299999999999996E-6</v>
      </c>
      <c r="E197" s="356">
        <v>2.05E-5</v>
      </c>
      <c r="F197" s="357"/>
      <c r="G197" s="356">
        <v>0</v>
      </c>
      <c r="H197" s="356">
        <v>6.9099999999999999E-6</v>
      </c>
      <c r="I197" s="356">
        <v>2.6599999999999999E-6</v>
      </c>
      <c r="J197" s="356">
        <v>7.6699999999999994E-6</v>
      </c>
      <c r="K197" s="356"/>
      <c r="L197" s="356">
        <v>0</v>
      </c>
      <c r="M197" s="356">
        <v>9.2399999999999996E-6</v>
      </c>
      <c r="N197" s="356">
        <v>2.5700000000000001E-5</v>
      </c>
      <c r="O197" s="356">
        <v>9.1500000000000005E-6</v>
      </c>
    </row>
    <row r="198" spans="1:15" ht="17.399999999999999" x14ac:dyDescent="0.3">
      <c r="A198" s="260" t="s">
        <v>493</v>
      </c>
      <c r="B198" s="356">
        <v>5.5799999999999999E-6</v>
      </c>
      <c r="C198" s="356">
        <v>2.1299999999999999E-5</v>
      </c>
      <c r="D198" s="356">
        <v>6.4400000000000002E-6</v>
      </c>
      <c r="E198" s="356">
        <v>2.4700000000000001E-5</v>
      </c>
      <c r="F198" s="357"/>
      <c r="G198" s="356">
        <v>0</v>
      </c>
      <c r="H198" s="356">
        <v>1.5099999999999999E-5</v>
      </c>
      <c r="I198" s="356">
        <v>8.0400000000000005E-7</v>
      </c>
      <c r="J198" s="356">
        <v>1.3900000000000001E-5</v>
      </c>
      <c r="K198" s="356"/>
      <c r="L198" s="356">
        <v>3.7800000000000002E-7</v>
      </c>
      <c r="M198" s="356">
        <v>8.1000000000000004E-6</v>
      </c>
      <c r="N198" s="356">
        <v>2.1999999999999998E-8</v>
      </c>
      <c r="O198" s="356">
        <v>7.0500000000000003E-6</v>
      </c>
    </row>
    <row r="199" spans="1:15" ht="17.399999999999999" x14ac:dyDescent="0.3">
      <c r="A199" s="260" t="s">
        <v>470</v>
      </c>
      <c r="B199" s="356">
        <v>5.7899999999999998E-5</v>
      </c>
      <c r="C199" s="356">
        <v>6.9499999999999995E-5</v>
      </c>
      <c r="D199" s="356">
        <v>2.2340000000000001E-4</v>
      </c>
      <c r="E199" s="356">
        <v>1.2510000000000001E-4</v>
      </c>
      <c r="F199" s="357"/>
      <c r="G199" s="356">
        <v>2.12E-5</v>
      </c>
      <c r="H199" s="356">
        <v>7.2600000000000003E-5</v>
      </c>
      <c r="I199" s="356">
        <v>3.9499999999999998E-5</v>
      </c>
      <c r="J199" s="356">
        <v>1.087E-4</v>
      </c>
      <c r="K199" s="356"/>
      <c r="L199" s="356">
        <v>2.633E-4</v>
      </c>
      <c r="M199" s="356">
        <v>2.27E-5</v>
      </c>
      <c r="N199" s="356">
        <v>2.9899999999999998E-5</v>
      </c>
      <c r="O199" s="356">
        <v>2.9600000000000001E-5</v>
      </c>
    </row>
    <row r="200" spans="1:15" ht="17.399999999999999" x14ac:dyDescent="0.3">
      <c r="A200" s="260" t="s">
        <v>465</v>
      </c>
      <c r="B200" s="356">
        <v>0</v>
      </c>
      <c r="C200" s="356">
        <v>1.7499999999999998E-5</v>
      </c>
      <c r="D200" s="356">
        <v>1.1000000000000001E-6</v>
      </c>
      <c r="E200" s="356">
        <v>2.1999999999999999E-5</v>
      </c>
      <c r="F200" s="357"/>
      <c r="G200" s="356">
        <v>0</v>
      </c>
      <c r="H200" s="356">
        <v>1.7799999999999999E-5</v>
      </c>
      <c r="I200" s="356">
        <v>5.5000000000000003E-7</v>
      </c>
      <c r="J200" s="356">
        <v>1.84E-5</v>
      </c>
      <c r="K200" s="356"/>
      <c r="L200" s="356">
        <v>0</v>
      </c>
      <c r="M200" s="356">
        <v>4.7299999999999996E-6</v>
      </c>
      <c r="N200" s="356">
        <v>0</v>
      </c>
      <c r="O200" s="356">
        <v>4.5700000000000003E-6</v>
      </c>
    </row>
    <row r="201" spans="1:15" ht="17.399999999999999" x14ac:dyDescent="0.3">
      <c r="A201" s="260" t="s">
        <v>533</v>
      </c>
      <c r="B201" s="356">
        <v>2.3E-5</v>
      </c>
      <c r="C201" s="356">
        <v>4.1199999999999999E-5</v>
      </c>
      <c r="D201" s="356">
        <v>8.9389999999999999E-4</v>
      </c>
      <c r="E201" s="356">
        <v>1.325E-4</v>
      </c>
      <c r="F201" s="357"/>
      <c r="G201" s="356">
        <v>0</v>
      </c>
      <c r="H201" s="356">
        <v>2.5400000000000001E-5</v>
      </c>
      <c r="I201" s="356">
        <v>3.2299999999999999E-5</v>
      </c>
      <c r="J201" s="356">
        <v>6.69E-5</v>
      </c>
      <c r="K201" s="356"/>
      <c r="L201" s="356">
        <v>4.2599999999999998E-7</v>
      </c>
      <c r="M201" s="356">
        <v>2.16E-5</v>
      </c>
      <c r="N201" s="356">
        <v>6.3100000000000002E-5</v>
      </c>
      <c r="O201" s="356">
        <v>5.3699999999999997E-5</v>
      </c>
    </row>
    <row r="202" spans="1:15" ht="17.399999999999999" x14ac:dyDescent="0.3">
      <c r="A202" s="260" t="s">
        <v>443</v>
      </c>
      <c r="B202" s="356">
        <v>0</v>
      </c>
      <c r="C202" s="356">
        <v>1.31E-5</v>
      </c>
      <c r="D202" s="356">
        <v>7.0899999999999999E-6</v>
      </c>
      <c r="E202" s="356">
        <v>1.49E-5</v>
      </c>
      <c r="F202" s="357"/>
      <c r="G202" s="356">
        <v>0</v>
      </c>
      <c r="H202" s="356">
        <v>6.0800000000000002E-6</v>
      </c>
      <c r="I202" s="356">
        <v>0</v>
      </c>
      <c r="J202" s="356">
        <v>5.7300000000000002E-6</v>
      </c>
      <c r="K202" s="356"/>
      <c r="L202" s="356">
        <v>0</v>
      </c>
      <c r="M202" s="356">
        <v>6.7000000000000002E-6</v>
      </c>
      <c r="N202" s="356">
        <v>1.8699999999999999E-8</v>
      </c>
      <c r="O202" s="356">
        <v>5.8000000000000004E-6</v>
      </c>
    </row>
    <row r="203" spans="1:15" ht="17.399999999999999" x14ac:dyDescent="0.3">
      <c r="A203" s="260" t="s">
        <v>410</v>
      </c>
      <c r="B203" s="356">
        <v>6.8146999999999999E-3</v>
      </c>
      <c r="C203" s="356">
        <v>1.4479E-3</v>
      </c>
      <c r="D203" s="356">
        <v>6.4928E-3</v>
      </c>
      <c r="E203" s="356">
        <v>7.1429999999999996E-4</v>
      </c>
      <c r="F203" s="357"/>
      <c r="G203" s="356">
        <v>1.9738999999999998E-3</v>
      </c>
      <c r="H203" s="356">
        <v>1.1616E-3</v>
      </c>
      <c r="I203" s="356">
        <v>2.8400000000000002E-4</v>
      </c>
      <c r="J203" s="356">
        <v>4.2999999999999999E-4</v>
      </c>
      <c r="K203" s="356"/>
      <c r="L203" s="356">
        <v>1.7059E-3</v>
      </c>
      <c r="M203" s="356">
        <v>6.8380000000000003E-4</v>
      </c>
      <c r="N203" s="356">
        <v>4.4969999999999998E-4</v>
      </c>
      <c r="O203" s="356">
        <v>2.4689999999999998E-4</v>
      </c>
    </row>
    <row r="204" spans="1:15" ht="17.399999999999999" x14ac:dyDescent="0.3">
      <c r="A204" s="260" t="s">
        <v>381</v>
      </c>
      <c r="B204" s="356">
        <v>0</v>
      </c>
      <c r="C204" s="356">
        <v>1.6699999999999999E-5</v>
      </c>
      <c r="D204" s="356">
        <v>0</v>
      </c>
      <c r="E204" s="356">
        <v>1.5500000000000001E-5</v>
      </c>
      <c r="F204" s="357"/>
      <c r="G204" s="356">
        <v>0</v>
      </c>
      <c r="H204" s="356">
        <v>1.5999999999999999E-5</v>
      </c>
      <c r="I204" s="356">
        <v>0</v>
      </c>
      <c r="J204" s="356">
        <v>1.2E-5</v>
      </c>
      <c r="K204" s="356"/>
      <c r="L204" s="356">
        <v>0</v>
      </c>
      <c r="M204" s="356">
        <v>4.6999999999999999E-6</v>
      </c>
      <c r="N204" s="356">
        <v>0</v>
      </c>
      <c r="O204" s="356">
        <v>3.1300000000000001E-6</v>
      </c>
    </row>
    <row r="205" spans="1:15" ht="17.399999999999999" x14ac:dyDescent="0.3">
      <c r="A205" s="260" t="s">
        <v>337</v>
      </c>
      <c r="B205" s="356">
        <v>9.7418999999999995E-3</v>
      </c>
      <c r="C205" s="356">
        <v>1.8159000000000001E-3</v>
      </c>
      <c r="D205" s="356">
        <v>9.4919999999999998E-4</v>
      </c>
      <c r="E205" s="356">
        <v>3.8010000000000002E-4</v>
      </c>
      <c r="F205" s="357"/>
      <c r="G205" s="356">
        <v>1.1897400000000001E-2</v>
      </c>
      <c r="H205" s="356">
        <v>3.5098E-3</v>
      </c>
      <c r="I205" s="356">
        <v>3.613E-4</v>
      </c>
      <c r="J205" s="356">
        <v>6.7159999999999995E-4</v>
      </c>
      <c r="K205" s="356"/>
      <c r="L205" s="356">
        <v>4.2659999999999998E-3</v>
      </c>
      <c r="M205" s="356">
        <v>1.0560000000000001E-3</v>
      </c>
      <c r="N205" s="356">
        <v>3.7839999999999998E-4</v>
      </c>
      <c r="O205" s="356">
        <v>1.1400000000000001E-4</v>
      </c>
    </row>
    <row r="206" spans="1:15" ht="17.399999999999999" x14ac:dyDescent="0.3">
      <c r="A206" s="260" t="s">
        <v>371</v>
      </c>
      <c r="B206" s="356">
        <v>0</v>
      </c>
      <c r="C206" s="356">
        <v>1.49E-5</v>
      </c>
      <c r="D206" s="356">
        <v>0</v>
      </c>
      <c r="E206" s="356">
        <v>1.43E-5</v>
      </c>
      <c r="F206" s="357"/>
      <c r="G206" s="356">
        <v>0</v>
      </c>
      <c r="H206" s="356">
        <v>1.22E-5</v>
      </c>
      <c r="I206" s="356">
        <v>0</v>
      </c>
      <c r="J206" s="356">
        <v>9.3400000000000004E-6</v>
      </c>
      <c r="K206" s="356"/>
      <c r="L206" s="356">
        <v>0</v>
      </c>
      <c r="M206" s="356">
        <v>4.5499999999999996E-6</v>
      </c>
      <c r="N206" s="356">
        <v>0</v>
      </c>
      <c r="O206" s="356">
        <v>3.1999999999999999E-6</v>
      </c>
    </row>
    <row r="207" spans="1:15" ht="17.399999999999999" x14ac:dyDescent="0.3">
      <c r="A207" s="260" t="s">
        <v>367</v>
      </c>
      <c r="B207" s="356">
        <v>3.2299999999999999E-5</v>
      </c>
      <c r="C207" s="356">
        <v>4.8900000000000003E-5</v>
      </c>
      <c r="D207" s="356">
        <v>6.9760000000000004E-4</v>
      </c>
      <c r="E207" s="356">
        <v>1.9120000000000001E-4</v>
      </c>
      <c r="F207" s="357"/>
      <c r="G207" s="356">
        <v>0</v>
      </c>
      <c r="H207" s="356">
        <v>3.29E-5</v>
      </c>
      <c r="I207" s="356">
        <v>4.6499999999999999E-5</v>
      </c>
      <c r="J207" s="356">
        <v>1.042E-4</v>
      </c>
      <c r="K207" s="356"/>
      <c r="L207" s="356">
        <v>4.9100000000000004E-7</v>
      </c>
      <c r="M207" s="356">
        <v>2.3499999999999999E-5</v>
      </c>
      <c r="N207" s="356">
        <v>3.1999999999999999E-5</v>
      </c>
      <c r="O207" s="356">
        <v>7.0599999999999995E-5</v>
      </c>
    </row>
    <row r="208" spans="1:15" ht="17.399999999999999" x14ac:dyDescent="0.3">
      <c r="A208" s="260" t="s">
        <v>363</v>
      </c>
      <c r="B208" s="356">
        <v>1.03E-7</v>
      </c>
      <c r="C208" s="356">
        <v>1.5800000000000001E-5</v>
      </c>
      <c r="D208" s="356">
        <v>7.6199999999999997E-7</v>
      </c>
      <c r="E208" s="356">
        <v>1.5400000000000002E-5</v>
      </c>
      <c r="F208" s="357"/>
      <c r="G208" s="356">
        <v>0</v>
      </c>
      <c r="H208" s="356">
        <v>1.5099999999999999E-5</v>
      </c>
      <c r="I208" s="356">
        <v>0</v>
      </c>
      <c r="J208" s="356">
        <v>1.19E-5</v>
      </c>
      <c r="K208" s="356"/>
      <c r="L208" s="356">
        <v>0</v>
      </c>
      <c r="M208" s="356">
        <v>4.4000000000000002E-6</v>
      </c>
      <c r="N208" s="356">
        <v>0</v>
      </c>
      <c r="O208" s="356">
        <v>3.1300000000000001E-6</v>
      </c>
    </row>
    <row r="209" spans="1:15" ht="17.399999999999999" x14ac:dyDescent="0.3">
      <c r="A209" s="260" t="s">
        <v>515</v>
      </c>
      <c r="B209" s="356">
        <v>0</v>
      </c>
      <c r="C209" s="356">
        <v>0</v>
      </c>
      <c r="D209" s="356">
        <v>5.99E-8</v>
      </c>
      <c r="E209" s="356">
        <v>0</v>
      </c>
      <c r="F209" s="357"/>
      <c r="G209" s="356">
        <v>0</v>
      </c>
      <c r="H209" s="356">
        <v>0</v>
      </c>
      <c r="I209" s="356">
        <v>4.25E-6</v>
      </c>
      <c r="J209" s="356">
        <v>0</v>
      </c>
      <c r="K209" s="356"/>
      <c r="L209" s="356">
        <v>0</v>
      </c>
      <c r="M209" s="356">
        <v>0</v>
      </c>
      <c r="N209" s="356">
        <v>0</v>
      </c>
      <c r="O209" s="356">
        <v>0</v>
      </c>
    </row>
    <row r="210" spans="1:15" ht="17.399999999999999" x14ac:dyDescent="0.3">
      <c r="A210" s="260" t="s">
        <v>514</v>
      </c>
      <c r="B210" s="356">
        <v>7.0010000000000005E-4</v>
      </c>
      <c r="C210" s="356">
        <v>3.589E-4</v>
      </c>
      <c r="D210" s="356">
        <v>4.4299999999999999E-5</v>
      </c>
      <c r="E210" s="356">
        <v>2.399E-4</v>
      </c>
      <c r="F210" s="357"/>
      <c r="G210" s="356">
        <v>1.3630000000000001E-4</v>
      </c>
      <c r="H210" s="356">
        <v>2.4220000000000001E-4</v>
      </c>
      <c r="I210" s="356">
        <v>1.4679999999999999E-4</v>
      </c>
      <c r="J210" s="356">
        <v>1.159E-4</v>
      </c>
      <c r="K210" s="356"/>
      <c r="L210" s="356">
        <v>2.8850000000000002E-4</v>
      </c>
      <c r="M210" s="356">
        <v>2.4059999999999999E-4</v>
      </c>
      <c r="N210" s="356">
        <v>2.3230000000000001E-4</v>
      </c>
      <c r="O210" s="356">
        <v>1.3770000000000001E-4</v>
      </c>
    </row>
    <row r="211" spans="1:15" ht="17.399999999999999" x14ac:dyDescent="0.3">
      <c r="A211" s="260" t="s">
        <v>400</v>
      </c>
      <c r="B211" s="356">
        <v>1.72E-6</v>
      </c>
      <c r="C211" s="356">
        <v>2.9600000000000001E-5</v>
      </c>
      <c r="D211" s="356">
        <v>1.259E-4</v>
      </c>
      <c r="E211" s="356">
        <v>1.6550000000000001E-4</v>
      </c>
      <c r="F211" s="357"/>
      <c r="G211" s="356">
        <v>0</v>
      </c>
      <c r="H211" s="356">
        <v>1.6399999999999999E-5</v>
      </c>
      <c r="I211" s="356">
        <v>1.36E-5</v>
      </c>
      <c r="J211" s="356">
        <v>8.0400000000000003E-5</v>
      </c>
      <c r="K211" s="356"/>
      <c r="L211" s="356">
        <v>4.2300000000000002E-6</v>
      </c>
      <c r="M211" s="356">
        <v>2.0000000000000002E-5</v>
      </c>
      <c r="N211" s="356">
        <v>9.0600000000000007E-5</v>
      </c>
      <c r="O211" s="356">
        <v>8.5099999999999995E-5</v>
      </c>
    </row>
    <row r="212" spans="1:15" ht="17.399999999999999" x14ac:dyDescent="0.3">
      <c r="A212" s="260" t="s">
        <v>504</v>
      </c>
      <c r="B212" s="356">
        <v>4.2400000000000001E-5</v>
      </c>
      <c r="C212" s="356">
        <v>7.3499999999999998E-5</v>
      </c>
      <c r="D212" s="356">
        <v>2.3499999999999999E-5</v>
      </c>
      <c r="E212" s="356">
        <v>1.076E-4</v>
      </c>
      <c r="F212" s="357"/>
      <c r="G212" s="356">
        <v>3.9400000000000004E-6</v>
      </c>
      <c r="H212" s="356">
        <v>5.0000000000000002E-5</v>
      </c>
      <c r="I212" s="356">
        <v>7.08E-6</v>
      </c>
      <c r="J212" s="356">
        <v>5.5399999999999998E-5</v>
      </c>
      <c r="K212" s="356"/>
      <c r="L212" s="356">
        <v>6.7900000000000002E-6</v>
      </c>
      <c r="M212" s="356">
        <v>3.4799999999999999E-5</v>
      </c>
      <c r="N212" s="356">
        <v>1.0000000000000001E-5</v>
      </c>
      <c r="O212" s="356">
        <v>3.9199999999999997E-5</v>
      </c>
    </row>
    <row r="213" spans="1:15" ht="17.399999999999999" x14ac:dyDescent="0.3">
      <c r="A213" s="260" t="s">
        <v>463</v>
      </c>
      <c r="B213" s="356">
        <v>2.96E-6</v>
      </c>
      <c r="C213" s="356">
        <v>2.65E-5</v>
      </c>
      <c r="D213" s="356">
        <v>8.3500000000000005E-7</v>
      </c>
      <c r="E213" s="356">
        <v>5.7099999999999999E-5</v>
      </c>
      <c r="F213" s="357"/>
      <c r="G213" s="356">
        <v>0</v>
      </c>
      <c r="H213" s="356">
        <v>1.5400000000000002E-5</v>
      </c>
      <c r="I213" s="356">
        <v>1.46E-6</v>
      </c>
      <c r="J213" s="356">
        <v>2.7900000000000001E-5</v>
      </c>
      <c r="K213" s="356"/>
      <c r="L213" s="356">
        <v>2.8799999999999998E-7</v>
      </c>
      <c r="M213" s="356">
        <v>1.3499999999999999E-5</v>
      </c>
      <c r="N213" s="356">
        <v>1.49E-5</v>
      </c>
      <c r="O213" s="356">
        <v>2.2200000000000001E-5</v>
      </c>
    </row>
    <row r="214" spans="1:15" ht="17.399999999999999" x14ac:dyDescent="0.3">
      <c r="A214" s="260" t="s">
        <v>403</v>
      </c>
      <c r="B214" s="356">
        <v>3.3000000000000002E-6</v>
      </c>
      <c r="C214" s="356">
        <v>2.0800000000000001E-5</v>
      </c>
      <c r="D214" s="356">
        <v>2.0699999999999998E-5</v>
      </c>
      <c r="E214" s="356">
        <v>3.7100000000000001E-5</v>
      </c>
      <c r="F214" s="357"/>
      <c r="G214" s="356">
        <v>0</v>
      </c>
      <c r="H214" s="356">
        <v>1.0499999999999999E-5</v>
      </c>
      <c r="I214" s="356">
        <v>9.4900000000000006E-6</v>
      </c>
      <c r="J214" s="356">
        <v>1.63E-5</v>
      </c>
      <c r="K214" s="356"/>
      <c r="L214" s="356">
        <v>7.1500000000000004E-7</v>
      </c>
      <c r="M214" s="356">
        <v>1.2500000000000001E-5</v>
      </c>
      <c r="N214" s="356">
        <v>2.0999999999999998E-6</v>
      </c>
      <c r="O214" s="356">
        <v>1.7E-5</v>
      </c>
    </row>
    <row r="215" spans="1:15" ht="17.399999999999999" x14ac:dyDescent="0.3">
      <c r="A215" s="260" t="s">
        <v>440</v>
      </c>
      <c r="B215" s="356">
        <v>0</v>
      </c>
      <c r="C215" s="356">
        <v>0</v>
      </c>
      <c r="D215" s="356">
        <v>0</v>
      </c>
      <c r="E215" s="356">
        <v>0</v>
      </c>
      <c r="F215" s="357"/>
      <c r="G215" s="356">
        <v>0</v>
      </c>
      <c r="H215" s="356">
        <v>0</v>
      </c>
      <c r="I215" s="356">
        <v>0</v>
      </c>
      <c r="J215" s="356">
        <v>0</v>
      </c>
      <c r="K215" s="356"/>
      <c r="L215" s="356">
        <v>2.0899999999999999E-6</v>
      </c>
      <c r="M215" s="356">
        <v>0</v>
      </c>
      <c r="N215" s="356">
        <v>6.7600000000000004E-10</v>
      </c>
      <c r="O215" s="356">
        <v>0</v>
      </c>
    </row>
    <row r="216" spans="1:15" ht="17.399999999999999" x14ac:dyDescent="0.3">
      <c r="A216" s="260" t="s">
        <v>479</v>
      </c>
      <c r="B216" s="356">
        <v>1.3768999999999999E-3</v>
      </c>
      <c r="C216" s="356">
        <v>5.1329999999999995E-4</v>
      </c>
      <c r="D216" s="356">
        <v>6.7540000000000005E-4</v>
      </c>
      <c r="E216" s="356">
        <v>7.6869999999999998E-4</v>
      </c>
      <c r="F216" s="357"/>
      <c r="G216" s="356">
        <v>1.8450000000000001E-4</v>
      </c>
      <c r="H216" s="356">
        <v>3.5540000000000002E-4</v>
      </c>
      <c r="I216" s="356">
        <v>5.9699999999999998E-4</v>
      </c>
      <c r="J216" s="356">
        <v>3.9050000000000001E-4</v>
      </c>
      <c r="K216" s="356"/>
      <c r="L216" s="356">
        <v>1.1358E-3</v>
      </c>
      <c r="M216" s="356">
        <v>2.9980000000000002E-4</v>
      </c>
      <c r="N216" s="356">
        <v>1.0307000000000001E-3</v>
      </c>
      <c r="O216" s="356">
        <v>3.6840000000000001E-4</v>
      </c>
    </row>
    <row r="217" spans="1:15" ht="17.399999999999999" x14ac:dyDescent="0.3">
      <c r="A217" s="260" t="s">
        <v>458</v>
      </c>
      <c r="B217" s="356">
        <v>3.05E-6</v>
      </c>
      <c r="C217" s="356">
        <v>3.4799999999999999E-5</v>
      </c>
      <c r="D217" s="356">
        <v>2.7800000000000001E-5</v>
      </c>
      <c r="E217" s="356">
        <v>1.2669999999999999E-4</v>
      </c>
      <c r="F217" s="357"/>
      <c r="G217" s="356">
        <v>0</v>
      </c>
      <c r="H217" s="356">
        <v>2.16E-5</v>
      </c>
      <c r="I217" s="356">
        <v>1.0300000000000001E-6</v>
      </c>
      <c r="J217" s="356">
        <v>6.5599999999999995E-5</v>
      </c>
      <c r="K217" s="356"/>
      <c r="L217" s="356">
        <v>2.5699999999999999E-7</v>
      </c>
      <c r="M217" s="356">
        <v>1.7900000000000001E-5</v>
      </c>
      <c r="N217" s="356">
        <v>8.4499999999999994E-5</v>
      </c>
      <c r="O217" s="356">
        <v>5.0000000000000002E-5</v>
      </c>
    </row>
    <row r="218" spans="1:15" ht="17.399999999999999" x14ac:dyDescent="0.3">
      <c r="A218" s="260" t="s">
        <v>441</v>
      </c>
      <c r="B218" s="356">
        <v>0</v>
      </c>
      <c r="C218" s="356">
        <v>2.0100000000000001E-5</v>
      </c>
      <c r="D218" s="356">
        <v>1.86E-7</v>
      </c>
      <c r="E218" s="356">
        <v>2.27E-5</v>
      </c>
      <c r="F218" s="357"/>
      <c r="G218" s="356">
        <v>0</v>
      </c>
      <c r="H218" s="356">
        <v>3.0800000000000003E-5</v>
      </c>
      <c r="I218" s="356">
        <v>6.9500000000000002E-7</v>
      </c>
      <c r="J218" s="356">
        <v>3.01E-5</v>
      </c>
      <c r="K218" s="356"/>
      <c r="L218" s="356">
        <v>0</v>
      </c>
      <c r="M218" s="356">
        <v>4.34E-6</v>
      </c>
      <c r="N218" s="356">
        <v>0</v>
      </c>
      <c r="O218" s="356">
        <v>3.6500000000000002E-6</v>
      </c>
    </row>
    <row r="219" spans="1:15" ht="17.399999999999999" x14ac:dyDescent="0.3">
      <c r="A219" s="260" t="s">
        <v>467</v>
      </c>
      <c r="B219" s="356">
        <v>0</v>
      </c>
      <c r="C219" s="356">
        <v>0</v>
      </c>
      <c r="D219" s="356">
        <v>0</v>
      </c>
      <c r="E219" s="356">
        <v>0</v>
      </c>
      <c r="F219" s="357"/>
      <c r="G219" s="356">
        <v>0</v>
      </c>
      <c r="H219" s="356">
        <v>0</v>
      </c>
      <c r="I219" s="356">
        <v>0</v>
      </c>
      <c r="J219" s="356">
        <v>0</v>
      </c>
      <c r="K219" s="356"/>
      <c r="L219" s="356">
        <v>8.4200000000000003E-9</v>
      </c>
      <c r="M219" s="356">
        <v>0</v>
      </c>
      <c r="N219" s="356">
        <v>0</v>
      </c>
      <c r="O219" s="356">
        <v>0</v>
      </c>
    </row>
    <row r="220" spans="1:15" ht="17.399999999999999" x14ac:dyDescent="0.3">
      <c r="A220" s="260" t="s">
        <v>516</v>
      </c>
      <c r="B220" s="356">
        <v>8.2200000000000006E-5</v>
      </c>
      <c r="C220" s="356">
        <v>8.1600000000000005E-5</v>
      </c>
      <c r="D220" s="356">
        <v>3.6309999999999999E-4</v>
      </c>
      <c r="E220" s="356">
        <v>2.1000000000000001E-4</v>
      </c>
      <c r="F220" s="357"/>
      <c r="G220" s="356">
        <v>1.06E-6</v>
      </c>
      <c r="H220" s="356">
        <v>5.1600000000000001E-5</v>
      </c>
      <c r="I220" s="356">
        <v>2.5490000000000002E-4</v>
      </c>
      <c r="J220" s="356">
        <v>1.014E-4</v>
      </c>
      <c r="K220" s="356"/>
      <c r="L220" s="356">
        <v>3.3500000000000001E-5</v>
      </c>
      <c r="M220" s="356">
        <v>5.1999999999999997E-5</v>
      </c>
      <c r="N220" s="356">
        <v>1.2630000000000001E-4</v>
      </c>
      <c r="O220" s="356">
        <v>1.091E-4</v>
      </c>
    </row>
    <row r="221" spans="1:15" ht="17.399999999999999" x14ac:dyDescent="0.3">
      <c r="A221" s="260" t="s">
        <v>399</v>
      </c>
      <c r="B221" s="356">
        <v>2.05E-5</v>
      </c>
      <c r="C221" s="356">
        <v>4.5899999999999998E-5</v>
      </c>
      <c r="D221" s="356">
        <v>2.97E-5</v>
      </c>
      <c r="E221" s="356">
        <v>1.381E-4</v>
      </c>
      <c r="F221" s="357"/>
      <c r="G221" s="356">
        <v>2.4499999999999998E-7</v>
      </c>
      <c r="H221" s="356">
        <v>2.8399999999999999E-5</v>
      </c>
      <c r="I221" s="356">
        <v>3.15E-7</v>
      </c>
      <c r="J221" s="356">
        <v>6.6699999999999995E-5</v>
      </c>
      <c r="K221" s="356"/>
      <c r="L221" s="356">
        <v>6.9500000000000004E-6</v>
      </c>
      <c r="M221" s="356">
        <v>3.2799999999999998E-5</v>
      </c>
      <c r="N221" s="356">
        <v>2.2249999999999999E-4</v>
      </c>
      <c r="O221" s="356">
        <v>7.8200000000000003E-5</v>
      </c>
    </row>
    <row r="222" spans="1:15" ht="17.399999999999999" x14ac:dyDescent="0.3">
      <c r="A222" s="260" t="s">
        <v>456</v>
      </c>
      <c r="B222" s="356">
        <v>0</v>
      </c>
      <c r="C222" s="356">
        <v>1.01E-5</v>
      </c>
      <c r="D222" s="356">
        <v>2.5599999999999999E-5</v>
      </c>
      <c r="E222" s="356">
        <v>2.2500000000000001E-5</v>
      </c>
      <c r="F222" s="357"/>
      <c r="G222" s="356">
        <v>0</v>
      </c>
      <c r="H222" s="356">
        <v>3.1499999999999999E-6</v>
      </c>
      <c r="I222" s="356">
        <v>3.2599999999999998E-7</v>
      </c>
      <c r="J222" s="356">
        <v>8.8999999999999995E-6</v>
      </c>
      <c r="K222" s="356"/>
      <c r="L222" s="356">
        <v>0</v>
      </c>
      <c r="M222" s="356">
        <v>6.0900000000000001E-6</v>
      </c>
      <c r="N222" s="356">
        <v>6.0699999999999997E-7</v>
      </c>
      <c r="O222" s="356">
        <v>9.73E-6</v>
      </c>
    </row>
    <row r="223" spans="1:15" ht="17.399999999999999" x14ac:dyDescent="0.3">
      <c r="A223" s="260" t="s">
        <v>538</v>
      </c>
      <c r="B223" s="356">
        <v>3.1199999999999999E-7</v>
      </c>
      <c r="C223" s="356">
        <v>1.42E-5</v>
      </c>
      <c r="D223" s="356">
        <v>5.0800000000000002E-5</v>
      </c>
      <c r="E223" s="356">
        <v>2.73E-5</v>
      </c>
      <c r="F223" s="357"/>
      <c r="G223" s="356">
        <v>0</v>
      </c>
      <c r="H223" s="356">
        <v>5.6200000000000004E-6</v>
      </c>
      <c r="I223" s="356">
        <v>3.6699999999999999E-7</v>
      </c>
      <c r="J223" s="356">
        <v>1.0900000000000001E-5</v>
      </c>
      <c r="K223" s="356"/>
      <c r="L223" s="356">
        <v>0</v>
      </c>
      <c r="M223" s="356">
        <v>9.3000000000000007E-6</v>
      </c>
      <c r="N223" s="356">
        <v>9.7900000000000007E-7</v>
      </c>
      <c r="O223" s="356">
        <v>1.3200000000000001E-5</v>
      </c>
    </row>
    <row r="224" spans="1:15" ht="17.399999999999999" x14ac:dyDescent="0.3">
      <c r="A224" s="260" t="s">
        <v>415</v>
      </c>
      <c r="B224" s="356">
        <v>1.255E-3</v>
      </c>
      <c r="C224" s="356">
        <v>5.9369999999999996E-4</v>
      </c>
      <c r="D224" s="356">
        <v>2.3552E-3</v>
      </c>
      <c r="E224" s="356">
        <v>1.0912000000000001E-3</v>
      </c>
      <c r="F224" s="357"/>
      <c r="G224" s="356">
        <v>2.7060000000000002E-4</v>
      </c>
      <c r="H224" s="356">
        <v>4.1869999999999999E-4</v>
      </c>
      <c r="I224" s="356">
        <v>1.3366999999999999E-3</v>
      </c>
      <c r="J224" s="356">
        <v>5.6649999999999995E-4</v>
      </c>
      <c r="K224" s="356"/>
      <c r="L224" s="356">
        <v>9.3939999999999996E-4</v>
      </c>
      <c r="M224" s="356">
        <v>3.3429999999999999E-4</v>
      </c>
      <c r="N224" s="356">
        <v>1.2455999999999999E-3</v>
      </c>
      <c r="O224" s="356">
        <v>4.9280000000000005E-4</v>
      </c>
    </row>
    <row r="225" spans="1:15" ht="17.399999999999999" x14ac:dyDescent="0.3">
      <c r="A225" s="260" t="s">
        <v>411</v>
      </c>
      <c r="B225" s="356">
        <v>5.0099999999999998E-5</v>
      </c>
      <c r="C225" s="356">
        <v>6.6000000000000005E-5</v>
      </c>
      <c r="D225" s="356">
        <v>3.29E-5</v>
      </c>
      <c r="E225" s="356">
        <v>1.2180000000000001E-4</v>
      </c>
      <c r="F225" s="357"/>
      <c r="G225" s="356">
        <v>5.2000000000000002E-6</v>
      </c>
      <c r="H225" s="356">
        <v>4.4299999999999999E-5</v>
      </c>
      <c r="I225" s="356">
        <v>1.75E-6</v>
      </c>
      <c r="J225" s="356">
        <v>6.3299999999999994E-5</v>
      </c>
      <c r="K225" s="356"/>
      <c r="L225" s="356">
        <v>1.38E-5</v>
      </c>
      <c r="M225" s="356">
        <v>3.3500000000000001E-5</v>
      </c>
      <c r="N225" s="356">
        <v>6.8300000000000007E-5</v>
      </c>
      <c r="O225" s="356">
        <v>4.8000000000000001E-5</v>
      </c>
    </row>
    <row r="226" spans="1:15" ht="17.399999999999999" x14ac:dyDescent="0.3">
      <c r="A226" s="260" t="s">
        <v>556</v>
      </c>
      <c r="B226" s="356">
        <v>1.22E-6</v>
      </c>
      <c r="C226" s="356">
        <v>4.3300000000000002E-5</v>
      </c>
      <c r="D226" s="356">
        <v>0</v>
      </c>
      <c r="E226" s="356">
        <v>3.8999999999999999E-5</v>
      </c>
      <c r="F226" s="357"/>
      <c r="G226" s="356">
        <v>0</v>
      </c>
      <c r="H226" s="356">
        <v>1.6099999999999998E-5</v>
      </c>
      <c r="I226" s="356">
        <v>1.1199999999999999E-5</v>
      </c>
      <c r="J226" s="356">
        <v>1.11E-5</v>
      </c>
      <c r="K226" s="356"/>
      <c r="L226" s="356">
        <v>3.5599999999999998E-6</v>
      </c>
      <c r="M226" s="356">
        <v>2.2200000000000001E-5</v>
      </c>
      <c r="N226" s="356">
        <v>1.91E-5</v>
      </c>
      <c r="O226" s="356">
        <v>1.9899999999999999E-5</v>
      </c>
    </row>
    <row r="227" spans="1:15" ht="17.399999999999999" x14ac:dyDescent="0.3">
      <c r="A227" s="260" t="s">
        <v>442</v>
      </c>
      <c r="B227" s="356">
        <v>2.48E-6</v>
      </c>
      <c r="C227" s="356">
        <v>4.3800000000000001E-5</v>
      </c>
      <c r="D227" s="356">
        <v>0</v>
      </c>
      <c r="E227" s="356">
        <v>2.55E-5</v>
      </c>
      <c r="F227" s="357"/>
      <c r="G227" s="356">
        <v>0</v>
      </c>
      <c r="H227" s="356">
        <v>1.49E-5</v>
      </c>
      <c r="I227" s="356">
        <v>0</v>
      </c>
      <c r="J227" s="356">
        <v>5.5799999999999999E-6</v>
      </c>
      <c r="K227" s="356"/>
      <c r="L227" s="356">
        <v>0</v>
      </c>
      <c r="M227" s="356">
        <v>3.8999999999999999E-5</v>
      </c>
      <c r="N227" s="356">
        <v>0</v>
      </c>
      <c r="O227" s="356">
        <v>2.55E-5</v>
      </c>
    </row>
    <row r="228" spans="1:15" ht="17.399999999999999" x14ac:dyDescent="0.3">
      <c r="A228" s="260" t="s">
        <v>446</v>
      </c>
      <c r="B228" s="356">
        <v>0</v>
      </c>
      <c r="C228" s="356">
        <v>0</v>
      </c>
      <c r="D228" s="356">
        <v>0</v>
      </c>
      <c r="E228" s="356">
        <v>0</v>
      </c>
      <c r="F228" s="357"/>
      <c r="G228" s="356">
        <v>0</v>
      </c>
      <c r="H228" s="356">
        <v>0</v>
      </c>
      <c r="I228" s="356">
        <v>0</v>
      </c>
      <c r="J228" s="356">
        <v>0</v>
      </c>
      <c r="K228" s="356"/>
      <c r="L228" s="356">
        <v>0</v>
      </c>
      <c r="M228" s="356">
        <v>0</v>
      </c>
      <c r="N228" s="356">
        <v>0</v>
      </c>
      <c r="O228" s="356">
        <v>0</v>
      </c>
    </row>
    <row r="229" spans="1:15" ht="17.399999999999999" x14ac:dyDescent="0.3">
      <c r="A229" s="260" t="s">
        <v>262</v>
      </c>
      <c r="B229" s="356">
        <v>2.3538000000000001E-3</v>
      </c>
      <c r="C229" s="356">
        <v>1.8438E-3</v>
      </c>
      <c r="D229" s="356">
        <v>5.7059999999999999E-4</v>
      </c>
      <c r="E229" s="356">
        <v>7.1400000000000001E-4</v>
      </c>
      <c r="F229" s="357"/>
      <c r="G229" s="356">
        <v>2.8368E-3</v>
      </c>
      <c r="H229" s="356">
        <v>5.9290000000000005E-4</v>
      </c>
      <c r="I229" s="356">
        <v>5.8080000000000002E-4</v>
      </c>
      <c r="J229" s="356">
        <v>2.6190000000000002E-4</v>
      </c>
      <c r="K229" s="356"/>
      <c r="L229" s="356">
        <v>1.4587000000000001E-3</v>
      </c>
      <c r="M229" s="356">
        <v>9.2869999999999997E-4</v>
      </c>
      <c r="N229" s="356">
        <v>1.9599000000000001E-3</v>
      </c>
      <c r="O229" s="356">
        <v>5.6170000000000005E-4</v>
      </c>
    </row>
    <row r="230" spans="1:15" ht="17.399999999999999" x14ac:dyDescent="0.3">
      <c r="A230" s="260" t="s">
        <v>524</v>
      </c>
      <c r="B230" s="356">
        <v>0</v>
      </c>
      <c r="C230" s="356">
        <v>0</v>
      </c>
      <c r="D230" s="356">
        <v>0</v>
      </c>
      <c r="E230" s="356">
        <v>0</v>
      </c>
      <c r="F230" s="357"/>
      <c r="G230" s="356">
        <v>0</v>
      </c>
      <c r="H230" s="356">
        <v>0</v>
      </c>
      <c r="I230" s="356">
        <v>0</v>
      </c>
      <c r="J230" s="356">
        <v>0</v>
      </c>
      <c r="K230" s="356"/>
      <c r="L230" s="356">
        <v>0</v>
      </c>
      <c r="M230" s="356">
        <v>0</v>
      </c>
      <c r="N230" s="356">
        <v>0</v>
      </c>
      <c r="O230" s="356">
        <v>0</v>
      </c>
    </row>
    <row r="231" spans="1:15" ht="17.399999999999999" x14ac:dyDescent="0.3">
      <c r="A231" s="260" t="s">
        <v>523</v>
      </c>
      <c r="B231" s="356">
        <v>0</v>
      </c>
      <c r="C231" s="356">
        <v>0</v>
      </c>
      <c r="D231" s="356">
        <v>0</v>
      </c>
      <c r="E231" s="356">
        <v>0</v>
      </c>
      <c r="F231" s="357"/>
      <c r="G231" s="356">
        <v>0</v>
      </c>
      <c r="H231" s="356">
        <v>0</v>
      </c>
      <c r="I231" s="356">
        <v>0</v>
      </c>
      <c r="J231" s="356">
        <v>0</v>
      </c>
      <c r="K231" s="356"/>
      <c r="L231" s="356">
        <v>0</v>
      </c>
      <c r="M231" s="356">
        <v>0</v>
      </c>
      <c r="N231" s="356">
        <v>0</v>
      </c>
      <c r="O231" s="356">
        <v>0</v>
      </c>
    </row>
    <row r="232" spans="1:15" ht="17.399999999999999" x14ac:dyDescent="0.3">
      <c r="A232" s="260" t="s">
        <v>496</v>
      </c>
      <c r="B232" s="356">
        <v>0</v>
      </c>
      <c r="C232" s="356">
        <v>0</v>
      </c>
      <c r="D232" s="356">
        <v>0</v>
      </c>
      <c r="E232" s="356">
        <v>0</v>
      </c>
      <c r="F232" s="357"/>
      <c r="G232" s="356">
        <v>4.3900000000000003E-6</v>
      </c>
      <c r="H232" s="356">
        <v>0</v>
      </c>
      <c r="I232" s="356">
        <v>8.6300000000000004E-7</v>
      </c>
      <c r="J232" s="356">
        <v>0</v>
      </c>
      <c r="K232" s="356"/>
      <c r="L232" s="356">
        <v>0</v>
      </c>
      <c r="M232" s="356">
        <v>0</v>
      </c>
      <c r="N232" s="356">
        <v>0</v>
      </c>
      <c r="O232" s="356">
        <v>0</v>
      </c>
    </row>
    <row r="233" spans="1:15" ht="17.399999999999999" x14ac:dyDescent="0.3">
      <c r="A233" s="260" t="s">
        <v>260</v>
      </c>
      <c r="B233" s="356">
        <v>6.0000000000000002E-5</v>
      </c>
      <c r="C233" s="356">
        <v>2.1029999999999999E-4</v>
      </c>
      <c r="D233" s="356">
        <v>3.0199999999999999E-5</v>
      </c>
      <c r="E233" s="356">
        <v>5.3699999999999997E-5</v>
      </c>
      <c r="F233" s="357"/>
      <c r="G233" s="356">
        <v>7.2499999999999995E-4</v>
      </c>
      <c r="H233" s="356">
        <v>7.3999999999999996E-5</v>
      </c>
      <c r="I233" s="356">
        <v>1.5E-5</v>
      </c>
      <c r="J233" s="356">
        <v>1.95E-5</v>
      </c>
      <c r="K233" s="356"/>
      <c r="L233" s="356">
        <v>3.57E-5</v>
      </c>
      <c r="M233" s="356">
        <v>1.7569999999999999E-4</v>
      </c>
      <c r="N233" s="356">
        <v>0</v>
      </c>
      <c r="O233" s="356">
        <v>6.6199999999999996E-5</v>
      </c>
    </row>
    <row r="234" spans="1:15" ht="17.399999999999999" x14ac:dyDescent="0.3">
      <c r="A234" s="260" t="s">
        <v>264</v>
      </c>
      <c r="B234" s="356">
        <v>8.4369999999999996E-4</v>
      </c>
      <c r="C234" s="356">
        <v>1.4254000000000001E-3</v>
      </c>
      <c r="D234" s="356">
        <v>1.00815E-2</v>
      </c>
      <c r="E234" s="356">
        <v>2.4888000000000002E-3</v>
      </c>
      <c r="F234" s="357"/>
      <c r="G234" s="356">
        <v>5.6099999999999998E-4</v>
      </c>
      <c r="H234" s="356">
        <v>4.973E-4</v>
      </c>
      <c r="I234" s="356">
        <v>4.9658999999999997E-3</v>
      </c>
      <c r="J234" s="356">
        <v>9.810000000000001E-4</v>
      </c>
      <c r="K234" s="356"/>
      <c r="L234" s="356">
        <v>4.1009999999999996E-3</v>
      </c>
      <c r="M234" s="356">
        <v>7.6389999999999997E-4</v>
      </c>
      <c r="N234" s="356">
        <v>4.6243999999999999E-3</v>
      </c>
      <c r="O234" s="356">
        <v>2.0400000000000001E-3</v>
      </c>
    </row>
    <row r="235" spans="1:15" ht="17.399999999999999" x14ac:dyDescent="0.3">
      <c r="A235" s="260" t="s">
        <v>426</v>
      </c>
      <c r="B235" s="356">
        <v>0</v>
      </c>
      <c r="C235" s="356">
        <v>0</v>
      </c>
      <c r="D235" s="356">
        <v>0</v>
      </c>
      <c r="E235" s="356">
        <v>0</v>
      </c>
      <c r="F235" s="357"/>
      <c r="G235" s="356">
        <v>0</v>
      </c>
      <c r="H235" s="356">
        <v>0</v>
      </c>
      <c r="I235" s="356">
        <v>0</v>
      </c>
      <c r="J235" s="356">
        <v>0</v>
      </c>
      <c r="K235" s="356"/>
      <c r="L235" s="356">
        <v>0</v>
      </c>
      <c r="M235" s="356">
        <v>0</v>
      </c>
      <c r="N235" s="356">
        <v>0</v>
      </c>
      <c r="O235" s="356">
        <v>0</v>
      </c>
    </row>
    <row r="236" spans="1:15" ht="17.399999999999999" x14ac:dyDescent="0.3">
      <c r="A236" s="260" t="s">
        <v>425</v>
      </c>
      <c r="B236" s="356">
        <v>0</v>
      </c>
      <c r="C236" s="356">
        <v>0</v>
      </c>
      <c r="D236" s="356">
        <v>0</v>
      </c>
      <c r="E236" s="356">
        <v>0</v>
      </c>
      <c r="F236" s="357"/>
      <c r="G236" s="356">
        <v>0</v>
      </c>
      <c r="H236" s="356">
        <v>0</v>
      </c>
      <c r="I236" s="356">
        <v>0</v>
      </c>
      <c r="J236" s="356">
        <v>0</v>
      </c>
      <c r="K236" s="356"/>
      <c r="L236" s="356">
        <v>0</v>
      </c>
      <c r="M236" s="356">
        <v>0</v>
      </c>
      <c r="N236" s="356">
        <v>0</v>
      </c>
      <c r="O236" s="356">
        <v>0</v>
      </c>
    </row>
    <row r="237" spans="1:15" ht="17.399999999999999" x14ac:dyDescent="0.3">
      <c r="A237" s="260" t="s">
        <v>416</v>
      </c>
      <c r="B237" s="356">
        <v>0</v>
      </c>
      <c r="C237" s="356">
        <v>0</v>
      </c>
      <c r="D237" s="356">
        <v>0</v>
      </c>
      <c r="E237" s="356">
        <v>0</v>
      </c>
      <c r="F237" s="357"/>
      <c r="G237" s="356">
        <v>0</v>
      </c>
      <c r="H237" s="356">
        <v>0</v>
      </c>
      <c r="I237" s="356">
        <v>0</v>
      </c>
      <c r="J237" s="356">
        <v>0</v>
      </c>
      <c r="K237" s="356"/>
      <c r="L237" s="356">
        <v>0</v>
      </c>
      <c r="M237" s="356">
        <v>0</v>
      </c>
      <c r="N237" s="356">
        <v>0</v>
      </c>
      <c r="O237" s="356">
        <v>0</v>
      </c>
    </row>
    <row r="238" spans="1:15" ht="17.399999999999999" x14ac:dyDescent="0.3">
      <c r="A238" s="260" t="s">
        <v>413</v>
      </c>
      <c r="B238" s="356">
        <v>0</v>
      </c>
      <c r="C238" s="356">
        <v>0</v>
      </c>
      <c r="D238" s="356">
        <v>0</v>
      </c>
      <c r="E238" s="356">
        <v>0</v>
      </c>
      <c r="F238" s="357"/>
      <c r="G238" s="356">
        <v>2.5700000000000001E-5</v>
      </c>
      <c r="H238" s="356">
        <v>0</v>
      </c>
      <c r="I238" s="356">
        <v>1.5E-6</v>
      </c>
      <c r="J238" s="356">
        <v>0</v>
      </c>
      <c r="K238" s="356"/>
      <c r="L238" s="356">
        <v>1.2300000000000001E-5</v>
      </c>
      <c r="M238" s="356">
        <v>0</v>
      </c>
      <c r="N238" s="356">
        <v>5.8599999999999998E-7</v>
      </c>
      <c r="O238" s="356">
        <v>0</v>
      </c>
    </row>
    <row r="239" spans="1:15" ht="17.399999999999999" x14ac:dyDescent="0.3">
      <c r="A239" s="260" t="s">
        <v>376</v>
      </c>
      <c r="B239" s="356">
        <v>0</v>
      </c>
      <c r="C239" s="356">
        <v>0</v>
      </c>
      <c r="D239" s="356">
        <v>0</v>
      </c>
      <c r="E239" s="356">
        <v>0</v>
      </c>
      <c r="F239" s="357"/>
      <c r="G239" s="356">
        <v>0</v>
      </c>
      <c r="H239" s="356">
        <v>0</v>
      </c>
      <c r="I239" s="356">
        <v>0</v>
      </c>
      <c r="J239" s="356">
        <v>0</v>
      </c>
      <c r="K239" s="356"/>
      <c r="L239" s="356">
        <v>0</v>
      </c>
      <c r="M239" s="356">
        <v>0</v>
      </c>
      <c r="N239" s="356">
        <v>0</v>
      </c>
      <c r="O239" s="356">
        <v>0</v>
      </c>
    </row>
    <row r="240" spans="1:15" ht="17.399999999999999" x14ac:dyDescent="0.3">
      <c r="A240" s="260" t="s">
        <v>358</v>
      </c>
      <c r="B240" s="356">
        <v>1.6309E-3</v>
      </c>
      <c r="C240" s="356">
        <v>5.4927999999999999E-3</v>
      </c>
      <c r="D240" s="356">
        <v>1.2538E-3</v>
      </c>
      <c r="E240" s="356">
        <v>1.1286E-3</v>
      </c>
      <c r="F240" s="357"/>
      <c r="G240" s="356">
        <v>1.2296E-3</v>
      </c>
      <c r="H240" s="356">
        <v>1.0541999999999999E-3</v>
      </c>
      <c r="I240" s="356">
        <v>7.4870000000000004E-4</v>
      </c>
      <c r="J240" s="356">
        <v>2.098E-4</v>
      </c>
      <c r="K240" s="356"/>
      <c r="L240" s="356">
        <v>6.9306000000000003E-3</v>
      </c>
      <c r="M240" s="356">
        <v>5.0089999999999998E-4</v>
      </c>
      <c r="N240" s="356">
        <v>3.4380000000000001E-4</v>
      </c>
      <c r="O240" s="356">
        <v>9.2600000000000001E-5</v>
      </c>
    </row>
    <row r="241" spans="1:15" ht="17.399999999999999" x14ac:dyDescent="0.3">
      <c r="A241" s="260" t="s">
        <v>357</v>
      </c>
      <c r="B241" s="356">
        <v>0</v>
      </c>
      <c r="C241" s="356">
        <v>0</v>
      </c>
      <c r="D241" s="356">
        <v>0</v>
      </c>
      <c r="E241" s="356">
        <v>0</v>
      </c>
      <c r="F241" s="357"/>
      <c r="G241" s="356">
        <v>3.9829999999999998E-4</v>
      </c>
      <c r="H241" s="356">
        <v>0</v>
      </c>
      <c r="I241" s="356">
        <v>1.0179999999999999E-4</v>
      </c>
      <c r="J241" s="356">
        <v>0</v>
      </c>
      <c r="K241" s="356"/>
      <c r="L241" s="356">
        <v>1.429E-4</v>
      </c>
      <c r="M241" s="356">
        <v>0</v>
      </c>
      <c r="N241" s="356">
        <v>1.0300000000000001E-6</v>
      </c>
      <c r="O241" s="356">
        <v>0</v>
      </c>
    </row>
    <row r="242" spans="1:15" ht="17.399999999999999" x14ac:dyDescent="0.3">
      <c r="A242" s="260" t="s">
        <v>254</v>
      </c>
      <c r="B242" s="356">
        <v>3.4E-5</v>
      </c>
      <c r="C242" s="356">
        <v>8.2899999999999996E-5</v>
      </c>
      <c r="D242" s="356">
        <v>1.5400000000000001E-6</v>
      </c>
      <c r="E242" s="356">
        <v>3.3399999999999999E-5</v>
      </c>
      <c r="F242" s="357"/>
      <c r="G242" s="356">
        <v>0</v>
      </c>
      <c r="H242" s="356">
        <v>4.3800000000000001E-5</v>
      </c>
      <c r="I242" s="356">
        <v>4.9100000000000004E-7</v>
      </c>
      <c r="J242" s="356">
        <v>1.11E-5</v>
      </c>
      <c r="K242" s="356"/>
      <c r="L242" s="356">
        <v>3.4199999999999998E-5</v>
      </c>
      <c r="M242" s="356">
        <v>1.154E-4</v>
      </c>
      <c r="N242" s="356">
        <v>7.2200000000000003E-6</v>
      </c>
      <c r="O242" s="356">
        <v>2.9799999999999999E-5</v>
      </c>
    </row>
    <row r="243" spans="1:15" ht="18" thickBot="1" x14ac:dyDescent="0.35">
      <c r="A243" s="261" t="s">
        <v>561</v>
      </c>
      <c r="B243" s="358">
        <v>1.027E-4</v>
      </c>
      <c r="C243" s="358">
        <v>0</v>
      </c>
      <c r="D243" s="358">
        <v>1.5802500000000001E-2</v>
      </c>
      <c r="E243" s="358">
        <v>0</v>
      </c>
      <c r="F243" s="359"/>
      <c r="G243" s="358">
        <v>0</v>
      </c>
      <c r="H243" s="358">
        <v>0</v>
      </c>
      <c r="I243" s="358">
        <v>5.3509399999999999E-2</v>
      </c>
      <c r="J243" s="358">
        <v>0</v>
      </c>
      <c r="K243" s="358"/>
      <c r="L243" s="358">
        <v>7.8180000000000003E-4</v>
      </c>
      <c r="M243" s="358">
        <v>0</v>
      </c>
      <c r="N243" s="358">
        <v>1.7892000000000002E-2</v>
      </c>
      <c r="O243" s="358">
        <v>0</v>
      </c>
    </row>
    <row r="244" spans="1:15" ht="15.6" thickTop="1" x14ac:dyDescent="0.25"/>
  </sheetData>
  <mergeCells count="5">
    <mergeCell ref="L4:O4"/>
    <mergeCell ref="B4:E4"/>
    <mergeCell ref="G4:J4"/>
    <mergeCell ref="B1:F1"/>
    <mergeCell ref="A2:O2"/>
  </mergeCells>
  <phoneticPr fontId="13" type="noConversion"/>
  <pageMargins left="0.75000000000000011" right="0.75000000000000011" top="1" bottom="1" header="0.5" footer="0.5"/>
  <pageSetup paperSize="9" scale="50" fitToHeight="5" orientation="landscape" horizontalDpi="4294967292" verticalDpi="4294967292"/>
  <extLst>
    <ext xmlns:mx="http://schemas.microsoft.com/office/mac/excel/2008/main" uri="{64002731-A6B0-56B0-2670-7721B7C09600}">
      <mx:PLV Mode="0" OnePage="0" WScale="100"/>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B2:L21"/>
  <sheetViews>
    <sheetView zoomScale="70" zoomScaleNormal="70" zoomScalePageLayoutView="70" workbookViewId="0">
      <selection activeCell="B2" sqref="B2:J2"/>
    </sheetView>
  </sheetViews>
  <sheetFormatPr baseColWidth="10" defaultColWidth="10.7265625" defaultRowHeight="15.6" x14ac:dyDescent="0.3"/>
  <cols>
    <col min="1" max="1" width="10.7265625" style="522"/>
    <col min="2" max="2" width="36.54296875" style="522" customWidth="1"/>
    <col min="3" max="5" width="16.81640625" style="522" customWidth="1"/>
    <col min="6" max="11" width="16.7265625" style="522" customWidth="1"/>
    <col min="12" max="16384" width="10.7265625" style="522"/>
  </cols>
  <sheetData>
    <row r="2" spans="2:12" ht="24.6" x14ac:dyDescent="0.4">
      <c r="B2" s="734" t="s">
        <v>912</v>
      </c>
      <c r="C2" s="734"/>
      <c r="D2" s="734"/>
      <c r="E2" s="734"/>
      <c r="F2" s="734"/>
      <c r="G2" s="734"/>
      <c r="H2" s="734"/>
      <c r="I2" s="734"/>
      <c r="J2" s="734"/>
      <c r="K2" s="521"/>
      <c r="L2" s="521"/>
    </row>
    <row r="3" spans="2:12" ht="16.2" thickBot="1" x14ac:dyDescent="0.35">
      <c r="B3" s="523"/>
      <c r="C3" s="523"/>
      <c r="D3" s="523"/>
      <c r="E3" s="523"/>
      <c r="F3" s="523"/>
      <c r="G3" s="523"/>
      <c r="H3" s="523"/>
      <c r="I3" s="523"/>
      <c r="J3" s="523"/>
    </row>
    <row r="4" spans="2:12" ht="22.05" customHeight="1" x14ac:dyDescent="0.3">
      <c r="D4" s="546" t="s">
        <v>85</v>
      </c>
      <c r="E4" s="546" t="s">
        <v>86</v>
      </c>
      <c r="F4" s="546" t="s">
        <v>87</v>
      </c>
      <c r="G4" s="546" t="s">
        <v>88</v>
      </c>
      <c r="H4" s="546" t="s">
        <v>89</v>
      </c>
      <c r="I4" s="546" t="s">
        <v>90</v>
      </c>
      <c r="J4" s="546" t="s">
        <v>91</v>
      </c>
    </row>
    <row r="5" spans="2:12" s="526" customFormat="1" ht="85.05" customHeight="1" x14ac:dyDescent="0.3">
      <c r="B5" s="524"/>
      <c r="C5" s="524"/>
      <c r="D5" s="532" t="s">
        <v>848</v>
      </c>
      <c r="E5" s="532" t="s">
        <v>849</v>
      </c>
      <c r="F5" s="532" t="s">
        <v>290</v>
      </c>
      <c r="G5" s="532" t="s">
        <v>850</v>
      </c>
      <c r="H5" s="532" t="s">
        <v>851</v>
      </c>
      <c r="I5" s="532" t="s">
        <v>852</v>
      </c>
      <c r="J5" s="533" t="s">
        <v>853</v>
      </c>
    </row>
    <row r="6" spans="2:12" s="526" customFormat="1" ht="60" customHeight="1" x14ac:dyDescent="0.35">
      <c r="B6" s="553"/>
      <c r="C6" s="525"/>
      <c r="D6" s="531"/>
      <c r="E6" s="531"/>
      <c r="F6" s="532" t="s">
        <v>854</v>
      </c>
      <c r="G6" s="532" t="s">
        <v>855</v>
      </c>
      <c r="H6" s="524"/>
      <c r="I6" s="532" t="s">
        <v>856</v>
      </c>
      <c r="J6" s="525"/>
    </row>
    <row r="7" spans="2:12" ht="37.049999999999997" customHeight="1" x14ac:dyDescent="0.4">
      <c r="B7" s="554" t="s">
        <v>293</v>
      </c>
      <c r="C7" s="527"/>
      <c r="D7" s="534">
        <v>253</v>
      </c>
      <c r="E7" s="534">
        <v>889</v>
      </c>
      <c r="F7" s="534">
        <f>E7-D7</f>
        <v>636</v>
      </c>
      <c r="G7" s="535">
        <f>F7/E7</f>
        <v>0.7154105736782902</v>
      </c>
      <c r="H7" s="536">
        <v>5.5066410935091292E-2</v>
      </c>
      <c r="I7" s="534">
        <f>H7*F7</f>
        <v>35.022237354718065</v>
      </c>
      <c r="J7" s="537">
        <v>1.6590825582308386E-2</v>
      </c>
    </row>
    <row r="8" spans="2:12" ht="37.049999999999997" customHeight="1" x14ac:dyDescent="0.4">
      <c r="B8" s="554" t="s">
        <v>292</v>
      </c>
      <c r="C8" s="527"/>
      <c r="D8" s="538">
        <v>1151</v>
      </c>
      <c r="E8" s="538">
        <v>2081</v>
      </c>
      <c r="F8" s="538">
        <f>E8-D8</f>
        <v>930</v>
      </c>
      <c r="G8" s="539">
        <f>F8/E8</f>
        <v>0.44690052859202306</v>
      </c>
      <c r="H8" s="540">
        <v>6.5905112234429047E-2</v>
      </c>
      <c r="I8" s="538">
        <f>H8*F8</f>
        <v>61.291754378019014</v>
      </c>
      <c r="J8" s="541">
        <v>2.9035289670961285E-2</v>
      </c>
    </row>
    <row r="9" spans="2:12" ht="37.049999999999997" customHeight="1" x14ac:dyDescent="0.4">
      <c r="B9" s="554" t="s">
        <v>248</v>
      </c>
      <c r="C9" s="527"/>
      <c r="D9" s="538">
        <v>506</v>
      </c>
      <c r="E9" s="538">
        <v>1106</v>
      </c>
      <c r="F9" s="538">
        <f>E9-D9</f>
        <v>600</v>
      </c>
      <c r="G9" s="539">
        <f>F9/E9</f>
        <v>0.54249547920433994</v>
      </c>
      <c r="H9" s="540">
        <v>0.16987066474894388</v>
      </c>
      <c r="I9" s="538">
        <f>H9*F9</f>
        <v>101.92239884936633</v>
      </c>
      <c r="J9" s="541">
        <v>4.8282944493621957E-2</v>
      </c>
    </row>
    <row r="10" spans="2:12" ht="37.049999999999997" customHeight="1" thickBot="1" x14ac:dyDescent="0.45">
      <c r="B10" s="555" t="s">
        <v>102</v>
      </c>
      <c r="C10" s="528"/>
      <c r="D10" s="542">
        <f>SUM(D7:D9)</f>
        <v>1910</v>
      </c>
      <c r="E10" s="542">
        <f>SUM(E7:E9)</f>
        <v>4076</v>
      </c>
      <c r="F10" s="542">
        <f>SUM(F7:F9)</f>
        <v>2166</v>
      </c>
      <c r="G10" s="543">
        <f>F10/E10</f>
        <v>0.53140333660451422</v>
      </c>
      <c r="H10" s="544">
        <f>I10/F10</f>
        <v>9.1521879308450335E-2</v>
      </c>
      <c r="I10" s="542">
        <f>SUM(I7:I9)</f>
        <v>198.23639058210341</v>
      </c>
      <c r="J10" s="545">
        <v>9.3909059746891621E-2</v>
      </c>
      <c r="L10" s="529"/>
    </row>
    <row r="11" spans="2:12" ht="17.399999999999999" x14ac:dyDescent="0.3">
      <c r="B11" s="530"/>
      <c r="C11" s="530"/>
      <c r="D11" s="530"/>
      <c r="E11" s="530"/>
      <c r="F11" s="530"/>
      <c r="G11" s="530"/>
      <c r="H11" s="530"/>
      <c r="I11" s="530"/>
      <c r="J11" s="530"/>
      <c r="K11" s="530"/>
    </row>
    <row r="12" spans="2:12" ht="17.399999999999999" x14ac:dyDescent="0.3">
      <c r="B12" s="530"/>
      <c r="C12" s="530"/>
      <c r="D12" s="530"/>
      <c r="E12" s="530"/>
      <c r="F12" s="530"/>
      <c r="G12" s="530"/>
      <c r="H12" s="530"/>
      <c r="I12" s="530"/>
      <c r="J12" s="530"/>
      <c r="K12" s="530"/>
    </row>
    <row r="13" spans="2:12" ht="17.399999999999999" x14ac:dyDescent="0.3">
      <c r="D13" s="530"/>
      <c r="E13" s="530"/>
      <c r="F13" s="530"/>
      <c r="G13" s="530"/>
      <c r="H13" s="530"/>
      <c r="I13" s="530"/>
      <c r="J13" s="530"/>
      <c r="K13" s="530"/>
    </row>
    <row r="14" spans="2:12" ht="24.6" x14ac:dyDescent="0.4">
      <c r="B14" s="734" t="s">
        <v>913</v>
      </c>
      <c r="C14" s="734"/>
      <c r="D14" s="734"/>
      <c r="E14" s="734"/>
      <c r="F14" s="734"/>
      <c r="G14" s="734"/>
      <c r="H14" s="734"/>
      <c r="I14" s="734"/>
      <c r="J14" s="734"/>
      <c r="K14" s="551"/>
    </row>
    <row r="15" spans="2:12" ht="16.2" thickBot="1" x14ac:dyDescent="0.35">
      <c r="B15" s="523"/>
      <c r="C15" s="523"/>
      <c r="D15" s="523"/>
      <c r="E15" s="523"/>
      <c r="F15" s="523"/>
      <c r="G15" s="523"/>
      <c r="H15" s="523"/>
      <c r="I15" s="523"/>
      <c r="J15" s="523"/>
    </row>
    <row r="16" spans="2:12" ht="34.950000000000003" customHeight="1" x14ac:dyDescent="0.4">
      <c r="B16" s="547"/>
      <c r="C16" s="552">
        <v>2001</v>
      </c>
      <c r="D16" s="552">
        <v>2002</v>
      </c>
      <c r="E16" s="552">
        <v>2003</v>
      </c>
      <c r="F16" s="552">
        <v>2004</v>
      </c>
      <c r="G16" s="552">
        <v>2005</v>
      </c>
      <c r="H16" s="552">
        <v>2006</v>
      </c>
      <c r="I16" s="552">
        <v>2007</v>
      </c>
      <c r="J16" s="552">
        <v>2008</v>
      </c>
    </row>
    <row r="17" spans="2:12" ht="52.95" customHeight="1" x14ac:dyDescent="0.4">
      <c r="B17" s="548" t="s">
        <v>864</v>
      </c>
      <c r="C17" s="538">
        <v>47.215861365180217</v>
      </c>
      <c r="D17" s="538">
        <v>39.986762067385214</v>
      </c>
      <c r="E17" s="538">
        <v>52.079282246175296</v>
      </c>
      <c r="F17" s="538">
        <v>54.901575643207408</v>
      </c>
      <c r="G17" s="538">
        <v>55.518405234725712</v>
      </c>
      <c r="H17" s="538">
        <v>63.356068179955749</v>
      </c>
      <c r="I17" s="538">
        <v>66.872456685917385</v>
      </c>
      <c r="J17" s="538">
        <v>46.539437811413002</v>
      </c>
      <c r="L17" s="547"/>
    </row>
    <row r="18" spans="2:12" ht="52.95" customHeight="1" x14ac:dyDescent="0.4">
      <c r="B18" s="548" t="s">
        <v>862</v>
      </c>
      <c r="C18" s="538">
        <v>121.658</v>
      </c>
      <c r="D18" s="538">
        <v>96.528000000000006</v>
      </c>
      <c r="E18" s="538">
        <v>123.498</v>
      </c>
      <c r="F18" s="538">
        <v>134.54599999999999</v>
      </c>
      <c r="G18" s="538">
        <v>142.57400000000001</v>
      </c>
      <c r="H18" s="538">
        <v>166.745</v>
      </c>
      <c r="I18" s="538">
        <v>178.501</v>
      </c>
      <c r="J18" s="538">
        <v>119.709</v>
      </c>
    </row>
    <row r="19" spans="2:12" ht="52.95" customHeight="1" x14ac:dyDescent="0.4">
      <c r="B19" s="548" t="s">
        <v>861</v>
      </c>
      <c r="C19" s="538">
        <f t="shared" ref="C19:J19" si="0">C18-C17</f>
        <v>74.442138634819784</v>
      </c>
      <c r="D19" s="538">
        <f t="shared" si="0"/>
        <v>56.541237932614791</v>
      </c>
      <c r="E19" s="538">
        <f t="shared" si="0"/>
        <v>71.418717753824708</v>
      </c>
      <c r="F19" s="538">
        <f t="shared" si="0"/>
        <v>79.644424356792584</v>
      </c>
      <c r="G19" s="538">
        <f t="shared" si="0"/>
        <v>87.055594765274293</v>
      </c>
      <c r="H19" s="538">
        <f t="shared" si="0"/>
        <v>103.38893182004426</v>
      </c>
      <c r="I19" s="538">
        <f t="shared" si="0"/>
        <v>111.62854331408262</v>
      </c>
      <c r="J19" s="538">
        <f t="shared" si="0"/>
        <v>73.169562188587008</v>
      </c>
    </row>
    <row r="20" spans="2:12" ht="52.95" customHeight="1" x14ac:dyDescent="0.4">
      <c r="B20" s="549" t="s">
        <v>865</v>
      </c>
      <c r="C20" s="540">
        <f t="shared" ref="C20:J20" si="1">C19/C18</f>
        <v>0.61189678142678483</v>
      </c>
      <c r="D20" s="540">
        <f t="shared" si="1"/>
        <v>0.58574960563375178</v>
      </c>
      <c r="E20" s="540">
        <f t="shared" si="1"/>
        <v>0.57829857774073024</v>
      </c>
      <c r="F20" s="540">
        <f t="shared" si="1"/>
        <v>0.5919494028569604</v>
      </c>
      <c r="G20" s="540">
        <f t="shared" si="1"/>
        <v>0.61059937131085817</v>
      </c>
      <c r="H20" s="540">
        <f t="shared" si="1"/>
        <v>0.6200421710998486</v>
      </c>
      <c r="I20" s="540">
        <f t="shared" si="1"/>
        <v>0.62536648710137543</v>
      </c>
      <c r="J20" s="540">
        <f t="shared" si="1"/>
        <v>0.61122858088019283</v>
      </c>
    </row>
    <row r="21" spans="2:12" ht="52.95" customHeight="1" thickBot="1" x14ac:dyDescent="0.45">
      <c r="B21" s="550" t="s">
        <v>863</v>
      </c>
      <c r="C21" s="544">
        <v>4.7322568437325643E-2</v>
      </c>
      <c r="D21" s="544">
        <v>4.2551529144310637E-2</v>
      </c>
      <c r="E21" s="544">
        <v>3.8838182258769997E-2</v>
      </c>
      <c r="F21" s="544">
        <v>3.749105581864854E-2</v>
      </c>
      <c r="G21" s="544">
        <v>3.7703803904864448E-2</v>
      </c>
      <c r="H21" s="544">
        <v>3.7092288900233757E-2</v>
      </c>
      <c r="I21" s="544">
        <v>3.4540116104970965E-2</v>
      </c>
      <c r="J21" s="544">
        <v>3.466207575231272E-2</v>
      </c>
    </row>
  </sheetData>
  <mergeCells count="2">
    <mergeCell ref="B2:J2"/>
    <mergeCell ref="B14:J14"/>
  </mergeCells>
  <phoneticPr fontId="13" type="noConversion"/>
  <pageMargins left="0.75000000000000011" right="0.75000000000000011" top="1" bottom="1" header="0.5" footer="0.5"/>
  <pageSetup paperSize="9" scale="59" orientation="landscape" horizontalDpi="4294967292" verticalDpi="4294967292"/>
  <drawing r:id="rId1"/>
  <extLst>
    <ext xmlns:mx="http://schemas.microsoft.com/office/mac/excel/2008/main" uri="{64002731-A6B0-56B0-2670-7721B7C09600}">
      <mx:PLV Mode="0" OnePage="0" WScale="100"/>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AC252"/>
  <sheetViews>
    <sheetView tabSelected="1" zoomScale="70" zoomScaleNormal="70" zoomScalePageLayoutView="70" workbookViewId="0">
      <pane xSplit="1" ySplit="7" topLeftCell="B8" activePane="bottomRight" state="frozen"/>
      <selection pane="topRight" activeCell="B1" sqref="B1"/>
      <selection pane="bottomLeft" activeCell="A9" sqref="A9"/>
      <selection pane="bottomRight" activeCell="T13" sqref="T13"/>
    </sheetView>
  </sheetViews>
  <sheetFormatPr baseColWidth="10" defaultColWidth="9.26953125" defaultRowHeight="13.2" x14ac:dyDescent="0.25"/>
  <cols>
    <col min="1" max="1" width="7.453125" style="9" hidden="1" customWidth="1"/>
    <col min="2" max="4" width="10.7265625" style="9" hidden="1" customWidth="1"/>
    <col min="5" max="5" width="11" style="9" hidden="1" customWidth="1"/>
    <col min="6" max="6" width="9" style="9" hidden="1" customWidth="1"/>
    <col min="7" max="8" width="8.7265625" style="9" hidden="1" customWidth="1"/>
    <col min="9" max="9" width="10.7265625" style="9" hidden="1" customWidth="1"/>
    <col min="10" max="10" width="8.1796875" style="9" hidden="1" customWidth="1"/>
    <col min="11" max="11" width="2.54296875" style="9" customWidth="1"/>
    <col min="12" max="23" width="11.81640625" style="9" customWidth="1"/>
    <col min="24" max="24" width="3.1796875" style="9" customWidth="1"/>
    <col min="25" max="16384" width="9.26953125" style="9"/>
  </cols>
  <sheetData>
    <row r="1" spans="1:29" ht="13.8" thickBot="1" x14ac:dyDescent="0.3">
      <c r="A1" s="163"/>
      <c r="B1" s="162"/>
      <c r="C1" s="161"/>
      <c r="D1" s="161"/>
      <c r="E1" s="161"/>
      <c r="F1" s="161"/>
      <c r="G1" s="161"/>
      <c r="H1" s="161"/>
      <c r="I1" s="161"/>
      <c r="J1" s="161"/>
      <c r="W1" s="15"/>
    </row>
    <row r="2" spans="1:29" customFormat="1" ht="49.95" customHeight="1" thickTop="1" x14ac:dyDescent="0.45">
      <c r="A2" s="9"/>
      <c r="B2" s="9"/>
      <c r="C2" s="9"/>
      <c r="D2" s="9"/>
      <c r="E2" s="9"/>
      <c r="F2" s="9"/>
      <c r="G2" s="9"/>
      <c r="H2" s="9"/>
      <c r="I2" s="9"/>
      <c r="J2" s="9"/>
      <c r="K2" s="13"/>
      <c r="L2" s="742" t="s">
        <v>914</v>
      </c>
      <c r="M2" s="743"/>
      <c r="N2" s="744"/>
      <c r="O2" s="744"/>
      <c r="P2" s="744"/>
      <c r="Q2" s="744"/>
      <c r="R2" s="744"/>
      <c r="S2" s="744"/>
      <c r="T2" s="744"/>
      <c r="U2" s="744"/>
      <c r="V2" s="744"/>
      <c r="W2" s="745"/>
    </row>
    <row r="3" spans="1:29" x14ac:dyDescent="0.25">
      <c r="K3" s="10"/>
      <c r="L3" s="18"/>
      <c r="M3" s="11" t="s">
        <v>85</v>
      </c>
      <c r="N3" s="11" t="s">
        <v>86</v>
      </c>
      <c r="O3" s="11" t="s">
        <v>87</v>
      </c>
      <c r="P3" s="11" t="s">
        <v>88</v>
      </c>
      <c r="Q3" s="11" t="s">
        <v>89</v>
      </c>
      <c r="R3" s="11" t="s">
        <v>90</v>
      </c>
      <c r="S3" s="11" t="s">
        <v>91</v>
      </c>
      <c r="T3" s="11" t="s">
        <v>92</v>
      </c>
      <c r="U3" s="11" t="s">
        <v>93</v>
      </c>
      <c r="V3" s="11" t="s">
        <v>94</v>
      </c>
      <c r="W3" s="37" t="s">
        <v>95</v>
      </c>
    </row>
    <row r="4" spans="1:29" ht="16.05" customHeight="1" thickBot="1" x14ac:dyDescent="0.3">
      <c r="K4" s="14"/>
      <c r="L4" s="18"/>
      <c r="M4" s="185"/>
      <c r="N4" s="746" t="s">
        <v>140</v>
      </c>
      <c r="O4" s="746"/>
      <c r="P4" s="746"/>
      <c r="Q4" s="746"/>
      <c r="R4" s="746"/>
      <c r="S4" s="746"/>
      <c r="T4" s="746"/>
      <c r="U4" s="747"/>
      <c r="V4" s="748"/>
      <c r="W4" s="417"/>
    </row>
    <row r="5" spans="1:29" ht="31.95" customHeight="1" x14ac:dyDescent="0.25">
      <c r="K5" s="10"/>
      <c r="L5" s="18"/>
      <c r="M5" s="735" t="s">
        <v>598</v>
      </c>
      <c r="N5" s="749" t="s">
        <v>582</v>
      </c>
      <c r="O5" s="752" t="s">
        <v>581</v>
      </c>
      <c r="P5" s="749" t="s">
        <v>580</v>
      </c>
      <c r="Q5" s="160"/>
      <c r="R5" s="160"/>
      <c r="S5" s="160"/>
      <c r="T5" s="160"/>
      <c r="U5" s="757" t="s">
        <v>579</v>
      </c>
      <c r="V5" s="760" t="s">
        <v>578</v>
      </c>
      <c r="W5" s="761" t="s">
        <v>577</v>
      </c>
    </row>
    <row r="6" spans="1:29" ht="25.05" customHeight="1" thickBot="1" x14ac:dyDescent="0.3">
      <c r="K6" s="10"/>
      <c r="L6" s="18"/>
      <c r="M6" s="736"/>
      <c r="N6" s="750"/>
      <c r="O6" s="753"/>
      <c r="P6" s="755"/>
      <c r="Q6" s="738" t="s">
        <v>576</v>
      </c>
      <c r="R6" s="740" t="s">
        <v>575</v>
      </c>
      <c r="S6" s="159"/>
      <c r="T6" s="158"/>
      <c r="U6" s="758"/>
      <c r="V6" s="755"/>
      <c r="W6" s="761"/>
    </row>
    <row r="7" spans="1:29" ht="27" thickBot="1" x14ac:dyDescent="0.3">
      <c r="K7" s="10"/>
      <c r="L7" s="19"/>
      <c r="M7" s="737"/>
      <c r="N7" s="751"/>
      <c r="O7" s="754"/>
      <c r="P7" s="756"/>
      <c r="Q7" s="739"/>
      <c r="R7" s="741"/>
      <c r="S7" s="157" t="s">
        <v>574</v>
      </c>
      <c r="T7" s="203" t="s">
        <v>573</v>
      </c>
      <c r="U7" s="759"/>
      <c r="V7" s="756"/>
      <c r="W7" s="762"/>
    </row>
    <row r="8" spans="1:29" x14ac:dyDescent="0.25">
      <c r="K8" s="10"/>
      <c r="L8" s="156">
        <v>1970</v>
      </c>
      <c r="M8" s="181">
        <v>14</v>
      </c>
      <c r="N8" s="153">
        <v>184.61704</v>
      </c>
      <c r="O8" s="154">
        <v>159.38301000000001</v>
      </c>
      <c r="P8" s="153">
        <v>21.633673999999999</v>
      </c>
      <c r="Q8" s="152">
        <v>0.86045711000000002</v>
      </c>
      <c r="R8" s="151">
        <v>20.773215</v>
      </c>
      <c r="S8" s="150">
        <v>13.198475999999999</v>
      </c>
      <c r="T8" s="149"/>
      <c r="U8" s="148">
        <v>3.6003559999999997</v>
      </c>
      <c r="V8" s="176">
        <v>2873.81654059022</v>
      </c>
      <c r="W8" s="177">
        <f t="shared" ref="W8:W46" si="0">O8/V8</f>
        <v>5.546039830617238E-2</v>
      </c>
    </row>
    <row r="9" spans="1:29" x14ac:dyDescent="0.25">
      <c r="K9" s="10"/>
      <c r="L9" s="156">
        <f t="shared" ref="L9:L46" si="1">L8+1</f>
        <v>1971</v>
      </c>
      <c r="M9" s="181">
        <v>20</v>
      </c>
      <c r="N9" s="153">
        <v>257.50610255999999</v>
      </c>
      <c r="O9" s="154">
        <v>225.68699443000003</v>
      </c>
      <c r="P9" s="153">
        <v>25.922380647000001</v>
      </c>
      <c r="Q9" s="152">
        <v>1.1980906200000001</v>
      </c>
      <c r="R9" s="151">
        <v>24.724289067000001</v>
      </c>
      <c r="S9" s="150">
        <v>14.475921216000001</v>
      </c>
      <c r="T9" s="149"/>
      <c r="U9" s="148">
        <v>5.8967274829999479</v>
      </c>
      <c r="V9" s="176">
        <v>3177.5316010095298</v>
      </c>
      <c r="W9" s="177">
        <f t="shared" si="0"/>
        <v>7.1025885111039425E-2</v>
      </c>
    </row>
    <row r="10" spans="1:29" x14ac:dyDescent="0.25">
      <c r="K10" s="10"/>
      <c r="L10" s="156">
        <f t="shared" si="1"/>
        <v>1972</v>
      </c>
      <c r="M10" s="181">
        <v>23</v>
      </c>
      <c r="N10" s="153">
        <v>309.59936167999996</v>
      </c>
      <c r="O10" s="154">
        <v>268.20753964999994</v>
      </c>
      <c r="P10" s="153">
        <v>33.790628561999995</v>
      </c>
      <c r="Q10" s="152">
        <v>1.41022987</v>
      </c>
      <c r="R10" s="151">
        <v>32.380402591999996</v>
      </c>
      <c r="S10" s="150">
        <v>16.445797138000003</v>
      </c>
      <c r="T10" s="149"/>
      <c r="U10" s="148">
        <v>7.6011934680000417</v>
      </c>
      <c r="V10" s="176">
        <v>3671.9819864363599</v>
      </c>
      <c r="W10" s="177">
        <f t="shared" si="0"/>
        <v>7.3041627284858773E-2</v>
      </c>
    </row>
    <row r="11" spans="1:29" x14ac:dyDescent="0.25">
      <c r="K11" s="10"/>
      <c r="L11" s="156">
        <f t="shared" si="1"/>
        <v>1973</v>
      </c>
      <c r="M11" s="181">
        <v>23</v>
      </c>
      <c r="N11" s="153">
        <v>424.89523181000004</v>
      </c>
      <c r="O11" s="154">
        <v>364.33756830999999</v>
      </c>
      <c r="P11" s="153">
        <v>49.740275382</v>
      </c>
      <c r="Q11" s="152">
        <v>1.5681824499999999</v>
      </c>
      <c r="R11" s="151">
        <v>48.172092742000004</v>
      </c>
      <c r="S11" s="150">
        <v>25.941071351999998</v>
      </c>
      <c r="T11" s="149"/>
      <c r="U11" s="148">
        <v>10.817388118000025</v>
      </c>
      <c r="V11" s="176">
        <v>4488.1505953264996</v>
      </c>
      <c r="W11" s="177">
        <f t="shared" si="0"/>
        <v>8.1177661170590804E-2</v>
      </c>
    </row>
    <row r="12" spans="1:29" x14ac:dyDescent="0.25">
      <c r="K12" s="10"/>
      <c r="L12" s="156">
        <f t="shared" si="1"/>
        <v>1974</v>
      </c>
      <c r="M12" s="181">
        <v>37</v>
      </c>
      <c r="N12" s="153">
        <v>597.04969229999995</v>
      </c>
      <c r="O12" s="154">
        <v>519.32204029000002</v>
      </c>
      <c r="P12" s="153">
        <v>64.21533229740001</v>
      </c>
      <c r="Q12" s="152">
        <v>1.4988017534</v>
      </c>
      <c r="R12" s="151">
        <v>62.716530349400003</v>
      </c>
      <c r="S12" s="150">
        <v>29.040370952999996</v>
      </c>
      <c r="T12" s="149"/>
      <c r="U12" s="148">
        <v>13.512319712600009</v>
      </c>
      <c r="V12" s="176">
        <v>5183.3352735508097</v>
      </c>
      <c r="W12" s="177">
        <f t="shared" si="0"/>
        <v>0.10019070981959495</v>
      </c>
    </row>
    <row r="13" spans="1:29" ht="14.4" x14ac:dyDescent="0.3">
      <c r="K13" s="10"/>
      <c r="L13" s="16">
        <f t="shared" si="1"/>
        <v>1975</v>
      </c>
      <c r="M13" s="182">
        <v>62</v>
      </c>
      <c r="N13" s="17">
        <v>898.55987483890749</v>
      </c>
      <c r="O13" s="34">
        <v>784.55356105706142</v>
      </c>
      <c r="P13" s="193">
        <v>78.415370669857197</v>
      </c>
      <c r="Q13" s="139">
        <v>2.9247488542663898</v>
      </c>
      <c r="R13" s="207">
        <f t="shared" ref="R13:R31" si="2">P13-Q13</f>
        <v>75.490621815590814</v>
      </c>
      <c r="S13" s="205">
        <v>24.961506046727536</v>
      </c>
      <c r="T13" s="140">
        <f t="shared" ref="T13:T31" si="3">R13-S13</f>
        <v>50.529115768863278</v>
      </c>
      <c r="U13" s="175">
        <f t="shared" ref="U13:U31" si="4">N13-O13-P13</f>
        <v>35.590943111988878</v>
      </c>
      <c r="V13" s="45">
        <v>5785.9511140642499</v>
      </c>
      <c r="W13" s="178">
        <f t="shared" si="0"/>
        <v>0.13559629965590292</v>
      </c>
      <c r="Y13" s="12"/>
      <c r="Z13" s="53"/>
      <c r="AA13" s="53"/>
      <c r="AB13" s="53"/>
      <c r="AC13" s="53"/>
    </row>
    <row r="14" spans="1:29" ht="14.4" x14ac:dyDescent="0.3">
      <c r="K14" s="10"/>
      <c r="L14" s="16">
        <f t="shared" si="1"/>
        <v>1976</v>
      </c>
      <c r="M14" s="182">
        <v>89</v>
      </c>
      <c r="N14" s="17">
        <v>1090.8694892388357</v>
      </c>
      <c r="O14" s="34">
        <v>958.00769849788253</v>
      </c>
      <c r="P14" s="193">
        <v>86.248113980951317</v>
      </c>
      <c r="Q14" s="139">
        <v>3.0341768941279184</v>
      </c>
      <c r="R14" s="207">
        <f t="shared" si="2"/>
        <v>83.213937086823393</v>
      </c>
      <c r="S14" s="205">
        <v>28.869481063512648</v>
      </c>
      <c r="T14" s="140">
        <f t="shared" si="3"/>
        <v>54.344456023310741</v>
      </c>
      <c r="U14" s="175">
        <f t="shared" si="4"/>
        <v>46.613676760001894</v>
      </c>
      <c r="V14" s="45">
        <v>6295.5027120951399</v>
      </c>
      <c r="W14" s="178">
        <f t="shared" si="0"/>
        <v>0.15217334378354325</v>
      </c>
      <c r="Y14" s="12"/>
      <c r="Z14" s="53"/>
      <c r="AA14" s="53"/>
      <c r="AB14" s="53"/>
      <c r="AC14" s="53"/>
    </row>
    <row r="15" spans="1:29" ht="14.4" x14ac:dyDescent="0.3">
      <c r="K15" s="10"/>
      <c r="L15" s="16">
        <f t="shared" si="1"/>
        <v>1977</v>
      </c>
      <c r="M15" s="182">
        <v>118</v>
      </c>
      <c r="N15" s="17">
        <v>1435.1299973931707</v>
      </c>
      <c r="O15" s="34">
        <v>1263.9508755958611</v>
      </c>
      <c r="P15" s="193">
        <v>108.22494004480031</v>
      </c>
      <c r="Q15" s="139">
        <v>5.6543463874282214</v>
      </c>
      <c r="R15" s="207">
        <f t="shared" si="2"/>
        <v>102.57059365737209</v>
      </c>
      <c r="S15" s="205">
        <v>30.452915045824902</v>
      </c>
      <c r="T15" s="140">
        <f t="shared" si="3"/>
        <v>72.117678611547177</v>
      </c>
      <c r="U15" s="175">
        <f t="shared" si="4"/>
        <v>62.954181752509257</v>
      </c>
      <c r="V15" s="45">
        <v>7120.43382419093</v>
      </c>
      <c r="W15" s="178">
        <f t="shared" si="0"/>
        <v>0.1775103746209564</v>
      </c>
      <c r="Y15" s="12"/>
      <c r="Z15" s="53"/>
      <c r="AA15" s="53"/>
      <c r="AB15" s="53"/>
      <c r="AC15" s="53"/>
    </row>
    <row r="16" spans="1:29" ht="14.4" x14ac:dyDescent="0.3">
      <c r="K16" s="10"/>
      <c r="L16" s="16">
        <f t="shared" si="1"/>
        <v>1978</v>
      </c>
      <c r="M16" s="182">
        <v>124</v>
      </c>
      <c r="N16" s="17">
        <v>1694.0812714539431</v>
      </c>
      <c r="O16" s="34">
        <v>1470.4501026949793</v>
      </c>
      <c r="P16" s="193">
        <v>146.33718259874112</v>
      </c>
      <c r="Q16" s="139">
        <v>7.7868047810072305</v>
      </c>
      <c r="R16" s="207">
        <f t="shared" si="2"/>
        <v>138.5503778177339</v>
      </c>
      <c r="S16" s="205">
        <v>37.789531775004576</v>
      </c>
      <c r="T16" s="140">
        <f t="shared" si="3"/>
        <v>100.76084604272933</v>
      </c>
      <c r="U16" s="175">
        <f t="shared" si="4"/>
        <v>77.293986160222772</v>
      </c>
      <c r="V16" s="45">
        <v>8396.4381559173089</v>
      </c>
      <c r="W16" s="178">
        <f t="shared" si="0"/>
        <v>0.17512784294834516</v>
      </c>
      <c r="Y16" s="12"/>
      <c r="Z16" s="53"/>
      <c r="AA16" s="53"/>
      <c r="AB16" s="53"/>
      <c r="AC16" s="53"/>
    </row>
    <row r="17" spans="11:29" ht="14.4" x14ac:dyDescent="0.3">
      <c r="K17" s="10"/>
      <c r="L17" s="16">
        <f t="shared" si="1"/>
        <v>1979</v>
      </c>
      <c r="M17" s="182">
        <v>129</v>
      </c>
      <c r="N17" s="17">
        <v>2192.7641473900057</v>
      </c>
      <c r="O17" s="34">
        <v>1869.1493886613016</v>
      </c>
      <c r="P17" s="193">
        <v>224.66831954216943</v>
      </c>
      <c r="Q17" s="139">
        <v>9.6827846009361664</v>
      </c>
      <c r="R17" s="207">
        <f t="shared" si="2"/>
        <v>214.98553494123325</v>
      </c>
      <c r="S17" s="205">
        <v>61.80532578752792</v>
      </c>
      <c r="T17" s="140">
        <f t="shared" si="3"/>
        <v>153.18020915370533</v>
      </c>
      <c r="U17" s="175">
        <f t="shared" si="4"/>
        <v>98.946439186534718</v>
      </c>
      <c r="V17" s="45">
        <v>9749.5601172885399</v>
      </c>
      <c r="W17" s="178">
        <f t="shared" si="0"/>
        <v>0.19171627911158853</v>
      </c>
      <c r="Y17" s="12"/>
      <c r="Z17" s="53"/>
      <c r="AA17" s="53"/>
      <c r="AB17" s="53"/>
      <c r="AC17" s="53"/>
    </row>
    <row r="18" spans="11:29" ht="14.4" x14ac:dyDescent="0.3">
      <c r="K18" s="10"/>
      <c r="L18" s="186">
        <f t="shared" si="1"/>
        <v>1980</v>
      </c>
      <c r="M18" s="187">
        <v>135</v>
      </c>
      <c r="N18" s="188">
        <v>2683.1741492133087</v>
      </c>
      <c r="O18" s="125">
        <v>2266.7699827959468</v>
      </c>
      <c r="P18" s="194">
        <v>299.452004654441</v>
      </c>
      <c r="Q18" s="142">
        <v>11.414181364930791</v>
      </c>
      <c r="R18" s="197">
        <f t="shared" si="2"/>
        <v>288.03782328951019</v>
      </c>
      <c r="S18" s="206">
        <v>61.890905827195148</v>
      </c>
      <c r="T18" s="189">
        <f t="shared" si="3"/>
        <v>226.14691746231503</v>
      </c>
      <c r="U18" s="191">
        <f t="shared" si="4"/>
        <v>116.95216176292092</v>
      </c>
      <c r="V18" s="201">
        <v>10964.040298290302</v>
      </c>
      <c r="W18" s="192">
        <f t="shared" si="0"/>
        <v>0.20674586385362154</v>
      </c>
      <c r="Y18" s="12"/>
      <c r="Z18" s="53"/>
      <c r="AA18" s="53"/>
      <c r="AB18" s="53"/>
      <c r="AC18" s="53"/>
    </row>
    <row r="19" spans="11:29" ht="14.4" x14ac:dyDescent="0.3">
      <c r="K19" s="10"/>
      <c r="L19" s="16">
        <f t="shared" si="1"/>
        <v>1981</v>
      </c>
      <c r="M19" s="182">
        <v>138</v>
      </c>
      <c r="N19" s="17">
        <v>2790.0645727121696</v>
      </c>
      <c r="O19" s="34">
        <v>2303.6569226608158</v>
      </c>
      <c r="P19" s="193">
        <v>369.53561165732259</v>
      </c>
      <c r="Q19" s="139">
        <v>10.510243638878125</v>
      </c>
      <c r="R19" s="207">
        <f t="shared" si="2"/>
        <v>359.02536801844445</v>
      </c>
      <c r="S19" s="205">
        <v>54.8257776187031</v>
      </c>
      <c r="T19" s="140">
        <f t="shared" si="3"/>
        <v>304.19959039974134</v>
      </c>
      <c r="U19" s="175">
        <f t="shared" si="4"/>
        <v>116.87203839403122</v>
      </c>
      <c r="V19" s="45">
        <v>11242.4615988841</v>
      </c>
      <c r="W19" s="178">
        <f t="shared" si="0"/>
        <v>0.20490680821088786</v>
      </c>
      <c r="Y19" s="12"/>
      <c r="Z19" s="53"/>
      <c r="AA19" s="53"/>
      <c r="AB19" s="53"/>
      <c r="AC19" s="53"/>
    </row>
    <row r="20" spans="11:29" ht="14.4" x14ac:dyDescent="0.3">
      <c r="K20" s="10"/>
      <c r="L20" s="16">
        <f t="shared" si="1"/>
        <v>1982</v>
      </c>
      <c r="M20" s="182">
        <v>142</v>
      </c>
      <c r="N20" s="17">
        <v>2679.1367074669793</v>
      </c>
      <c r="O20" s="34">
        <v>2189.3576047404727</v>
      </c>
      <c r="P20" s="193">
        <v>373.91625759692414</v>
      </c>
      <c r="Q20" s="139">
        <v>11.184350338552102</v>
      </c>
      <c r="R20" s="207">
        <f t="shared" si="2"/>
        <v>362.73190725837202</v>
      </c>
      <c r="S20" s="205">
        <v>45.960960828185947</v>
      </c>
      <c r="T20" s="140">
        <f t="shared" si="3"/>
        <v>316.77094643018609</v>
      </c>
      <c r="U20" s="175">
        <f t="shared" si="4"/>
        <v>115.86284512958247</v>
      </c>
      <c r="V20" s="45">
        <v>11135.6781723039</v>
      </c>
      <c r="W20" s="178">
        <f t="shared" si="0"/>
        <v>0.19660747831108599</v>
      </c>
      <c r="Y20" s="12"/>
      <c r="Z20" s="53"/>
      <c r="AA20" s="53"/>
      <c r="AB20" s="53"/>
      <c r="AC20" s="53"/>
    </row>
    <row r="21" spans="11:29" ht="14.4" x14ac:dyDescent="0.3">
      <c r="K21" s="10"/>
      <c r="L21" s="16">
        <f t="shared" si="1"/>
        <v>1983</v>
      </c>
      <c r="M21" s="182">
        <v>142</v>
      </c>
      <c r="N21" s="17">
        <v>2580.0629988500332</v>
      </c>
      <c r="O21" s="34">
        <v>2131.9608696352748</v>
      </c>
      <c r="P21" s="193">
        <v>331.51981478040778</v>
      </c>
      <c r="Q21" s="139">
        <v>11.203719241141266</v>
      </c>
      <c r="R21" s="207">
        <f t="shared" si="2"/>
        <v>320.31609553926654</v>
      </c>
      <c r="S21" s="205">
        <v>49.938599841798208</v>
      </c>
      <c r="T21" s="140">
        <f t="shared" si="3"/>
        <v>270.37749569746836</v>
      </c>
      <c r="U21" s="175">
        <f t="shared" si="4"/>
        <v>116.58231443435062</v>
      </c>
      <c r="V21" s="45">
        <v>11377.3297101594</v>
      </c>
      <c r="W21" s="178">
        <f t="shared" si="0"/>
        <v>0.18738675277482184</v>
      </c>
      <c r="Y21" s="12"/>
      <c r="Z21" s="53"/>
      <c r="AA21" s="53"/>
      <c r="AB21" s="53"/>
      <c r="AC21" s="53"/>
    </row>
    <row r="22" spans="11:29" ht="14.4" x14ac:dyDescent="0.3">
      <c r="K22" s="10"/>
      <c r="L22" s="16">
        <f t="shared" si="1"/>
        <v>1984</v>
      </c>
      <c r="M22" s="182">
        <v>144</v>
      </c>
      <c r="N22" s="17">
        <v>2732.154933889381</v>
      </c>
      <c r="O22" s="34">
        <v>2245.2681179667866</v>
      </c>
      <c r="P22" s="193">
        <v>367.69291249042095</v>
      </c>
      <c r="Q22" s="139">
        <v>10.556571447885208</v>
      </c>
      <c r="R22" s="207">
        <f t="shared" si="2"/>
        <v>357.13634104253572</v>
      </c>
      <c r="S22" s="205">
        <v>58.757276794276741</v>
      </c>
      <c r="T22" s="140">
        <f t="shared" si="3"/>
        <v>298.379064248259</v>
      </c>
      <c r="U22" s="175">
        <f t="shared" si="4"/>
        <v>119.1939034321735</v>
      </c>
      <c r="V22" s="45">
        <v>11813.1380903421</v>
      </c>
      <c r="W22" s="178">
        <f t="shared" si="0"/>
        <v>0.19006534087690202</v>
      </c>
      <c r="Y22" s="12"/>
      <c r="Z22" s="53"/>
      <c r="AA22" s="53"/>
      <c r="AB22" s="53"/>
      <c r="AC22" s="53"/>
    </row>
    <row r="23" spans="11:29" ht="14.4" x14ac:dyDescent="0.3">
      <c r="K23" s="10"/>
      <c r="L23" s="16">
        <f t="shared" si="1"/>
        <v>1985</v>
      </c>
      <c r="M23" s="182">
        <v>146</v>
      </c>
      <c r="N23" s="17">
        <v>2751.8428162255955</v>
      </c>
      <c r="O23" s="34">
        <v>2272.5873414379289</v>
      </c>
      <c r="P23" s="193">
        <v>356.65332769244191</v>
      </c>
      <c r="Q23" s="139">
        <v>10.549770872573387</v>
      </c>
      <c r="R23" s="207">
        <f t="shared" si="2"/>
        <v>346.10355681986852</v>
      </c>
      <c r="S23" s="205">
        <v>53.413411000208185</v>
      </c>
      <c r="T23" s="140">
        <f t="shared" si="3"/>
        <v>292.6901458196603</v>
      </c>
      <c r="U23" s="175">
        <f t="shared" si="4"/>
        <v>122.60214709522467</v>
      </c>
      <c r="V23" s="45">
        <v>12415.3119340536</v>
      </c>
      <c r="W23" s="178">
        <f t="shared" si="0"/>
        <v>0.18304713997596106</v>
      </c>
      <c r="Y23" s="12"/>
      <c r="Z23" s="53"/>
      <c r="AA23" s="53"/>
      <c r="AB23" s="53"/>
      <c r="AC23" s="53"/>
    </row>
    <row r="24" spans="11:29" ht="14.4" x14ac:dyDescent="0.3">
      <c r="K24" s="10"/>
      <c r="L24" s="16">
        <f t="shared" si="1"/>
        <v>1986</v>
      </c>
      <c r="M24" s="182">
        <v>148</v>
      </c>
      <c r="N24" s="17">
        <v>3055.8241631232631</v>
      </c>
      <c r="O24" s="34">
        <v>2518.7051829962193</v>
      </c>
      <c r="P24" s="193">
        <v>392.35797518149184</v>
      </c>
      <c r="Q24" s="139">
        <v>14.237311700410006</v>
      </c>
      <c r="R24" s="207">
        <f t="shared" si="2"/>
        <v>378.12066348108181</v>
      </c>
      <c r="S24" s="205">
        <v>63.783547911233285</v>
      </c>
      <c r="T24" s="140">
        <f t="shared" si="3"/>
        <v>314.33711556984849</v>
      </c>
      <c r="U24" s="175">
        <f t="shared" si="4"/>
        <v>144.76100494555203</v>
      </c>
      <c r="V24" s="45">
        <v>14670.889654496699</v>
      </c>
      <c r="W24" s="178">
        <f t="shared" si="0"/>
        <v>0.17168046671417939</v>
      </c>
      <c r="Y24" s="12"/>
      <c r="Z24" s="53"/>
      <c r="AA24" s="53"/>
      <c r="AB24" s="53"/>
      <c r="AC24" s="53"/>
    </row>
    <row r="25" spans="11:29" ht="14.4" x14ac:dyDescent="0.3">
      <c r="K25" s="10"/>
      <c r="L25" s="16">
        <f t="shared" si="1"/>
        <v>1987</v>
      </c>
      <c r="M25" s="182">
        <v>149</v>
      </c>
      <c r="N25" s="17">
        <v>3601.4419575787356</v>
      </c>
      <c r="O25" s="34">
        <v>2967.8427079335474</v>
      </c>
      <c r="P25" s="193">
        <v>460.66665085719728</v>
      </c>
      <c r="Q25" s="139">
        <v>16.835431125637289</v>
      </c>
      <c r="R25" s="207">
        <f t="shared" si="2"/>
        <v>443.83121973156</v>
      </c>
      <c r="S25" s="205">
        <v>84.400381315730272</v>
      </c>
      <c r="T25" s="140">
        <f t="shared" si="3"/>
        <v>359.43083841582973</v>
      </c>
      <c r="U25" s="175">
        <f t="shared" si="4"/>
        <v>172.93259878799086</v>
      </c>
      <c r="V25" s="45">
        <v>16670.007942078802</v>
      </c>
      <c r="W25" s="178">
        <f t="shared" si="0"/>
        <v>0.17803487066386173</v>
      </c>
      <c r="Y25" s="12"/>
      <c r="Z25" s="53"/>
      <c r="AA25" s="53"/>
      <c r="AB25" s="53"/>
      <c r="AC25" s="53"/>
    </row>
    <row r="26" spans="11:29" ht="14.4" x14ac:dyDescent="0.3">
      <c r="K26" s="10"/>
      <c r="L26" s="16">
        <f t="shared" si="1"/>
        <v>1988</v>
      </c>
      <c r="M26" s="182">
        <v>148</v>
      </c>
      <c r="N26" s="17">
        <v>4170.7670140537975</v>
      </c>
      <c r="O26" s="34">
        <v>3384.339133363032</v>
      </c>
      <c r="P26" s="193">
        <v>584.54230942107779</v>
      </c>
      <c r="Q26" s="139">
        <v>18.867644451989808</v>
      </c>
      <c r="R26" s="207">
        <f t="shared" si="2"/>
        <v>565.67466496908798</v>
      </c>
      <c r="S26" s="205">
        <v>112.34506623761695</v>
      </c>
      <c r="T26" s="140">
        <f t="shared" si="3"/>
        <v>453.32959873147104</v>
      </c>
      <c r="U26" s="175">
        <f t="shared" si="4"/>
        <v>201.88557126968772</v>
      </c>
      <c r="V26" s="45">
        <v>18645.810805048899</v>
      </c>
      <c r="W26" s="178">
        <f t="shared" si="0"/>
        <v>0.18150667561459022</v>
      </c>
      <c r="Y26" s="12"/>
      <c r="Z26" s="53"/>
      <c r="AA26" s="53"/>
      <c r="AB26" s="53"/>
      <c r="AC26" s="53"/>
    </row>
    <row r="27" spans="11:29" ht="14.4" x14ac:dyDescent="0.3">
      <c r="K27" s="10"/>
      <c r="L27" s="16">
        <f t="shared" si="1"/>
        <v>1989</v>
      </c>
      <c r="M27" s="182">
        <v>148</v>
      </c>
      <c r="N27" s="17">
        <v>4580.2171075149427</v>
      </c>
      <c r="O27" s="34">
        <v>3647.6599081205445</v>
      </c>
      <c r="P27" s="193">
        <v>717.24142169473726</v>
      </c>
      <c r="Q27" s="139">
        <v>20.73565362497807</v>
      </c>
      <c r="R27" s="207">
        <f t="shared" si="2"/>
        <v>696.50576806975914</v>
      </c>
      <c r="S27" s="205">
        <v>119.28857256750783</v>
      </c>
      <c r="T27" s="140">
        <f t="shared" si="3"/>
        <v>577.21719550225134</v>
      </c>
      <c r="U27" s="175">
        <f t="shared" si="4"/>
        <v>215.31577769966088</v>
      </c>
      <c r="V27" s="45">
        <v>19566.443769280802</v>
      </c>
      <c r="W27" s="178">
        <f t="shared" si="0"/>
        <v>0.1864242654992497</v>
      </c>
      <c r="Y27" s="12"/>
      <c r="Z27" s="53"/>
      <c r="AA27" s="53"/>
      <c r="AB27" s="53"/>
      <c r="AC27" s="53"/>
    </row>
    <row r="28" spans="11:29" ht="14.4" x14ac:dyDescent="0.3">
      <c r="K28" s="10"/>
      <c r="L28" s="186">
        <f t="shared" si="1"/>
        <v>1990</v>
      </c>
      <c r="M28" s="187">
        <v>147</v>
      </c>
      <c r="N28" s="188">
        <v>5366.444767591398</v>
      </c>
      <c r="O28" s="125">
        <v>4227.0113542471072</v>
      </c>
      <c r="P28" s="194">
        <v>870.40168248156021</v>
      </c>
      <c r="Q28" s="142">
        <v>24.612733420618799</v>
      </c>
      <c r="R28" s="197">
        <f t="shared" si="2"/>
        <v>845.78894906094138</v>
      </c>
      <c r="S28" s="206">
        <v>124.24429464525114</v>
      </c>
      <c r="T28" s="189">
        <f t="shared" si="3"/>
        <v>721.54465441569027</v>
      </c>
      <c r="U28" s="191">
        <f t="shared" si="4"/>
        <v>269.03173086273057</v>
      </c>
      <c r="V28" s="201">
        <v>21848.4312847287</v>
      </c>
      <c r="W28" s="192">
        <f t="shared" si="0"/>
        <v>0.19346978733441803</v>
      </c>
      <c r="Y28" s="12"/>
      <c r="Z28" s="53"/>
      <c r="AA28" s="53"/>
      <c r="AB28" s="53"/>
      <c r="AC28" s="53"/>
    </row>
    <row r="29" spans="11:29" ht="14.4" x14ac:dyDescent="0.3">
      <c r="K29" s="10"/>
      <c r="L29" s="16">
        <f t="shared" si="1"/>
        <v>1991</v>
      </c>
      <c r="M29" s="182">
        <v>147</v>
      </c>
      <c r="N29" s="17">
        <v>5561.7188620048655</v>
      </c>
      <c r="O29" s="34">
        <v>4342.264480006439</v>
      </c>
      <c r="P29" s="193">
        <v>889.72694861708271</v>
      </c>
      <c r="Q29" s="139">
        <v>26.657141721949372</v>
      </c>
      <c r="R29" s="207">
        <f t="shared" si="2"/>
        <v>863.0698068951333</v>
      </c>
      <c r="S29" s="205">
        <v>114.05721289071008</v>
      </c>
      <c r="T29" s="140">
        <f t="shared" si="3"/>
        <v>749.01259400442325</v>
      </c>
      <c r="U29" s="175">
        <f t="shared" si="4"/>
        <v>329.72743338134376</v>
      </c>
      <c r="V29" s="45">
        <v>22938.879797387599</v>
      </c>
      <c r="W29" s="178">
        <f t="shared" si="0"/>
        <v>0.18929714608387108</v>
      </c>
      <c r="Y29" s="12"/>
      <c r="Z29" s="53"/>
      <c r="AA29" s="53"/>
      <c r="AB29" s="53"/>
      <c r="AC29" s="53"/>
    </row>
    <row r="30" spans="11:29" ht="14.4" x14ac:dyDescent="0.3">
      <c r="K30" s="10"/>
      <c r="L30" s="16">
        <f t="shared" si="1"/>
        <v>1992</v>
      </c>
      <c r="M30" s="182">
        <v>150</v>
      </c>
      <c r="N30" s="17">
        <v>5865.6752096917635</v>
      </c>
      <c r="O30" s="34">
        <v>4662.8478493827106</v>
      </c>
      <c r="P30" s="193">
        <v>905.28560594367775</v>
      </c>
      <c r="Q30" s="139">
        <v>28.530278166066111</v>
      </c>
      <c r="R30" s="207">
        <f t="shared" si="2"/>
        <v>876.75532777761168</v>
      </c>
      <c r="S30" s="205">
        <v>113.99330105780987</v>
      </c>
      <c r="T30" s="140">
        <f t="shared" si="3"/>
        <v>762.76202671980184</v>
      </c>
      <c r="U30" s="175">
        <f t="shared" si="4"/>
        <v>297.54175436537514</v>
      </c>
      <c r="V30" s="45">
        <v>24501.861936373396</v>
      </c>
      <c r="W30" s="178">
        <f t="shared" si="0"/>
        <v>0.19030585763201285</v>
      </c>
      <c r="Y30" s="12"/>
      <c r="Z30" s="53"/>
      <c r="AA30" s="53"/>
      <c r="AB30" s="53"/>
      <c r="AC30" s="53"/>
    </row>
    <row r="31" spans="11:29" ht="14.4" x14ac:dyDescent="0.3">
      <c r="K31" s="10"/>
      <c r="L31" s="16">
        <f t="shared" si="1"/>
        <v>1993</v>
      </c>
      <c r="M31" s="182">
        <v>156</v>
      </c>
      <c r="N31" s="17">
        <v>5832.2967343208029</v>
      </c>
      <c r="O31" s="34">
        <v>4640.129924619805</v>
      </c>
      <c r="P31" s="193">
        <v>908.99288142733587</v>
      </c>
      <c r="Q31" s="139">
        <v>28.374545314961761</v>
      </c>
      <c r="R31" s="207">
        <f t="shared" si="2"/>
        <v>880.6183361123741</v>
      </c>
      <c r="S31" s="205">
        <v>133.59520401683926</v>
      </c>
      <c r="T31" s="140">
        <f t="shared" si="3"/>
        <v>747.02313209553483</v>
      </c>
      <c r="U31" s="175">
        <f t="shared" si="4"/>
        <v>283.173928273662</v>
      </c>
      <c r="V31" s="45">
        <v>24860.856951249101</v>
      </c>
      <c r="W31" s="178">
        <f t="shared" si="0"/>
        <v>0.18664400562373484</v>
      </c>
      <c r="Y31" s="12"/>
      <c r="Z31" s="53"/>
      <c r="AA31" s="53"/>
      <c r="AB31" s="53"/>
      <c r="AC31" s="53"/>
    </row>
    <row r="32" spans="11:29" ht="14.4" x14ac:dyDescent="0.3">
      <c r="K32" s="10"/>
      <c r="L32" s="16">
        <f t="shared" si="1"/>
        <v>1994</v>
      </c>
      <c r="M32" s="182" t="s">
        <v>572</v>
      </c>
      <c r="N32" s="17">
        <v>6519.02</v>
      </c>
      <c r="O32" s="34">
        <v>5311.91</v>
      </c>
      <c r="P32" s="193">
        <v>914.12300000000005</v>
      </c>
      <c r="Q32" s="139">
        <v>29.214700000000001</v>
      </c>
      <c r="R32" s="34">
        <v>884.90899999999999</v>
      </c>
      <c r="S32" s="138">
        <v>170.18389999999999</v>
      </c>
      <c r="T32" s="198">
        <v>714.72500000000002</v>
      </c>
      <c r="U32" s="175">
        <v>292.99099999999999</v>
      </c>
      <c r="V32" s="45">
        <v>26706.551835984497</v>
      </c>
      <c r="W32" s="178">
        <f t="shared" si="0"/>
        <v>0.19889913279043064</v>
      </c>
      <c r="Y32" s="12"/>
      <c r="Z32" s="53"/>
      <c r="AA32" s="53"/>
      <c r="AB32" s="53"/>
      <c r="AC32" s="53"/>
    </row>
    <row r="33" spans="3:29" ht="14.4" x14ac:dyDescent="0.3">
      <c r="K33" s="10"/>
      <c r="L33" s="16">
        <f t="shared" si="1"/>
        <v>1995</v>
      </c>
      <c r="M33" s="182" t="s">
        <v>572</v>
      </c>
      <c r="N33" s="17">
        <v>7745</v>
      </c>
      <c r="O33" s="34">
        <v>6328.7</v>
      </c>
      <c r="P33" s="193">
        <v>1093.54</v>
      </c>
      <c r="Q33" s="139">
        <v>35.662500000000001</v>
      </c>
      <c r="R33" s="34">
        <v>1057.8700000000001</v>
      </c>
      <c r="S33" s="138">
        <v>208.7098</v>
      </c>
      <c r="T33" s="198">
        <v>849.16499999999996</v>
      </c>
      <c r="U33" s="175">
        <v>322.77</v>
      </c>
      <c r="V33" s="45">
        <v>29640.4303442903</v>
      </c>
      <c r="W33" s="178">
        <f t="shared" si="0"/>
        <v>0.21351579334336862</v>
      </c>
      <c r="Y33" s="12"/>
      <c r="Z33" s="53"/>
      <c r="AA33" s="53"/>
      <c r="AB33" s="53"/>
      <c r="AC33" s="53"/>
    </row>
    <row r="34" spans="3:29" ht="14.4" x14ac:dyDescent="0.3">
      <c r="K34" s="10"/>
      <c r="L34" s="16">
        <f t="shared" si="1"/>
        <v>1996</v>
      </c>
      <c r="M34" s="182" t="s">
        <v>572</v>
      </c>
      <c r="N34" s="17">
        <v>8090.18</v>
      </c>
      <c r="O34" s="34">
        <v>6673.82</v>
      </c>
      <c r="P34" s="193">
        <v>1049.6200000000001</v>
      </c>
      <c r="Q34" s="139">
        <v>34.456099999999999</v>
      </c>
      <c r="R34" s="34">
        <v>1015.16</v>
      </c>
      <c r="S34" s="138">
        <v>241.00200000000001</v>
      </c>
      <c r="T34" s="198">
        <v>774.16300000000001</v>
      </c>
      <c r="U34" s="175">
        <v>366.74299999999999</v>
      </c>
      <c r="V34" s="45">
        <v>30272.9472618578</v>
      </c>
      <c r="W34" s="178">
        <f t="shared" si="0"/>
        <v>0.22045491449088722</v>
      </c>
      <c r="Y34" s="12"/>
      <c r="Z34" s="53"/>
      <c r="AA34" s="53"/>
      <c r="AB34" s="53"/>
      <c r="AC34" s="53"/>
    </row>
    <row r="35" spans="3:29" ht="14.4" x14ac:dyDescent="0.3">
      <c r="K35" s="10"/>
      <c r="L35" s="16">
        <f t="shared" si="1"/>
        <v>1997</v>
      </c>
      <c r="M35" s="182" t="s">
        <v>572</v>
      </c>
      <c r="N35" s="17">
        <v>8388.44</v>
      </c>
      <c r="O35" s="34">
        <v>6926.87</v>
      </c>
      <c r="P35" s="193">
        <v>1107.3800000000001</v>
      </c>
      <c r="Q35" s="139">
        <v>42.494500000000002</v>
      </c>
      <c r="R35" s="34">
        <v>1064.8800000000001</v>
      </c>
      <c r="S35" s="138">
        <v>271.52199999999999</v>
      </c>
      <c r="T35" s="198">
        <v>793.35900000000004</v>
      </c>
      <c r="U35" s="175">
        <v>354.19299999999998</v>
      </c>
      <c r="V35" s="45">
        <v>30169.983488718895</v>
      </c>
      <c r="W35" s="178">
        <f t="shared" si="0"/>
        <v>0.22959475607900423</v>
      </c>
      <c r="Y35" s="12"/>
      <c r="Z35" s="53"/>
      <c r="AA35" s="53"/>
      <c r="AB35" s="53"/>
      <c r="AC35" s="53"/>
    </row>
    <row r="36" spans="3:29" ht="14.4" x14ac:dyDescent="0.3">
      <c r="K36" s="10"/>
      <c r="L36" s="16">
        <f t="shared" si="1"/>
        <v>1998</v>
      </c>
      <c r="M36" s="182" t="s">
        <v>572</v>
      </c>
      <c r="N36" s="17">
        <v>8419.2999999999993</v>
      </c>
      <c r="O36" s="34">
        <v>6842.27</v>
      </c>
      <c r="P36" s="193">
        <v>1207.0899999999999</v>
      </c>
      <c r="Q36" s="139">
        <v>43.302400000000006</v>
      </c>
      <c r="R36" s="34">
        <v>1163.79</v>
      </c>
      <c r="S36" s="138">
        <v>278.25909999999999</v>
      </c>
      <c r="T36" s="198">
        <v>885.53200000000004</v>
      </c>
      <c r="U36" s="175">
        <v>369.94600000000003</v>
      </c>
      <c r="V36" s="45">
        <v>30012.323000754299</v>
      </c>
      <c r="W36" s="178">
        <f t="shared" si="0"/>
        <v>0.22798201924682851</v>
      </c>
      <c r="Y36" s="12"/>
      <c r="Z36" s="53"/>
      <c r="AA36" s="53"/>
      <c r="AB36" s="53"/>
      <c r="AC36" s="53"/>
    </row>
    <row r="37" spans="3:29" ht="14.4" x14ac:dyDescent="0.3">
      <c r="K37" s="10"/>
      <c r="L37" s="146">
        <f t="shared" si="1"/>
        <v>1999</v>
      </c>
      <c r="M37" s="183" t="s">
        <v>572</v>
      </c>
      <c r="N37" s="166">
        <v>8715.65</v>
      </c>
      <c r="O37" s="145">
        <v>7076.27</v>
      </c>
      <c r="P37" s="195">
        <v>1259.25</v>
      </c>
      <c r="Q37" s="139">
        <v>41.3429</v>
      </c>
      <c r="R37" s="34">
        <v>1217.9100000000001</v>
      </c>
      <c r="S37" s="144">
        <v>340.71100000000001</v>
      </c>
      <c r="T37" s="198">
        <v>877.19799999999998</v>
      </c>
      <c r="U37" s="143">
        <v>380.12799999999999</v>
      </c>
      <c r="V37" s="202">
        <v>31098.996116546401</v>
      </c>
      <c r="W37" s="179">
        <f t="shared" si="0"/>
        <v>0.22754014224385302</v>
      </c>
      <c r="Y37" s="12"/>
      <c r="Z37" s="53"/>
      <c r="AA37" s="53"/>
      <c r="AB37" s="53"/>
      <c r="AC37" s="53"/>
    </row>
    <row r="38" spans="3:29" ht="14.4" x14ac:dyDescent="0.3">
      <c r="K38" s="10"/>
      <c r="L38" s="186">
        <f t="shared" si="1"/>
        <v>2000</v>
      </c>
      <c r="M38" s="187" t="s">
        <v>572</v>
      </c>
      <c r="N38" s="188">
        <v>9666.59</v>
      </c>
      <c r="O38" s="125">
        <v>7869.88</v>
      </c>
      <c r="P38" s="194">
        <v>1431.46</v>
      </c>
      <c r="Q38" s="142">
        <v>41.281599999999997</v>
      </c>
      <c r="R38" s="197">
        <v>1390.18</v>
      </c>
      <c r="S38" s="190">
        <v>390.452</v>
      </c>
      <c r="T38" s="199">
        <v>999.73</v>
      </c>
      <c r="U38" s="191">
        <v>365.24900000000002</v>
      </c>
      <c r="V38" s="201">
        <v>32048.357067184897</v>
      </c>
      <c r="W38" s="192">
        <f t="shared" si="0"/>
        <v>0.24556266592705198</v>
      </c>
      <c r="Y38" s="12"/>
      <c r="Z38" s="53"/>
      <c r="AA38" s="53"/>
      <c r="AB38" s="53"/>
      <c r="AC38" s="53"/>
    </row>
    <row r="39" spans="3:29" ht="14.4" x14ac:dyDescent="0.3">
      <c r="K39" s="10"/>
      <c r="L39" s="16">
        <f t="shared" si="1"/>
        <v>2001</v>
      </c>
      <c r="M39" s="182" t="s">
        <v>572</v>
      </c>
      <c r="N39" s="17">
        <v>9335.08</v>
      </c>
      <c r="O39" s="34">
        <v>7614.77</v>
      </c>
      <c r="P39" s="193">
        <v>1331.17</v>
      </c>
      <c r="Q39" s="139">
        <v>43.5182</v>
      </c>
      <c r="R39" s="34">
        <v>1287.6600000000001</v>
      </c>
      <c r="S39" s="138">
        <v>347.35899999999998</v>
      </c>
      <c r="T39" s="198">
        <v>940.298</v>
      </c>
      <c r="U39" s="175">
        <v>389.137</v>
      </c>
      <c r="V39" s="45">
        <v>31825.716062669697</v>
      </c>
      <c r="W39" s="178">
        <f t="shared" si="0"/>
        <v>0.23926468724239716</v>
      </c>
      <c r="Y39" s="12"/>
      <c r="Z39" s="53"/>
      <c r="AA39" s="53"/>
      <c r="AB39" s="53"/>
      <c r="AC39" s="53"/>
    </row>
    <row r="40" spans="3:29" ht="14.4" x14ac:dyDescent="0.3">
      <c r="K40" s="10"/>
      <c r="L40" s="16">
        <f t="shared" si="1"/>
        <v>2002</v>
      </c>
      <c r="M40" s="182" t="s">
        <v>572</v>
      </c>
      <c r="N40" s="17">
        <v>9747.9600000000009</v>
      </c>
      <c r="O40" s="34">
        <v>8033.43</v>
      </c>
      <c r="P40" s="193">
        <v>1278.73</v>
      </c>
      <c r="Q40" s="139">
        <v>49.475000000000001</v>
      </c>
      <c r="R40" s="34">
        <v>1229.25</v>
      </c>
      <c r="S40" s="138">
        <v>385.52600000000001</v>
      </c>
      <c r="T40" s="198">
        <v>843.72699999999998</v>
      </c>
      <c r="U40" s="175">
        <v>435.80099999999999</v>
      </c>
      <c r="V40" s="45">
        <v>33086.9862394804</v>
      </c>
      <c r="W40" s="178">
        <f t="shared" si="0"/>
        <v>0.2427972720711041</v>
      </c>
      <c r="Y40" s="12"/>
      <c r="Z40" s="53"/>
      <c r="AA40" s="53"/>
      <c r="AB40" s="53"/>
      <c r="AC40" s="53"/>
    </row>
    <row r="41" spans="3:29" ht="14.4" x14ac:dyDescent="0.3">
      <c r="K41" s="10"/>
      <c r="L41" s="16">
        <f t="shared" si="1"/>
        <v>2003</v>
      </c>
      <c r="M41" s="182" t="s">
        <v>572</v>
      </c>
      <c r="N41" s="17">
        <v>11366.800000000001</v>
      </c>
      <c r="O41" s="34">
        <v>9356.2900000000009</v>
      </c>
      <c r="P41" s="193">
        <v>1498.93</v>
      </c>
      <c r="Q41" s="139">
        <v>60.083800000000004</v>
      </c>
      <c r="R41" s="34">
        <v>1438.8500000000001</v>
      </c>
      <c r="S41" s="138">
        <v>525.05200000000002</v>
      </c>
      <c r="T41" s="198">
        <v>913.79399999999998</v>
      </c>
      <c r="U41" s="175">
        <v>511.59199999999998</v>
      </c>
      <c r="V41" s="45">
        <v>37234.777332865204</v>
      </c>
      <c r="W41" s="178">
        <f t="shared" si="0"/>
        <v>0.25127825839693391</v>
      </c>
      <c r="Y41" s="12"/>
      <c r="Z41" s="53"/>
      <c r="AA41" s="53"/>
      <c r="AB41" s="53"/>
      <c r="AC41" s="53"/>
    </row>
    <row r="42" spans="3:29" ht="14.4" x14ac:dyDescent="0.3">
      <c r="K42" s="10"/>
      <c r="L42" s="16">
        <f t="shared" si="1"/>
        <v>2004</v>
      </c>
      <c r="M42" s="182" t="s">
        <v>572</v>
      </c>
      <c r="N42" s="17">
        <v>13850.800000000001</v>
      </c>
      <c r="O42" s="34">
        <v>11354.73</v>
      </c>
      <c r="P42" s="193">
        <v>1890.57</v>
      </c>
      <c r="Q42" s="139">
        <v>71.664199999999994</v>
      </c>
      <c r="R42" s="34">
        <v>1818.9</v>
      </c>
      <c r="S42" s="138">
        <v>733.04200000000003</v>
      </c>
      <c r="T42" s="198">
        <v>1085.8600000000001</v>
      </c>
      <c r="U42" s="175">
        <v>605.52</v>
      </c>
      <c r="V42" s="45">
        <v>42167.1924961607</v>
      </c>
      <c r="W42" s="178">
        <f t="shared" si="0"/>
        <v>0.26927877640973708</v>
      </c>
      <c r="Y42" s="12"/>
      <c r="Z42" s="53"/>
      <c r="AA42" s="53"/>
      <c r="AB42" s="53"/>
      <c r="AC42" s="53"/>
    </row>
    <row r="43" spans="3:29" ht="14.4" x14ac:dyDescent="0.3">
      <c r="K43" s="10"/>
      <c r="L43" s="16">
        <f t="shared" si="1"/>
        <v>2005</v>
      </c>
      <c r="M43" s="182" t="s">
        <v>572</v>
      </c>
      <c r="N43" s="17">
        <v>16049.300000000001</v>
      </c>
      <c r="O43" s="34">
        <v>12924.79</v>
      </c>
      <c r="P43" s="193">
        <v>2431.75</v>
      </c>
      <c r="Q43" s="139">
        <v>78.591999999999999</v>
      </c>
      <c r="R43" s="34">
        <v>2353.16</v>
      </c>
      <c r="S43" s="138">
        <v>951.56100000000004</v>
      </c>
      <c r="T43" s="198">
        <v>1401.6000000000001</v>
      </c>
      <c r="U43" s="175">
        <v>692.7</v>
      </c>
      <c r="V43" s="45">
        <v>45602.843881783301</v>
      </c>
      <c r="W43" s="178">
        <f t="shared" si="0"/>
        <v>0.28342070142610098</v>
      </c>
      <c r="Y43" s="12"/>
      <c r="Z43" s="53"/>
      <c r="AA43" s="53"/>
      <c r="AB43" s="53"/>
      <c r="AC43" s="53"/>
    </row>
    <row r="44" spans="3:29" ht="14.4" x14ac:dyDescent="0.3">
      <c r="K44" s="10"/>
      <c r="L44" s="16">
        <f t="shared" si="1"/>
        <v>2006</v>
      </c>
      <c r="M44" s="182" t="s">
        <v>572</v>
      </c>
      <c r="N44" s="17">
        <v>18770.900000000001</v>
      </c>
      <c r="O44" s="34">
        <v>14882.01</v>
      </c>
      <c r="P44" s="193">
        <v>3128.26</v>
      </c>
      <c r="Q44" s="139">
        <v>86.353499999999997</v>
      </c>
      <c r="R44" s="34">
        <v>3041.91</v>
      </c>
      <c r="S44" s="138">
        <v>1123.3610000000001</v>
      </c>
      <c r="T44" s="198">
        <v>1918.55</v>
      </c>
      <c r="U44" s="175">
        <v>760.61900000000003</v>
      </c>
      <c r="V44" s="45">
        <v>49408.132499273896</v>
      </c>
      <c r="W44" s="178">
        <f t="shared" si="0"/>
        <v>0.3012056770253097</v>
      </c>
      <c r="Y44" s="12"/>
      <c r="Z44" s="53"/>
      <c r="AA44" s="53"/>
      <c r="AB44" s="53"/>
      <c r="AC44" s="53"/>
    </row>
    <row r="45" spans="3:29" ht="14.4" x14ac:dyDescent="0.3">
      <c r="K45" s="10"/>
      <c r="L45" s="16">
        <f t="shared" si="1"/>
        <v>2007</v>
      </c>
      <c r="M45" s="182" t="s">
        <v>572</v>
      </c>
      <c r="N45" s="17">
        <v>22217.600000000002</v>
      </c>
      <c r="O45" s="34">
        <v>17321.27</v>
      </c>
      <c r="P45" s="193">
        <v>4024.14</v>
      </c>
      <c r="Q45" s="139">
        <v>105.41800000000001</v>
      </c>
      <c r="R45" s="34">
        <v>3918.7200000000003</v>
      </c>
      <c r="S45" s="138">
        <v>1332.7139999999999</v>
      </c>
      <c r="T45" s="198">
        <v>2586.0100000000002</v>
      </c>
      <c r="U45" s="175">
        <v>872.20699999999999</v>
      </c>
      <c r="V45" s="45">
        <v>55731.432157898096</v>
      </c>
      <c r="W45" s="178">
        <f t="shared" si="0"/>
        <v>0.31079893929381608</v>
      </c>
      <c r="Y45" s="12"/>
      <c r="Z45" s="53"/>
      <c r="AA45" s="53"/>
      <c r="AB45" s="53"/>
      <c r="AC45" s="53"/>
    </row>
    <row r="46" spans="3:29" ht="15" thickBot="1" x14ac:dyDescent="0.35">
      <c r="K46" s="10"/>
      <c r="L46" s="103">
        <f t="shared" si="1"/>
        <v>2008</v>
      </c>
      <c r="M46" s="184" t="s">
        <v>572</v>
      </c>
      <c r="N46" s="167">
        <v>24896</v>
      </c>
      <c r="O46" s="92">
        <v>19873.28</v>
      </c>
      <c r="P46" s="196">
        <v>4047.7200000000003</v>
      </c>
      <c r="Q46" s="135">
        <v>120.267</v>
      </c>
      <c r="R46" s="92">
        <v>3927.46</v>
      </c>
      <c r="S46" s="134">
        <v>1297.3620000000001</v>
      </c>
      <c r="T46" s="200">
        <v>2630.09</v>
      </c>
      <c r="U46" s="133">
        <v>974.99599999999998</v>
      </c>
      <c r="V46" s="102">
        <v>61305.355262582292</v>
      </c>
      <c r="W46" s="180">
        <f t="shared" si="0"/>
        <v>0.32416874373990701</v>
      </c>
      <c r="Y46" s="12"/>
      <c r="Z46" s="53"/>
      <c r="AA46" s="53"/>
      <c r="AB46" s="53"/>
      <c r="AC46" s="53"/>
    </row>
    <row r="47" spans="3:29" ht="13.8" thickTop="1" x14ac:dyDescent="0.25">
      <c r="C47" s="12"/>
      <c r="D47" s="12"/>
      <c r="E47" s="12"/>
      <c r="F47" s="12"/>
      <c r="G47" s="12"/>
      <c r="H47" s="12"/>
      <c r="I47" s="12"/>
      <c r="J47" s="12"/>
      <c r="R47" s="42"/>
    </row>
    <row r="48" spans="3:29" x14ac:dyDescent="0.25">
      <c r="C48" s="12"/>
      <c r="D48" s="12"/>
      <c r="E48" s="12"/>
      <c r="F48" s="12"/>
      <c r="G48" s="12"/>
      <c r="H48" s="12"/>
      <c r="I48" s="12"/>
      <c r="J48" s="12"/>
    </row>
    <row r="49" spans="3:10" x14ac:dyDescent="0.25">
      <c r="C49" s="12"/>
      <c r="D49" s="12"/>
      <c r="E49" s="12"/>
      <c r="F49" s="12"/>
      <c r="G49" s="12"/>
      <c r="H49" s="12"/>
      <c r="I49" s="12"/>
      <c r="J49" s="12"/>
    </row>
    <row r="50" spans="3:10" x14ac:dyDescent="0.25">
      <c r="C50" s="131"/>
      <c r="D50" s="12"/>
      <c r="E50" s="12"/>
      <c r="F50" s="12"/>
      <c r="G50" s="12"/>
      <c r="H50" s="12"/>
      <c r="I50" s="12"/>
      <c r="J50" s="12"/>
    </row>
    <row r="51" spans="3:10" x14ac:dyDescent="0.25">
      <c r="C51" s="12"/>
      <c r="D51" s="12"/>
      <c r="E51" s="12"/>
      <c r="F51" s="12"/>
      <c r="G51" s="12"/>
      <c r="H51" s="12"/>
      <c r="I51" s="12"/>
      <c r="J51" s="12"/>
    </row>
    <row r="52" spans="3:10" x14ac:dyDescent="0.25">
      <c r="C52" s="12"/>
      <c r="D52" s="12"/>
      <c r="E52" s="12"/>
      <c r="F52" s="12"/>
      <c r="G52" s="12"/>
      <c r="H52" s="12"/>
      <c r="I52" s="12"/>
      <c r="J52" s="12"/>
    </row>
    <row r="53" spans="3:10" x14ac:dyDescent="0.25">
      <c r="C53" s="12"/>
      <c r="D53" s="12"/>
      <c r="E53" s="12"/>
      <c r="F53" s="12"/>
      <c r="G53" s="12"/>
      <c r="H53" s="12"/>
      <c r="I53" s="12"/>
      <c r="J53" s="12"/>
    </row>
    <row r="54" spans="3:10" x14ac:dyDescent="0.25">
      <c r="C54" s="12"/>
      <c r="D54" s="12"/>
      <c r="E54" s="12"/>
      <c r="F54" s="12"/>
      <c r="G54" s="12"/>
      <c r="H54" s="12"/>
      <c r="I54" s="12"/>
      <c r="J54" s="12"/>
    </row>
    <row r="55" spans="3:10" x14ac:dyDescent="0.25">
      <c r="C55" s="12"/>
      <c r="D55" s="12"/>
      <c r="E55" s="12"/>
      <c r="F55" s="12"/>
      <c r="G55" s="12"/>
      <c r="H55" s="12"/>
      <c r="I55" s="12"/>
      <c r="J55" s="12"/>
    </row>
    <row r="56" spans="3:10" x14ac:dyDescent="0.25">
      <c r="C56" s="12"/>
      <c r="D56" s="12"/>
      <c r="E56" s="12"/>
      <c r="F56" s="12"/>
      <c r="G56" s="12"/>
      <c r="H56" s="12"/>
      <c r="I56" s="12"/>
      <c r="J56" s="12"/>
    </row>
    <row r="57" spans="3:10" x14ac:dyDescent="0.25">
      <c r="C57" s="12"/>
      <c r="D57" s="12"/>
      <c r="E57" s="12"/>
      <c r="F57" s="12"/>
      <c r="G57" s="12"/>
      <c r="H57" s="12"/>
      <c r="I57" s="12"/>
      <c r="J57" s="12"/>
    </row>
    <row r="58" spans="3:10" x14ac:dyDescent="0.25">
      <c r="C58" s="12"/>
      <c r="D58" s="12"/>
      <c r="E58" s="12"/>
      <c r="F58" s="12"/>
      <c r="G58" s="12"/>
      <c r="H58" s="12"/>
      <c r="I58" s="12"/>
      <c r="J58" s="12"/>
    </row>
    <row r="59" spans="3:10" x14ac:dyDescent="0.25">
      <c r="C59" s="12"/>
      <c r="D59" s="12"/>
      <c r="E59" s="12"/>
      <c r="F59" s="12"/>
      <c r="G59" s="12"/>
      <c r="H59" s="12"/>
      <c r="I59" s="12"/>
      <c r="J59" s="12"/>
    </row>
    <row r="60" spans="3:10" x14ac:dyDescent="0.25">
      <c r="C60" s="12"/>
      <c r="D60" s="12"/>
      <c r="E60" s="12"/>
      <c r="F60" s="12"/>
      <c r="G60" s="12"/>
      <c r="H60" s="12"/>
      <c r="I60" s="12"/>
      <c r="J60" s="12"/>
    </row>
    <row r="61" spans="3:10" x14ac:dyDescent="0.25">
      <c r="C61" s="12"/>
      <c r="D61" s="12"/>
      <c r="E61" s="12"/>
      <c r="F61" s="12"/>
      <c r="G61" s="12"/>
      <c r="H61" s="12"/>
      <c r="I61" s="12"/>
      <c r="J61" s="12"/>
    </row>
    <row r="62" spans="3:10" x14ac:dyDescent="0.25">
      <c r="C62" s="12"/>
      <c r="D62" s="12"/>
      <c r="E62" s="12"/>
      <c r="F62" s="12"/>
      <c r="G62" s="12"/>
      <c r="H62" s="12"/>
      <c r="I62" s="12"/>
      <c r="J62" s="12"/>
    </row>
    <row r="63" spans="3:10" x14ac:dyDescent="0.25">
      <c r="C63" s="12"/>
      <c r="D63" s="12"/>
      <c r="E63" s="12"/>
      <c r="F63" s="12"/>
      <c r="G63" s="12"/>
      <c r="H63" s="12"/>
      <c r="I63" s="12"/>
      <c r="J63" s="12"/>
    </row>
    <row r="64" spans="3:10" x14ac:dyDescent="0.25">
      <c r="C64" s="12"/>
      <c r="D64" s="12"/>
      <c r="E64" s="12"/>
      <c r="F64" s="12"/>
      <c r="G64" s="12"/>
      <c r="H64" s="12"/>
      <c r="I64" s="12"/>
      <c r="J64" s="12"/>
    </row>
    <row r="65" spans="3:10" x14ac:dyDescent="0.25">
      <c r="C65" s="12"/>
      <c r="D65" s="12"/>
      <c r="E65" s="12"/>
      <c r="F65" s="12"/>
      <c r="G65" s="12"/>
      <c r="H65" s="12"/>
      <c r="I65" s="12"/>
      <c r="J65" s="12"/>
    </row>
    <row r="66" spans="3:10" x14ac:dyDescent="0.25">
      <c r="C66" s="12"/>
      <c r="D66" s="12"/>
      <c r="E66" s="12"/>
      <c r="F66" s="12"/>
      <c r="G66" s="12"/>
      <c r="H66" s="12"/>
      <c r="I66" s="12"/>
      <c r="J66" s="12"/>
    </row>
    <row r="67" spans="3:10" x14ac:dyDescent="0.25">
      <c r="C67" s="12"/>
      <c r="D67" s="12"/>
      <c r="E67" s="12"/>
      <c r="F67" s="12"/>
      <c r="G67" s="12"/>
      <c r="H67" s="12"/>
      <c r="I67" s="12"/>
      <c r="J67" s="12"/>
    </row>
    <row r="68" spans="3:10" x14ac:dyDescent="0.25">
      <c r="C68" s="12"/>
      <c r="D68" s="12"/>
      <c r="E68" s="12"/>
      <c r="F68" s="12"/>
      <c r="G68" s="12"/>
      <c r="H68" s="12"/>
      <c r="I68" s="12"/>
      <c r="J68" s="12"/>
    </row>
    <row r="69" spans="3:10" x14ac:dyDescent="0.25">
      <c r="C69" s="12"/>
      <c r="D69" s="12"/>
      <c r="E69" s="12"/>
      <c r="F69" s="12"/>
      <c r="G69" s="12"/>
      <c r="H69" s="12"/>
      <c r="I69" s="12"/>
      <c r="J69" s="12"/>
    </row>
    <row r="70" spans="3:10" x14ac:dyDescent="0.25">
      <c r="C70" s="12"/>
      <c r="D70" s="12"/>
      <c r="E70" s="12"/>
      <c r="F70" s="12"/>
      <c r="G70" s="12"/>
      <c r="H70" s="12"/>
      <c r="I70" s="12"/>
      <c r="J70" s="12"/>
    </row>
    <row r="71" spans="3:10" x14ac:dyDescent="0.25">
      <c r="C71" s="12"/>
      <c r="D71" s="12"/>
      <c r="E71" s="12"/>
      <c r="F71" s="12"/>
      <c r="G71" s="12"/>
      <c r="H71" s="12"/>
      <c r="I71" s="12"/>
      <c r="J71" s="12"/>
    </row>
    <row r="72" spans="3:10" x14ac:dyDescent="0.25">
      <c r="C72" s="12"/>
      <c r="D72" s="12"/>
      <c r="E72" s="12"/>
      <c r="F72" s="12"/>
      <c r="G72" s="12"/>
      <c r="H72" s="12"/>
      <c r="I72" s="12"/>
      <c r="J72" s="12"/>
    </row>
    <row r="73" spans="3:10" x14ac:dyDescent="0.25">
      <c r="C73" s="12"/>
      <c r="D73" s="12"/>
      <c r="E73" s="12"/>
      <c r="F73" s="12"/>
      <c r="G73" s="12"/>
      <c r="H73" s="12"/>
      <c r="I73" s="12"/>
      <c r="J73" s="12"/>
    </row>
    <row r="74" spans="3:10" x14ac:dyDescent="0.25">
      <c r="C74" s="12"/>
      <c r="D74" s="12"/>
      <c r="E74" s="12"/>
      <c r="F74" s="12"/>
      <c r="G74" s="12"/>
      <c r="H74" s="12"/>
      <c r="I74" s="12"/>
      <c r="J74" s="12"/>
    </row>
    <row r="75" spans="3:10" x14ac:dyDescent="0.25">
      <c r="C75" s="12"/>
      <c r="D75" s="12"/>
      <c r="E75" s="12"/>
      <c r="F75" s="12"/>
      <c r="G75" s="12"/>
      <c r="H75" s="12"/>
      <c r="I75" s="12"/>
      <c r="J75" s="12"/>
    </row>
    <row r="76" spans="3:10" x14ac:dyDescent="0.25">
      <c r="C76" s="12"/>
      <c r="D76" s="12"/>
      <c r="E76" s="12"/>
      <c r="F76" s="12"/>
      <c r="G76" s="12"/>
      <c r="H76" s="12"/>
      <c r="I76" s="12"/>
      <c r="J76" s="12"/>
    </row>
    <row r="77" spans="3:10" x14ac:dyDescent="0.25">
      <c r="C77" s="12"/>
      <c r="D77" s="12"/>
      <c r="E77" s="12"/>
      <c r="F77" s="12"/>
      <c r="G77" s="12"/>
      <c r="H77" s="12"/>
      <c r="I77" s="12"/>
      <c r="J77" s="12"/>
    </row>
    <row r="78" spans="3:10" x14ac:dyDescent="0.25">
      <c r="C78" s="12"/>
      <c r="D78" s="12"/>
      <c r="E78" s="12"/>
      <c r="F78" s="12"/>
      <c r="G78" s="12"/>
      <c r="H78" s="12"/>
      <c r="I78" s="12"/>
      <c r="J78" s="12"/>
    </row>
    <row r="79" spans="3:10" x14ac:dyDescent="0.25">
      <c r="C79" s="12"/>
      <c r="D79" s="12"/>
      <c r="E79" s="12"/>
      <c r="F79" s="12"/>
      <c r="G79" s="12"/>
      <c r="H79" s="12"/>
      <c r="I79" s="12"/>
      <c r="J79" s="12"/>
    </row>
    <row r="80" spans="3:10" x14ac:dyDescent="0.25">
      <c r="C80" s="12"/>
      <c r="D80" s="12"/>
      <c r="E80" s="12"/>
      <c r="F80" s="12"/>
      <c r="G80" s="12"/>
      <c r="H80" s="12"/>
      <c r="I80" s="12"/>
      <c r="J80" s="12"/>
    </row>
    <row r="81" spans="3:10" x14ac:dyDescent="0.25">
      <c r="C81" s="12"/>
      <c r="D81" s="12"/>
      <c r="E81" s="12"/>
      <c r="F81" s="12"/>
      <c r="G81" s="12"/>
      <c r="H81" s="12"/>
      <c r="I81" s="12"/>
      <c r="J81" s="12"/>
    </row>
    <row r="82" spans="3:10" x14ac:dyDescent="0.25">
      <c r="C82" s="12"/>
      <c r="D82" s="12"/>
      <c r="E82" s="12"/>
      <c r="F82" s="12"/>
      <c r="G82" s="12"/>
      <c r="H82" s="12"/>
      <c r="I82" s="12"/>
      <c r="J82" s="12"/>
    </row>
    <row r="83" spans="3:10" x14ac:dyDescent="0.25">
      <c r="C83" s="12"/>
      <c r="D83" s="12"/>
      <c r="E83" s="12"/>
      <c r="F83" s="12"/>
      <c r="G83" s="12"/>
      <c r="H83" s="12"/>
      <c r="I83" s="12"/>
      <c r="J83" s="12"/>
    </row>
    <row r="84" spans="3:10" x14ac:dyDescent="0.25">
      <c r="C84" s="12"/>
      <c r="D84" s="12"/>
      <c r="E84" s="12"/>
      <c r="F84" s="12"/>
      <c r="G84" s="12"/>
      <c r="H84" s="12"/>
      <c r="I84" s="12"/>
      <c r="J84" s="12"/>
    </row>
    <row r="85" spans="3:10" x14ac:dyDescent="0.25">
      <c r="C85" s="12"/>
      <c r="D85" s="12"/>
      <c r="E85" s="12"/>
      <c r="F85" s="12"/>
      <c r="G85" s="12"/>
      <c r="H85" s="12"/>
      <c r="I85" s="12"/>
      <c r="J85" s="12"/>
    </row>
    <row r="86" spans="3:10" x14ac:dyDescent="0.25">
      <c r="C86" s="12"/>
      <c r="D86" s="12"/>
      <c r="E86" s="12"/>
      <c r="F86" s="12"/>
      <c r="G86" s="12"/>
      <c r="H86" s="12"/>
      <c r="I86" s="12"/>
      <c r="J86" s="12"/>
    </row>
    <row r="87" spans="3:10" x14ac:dyDescent="0.25">
      <c r="C87" s="12"/>
      <c r="D87" s="12"/>
      <c r="E87" s="12"/>
      <c r="F87" s="12"/>
      <c r="G87" s="12"/>
      <c r="H87" s="12"/>
      <c r="I87" s="12"/>
      <c r="J87" s="12"/>
    </row>
    <row r="88" spans="3:10" x14ac:dyDescent="0.25">
      <c r="C88" s="12"/>
      <c r="D88" s="12"/>
      <c r="E88" s="12"/>
      <c r="F88" s="12"/>
      <c r="G88" s="12"/>
      <c r="H88" s="12"/>
      <c r="I88" s="12"/>
      <c r="J88" s="12"/>
    </row>
    <row r="89" spans="3:10" x14ac:dyDescent="0.25">
      <c r="C89" s="12"/>
      <c r="D89" s="12"/>
      <c r="E89" s="12"/>
      <c r="F89" s="12"/>
      <c r="G89" s="12"/>
      <c r="H89" s="12"/>
      <c r="I89" s="12"/>
      <c r="J89" s="12"/>
    </row>
    <row r="90" spans="3:10" x14ac:dyDescent="0.25">
      <c r="C90" s="12"/>
      <c r="D90" s="12"/>
      <c r="E90" s="12"/>
      <c r="F90" s="12"/>
      <c r="G90" s="12"/>
      <c r="H90" s="12"/>
      <c r="I90" s="12"/>
      <c r="J90" s="12"/>
    </row>
    <row r="91" spans="3:10" x14ac:dyDescent="0.25">
      <c r="C91" s="12"/>
      <c r="D91" s="12"/>
      <c r="E91" s="12"/>
      <c r="F91" s="12"/>
      <c r="G91" s="12"/>
      <c r="H91" s="12"/>
      <c r="I91" s="12"/>
      <c r="J91" s="12"/>
    </row>
    <row r="92" spans="3:10" x14ac:dyDescent="0.25">
      <c r="C92" s="12"/>
      <c r="D92" s="12"/>
      <c r="E92" s="12"/>
      <c r="F92" s="12"/>
      <c r="G92" s="12"/>
      <c r="H92" s="12"/>
      <c r="I92" s="12"/>
      <c r="J92" s="12"/>
    </row>
    <row r="93" spans="3:10" x14ac:dyDescent="0.25">
      <c r="C93" s="12"/>
      <c r="D93" s="12"/>
      <c r="E93" s="12"/>
      <c r="F93" s="12"/>
      <c r="G93" s="12"/>
      <c r="H93" s="12"/>
      <c r="I93" s="12"/>
      <c r="J93" s="12"/>
    </row>
    <row r="94" spans="3:10" x14ac:dyDescent="0.25">
      <c r="C94" s="12"/>
      <c r="D94" s="12"/>
      <c r="E94" s="12"/>
      <c r="F94" s="12"/>
      <c r="G94" s="12"/>
      <c r="H94" s="12"/>
      <c r="I94" s="12"/>
      <c r="J94" s="12"/>
    </row>
    <row r="95" spans="3:10" x14ac:dyDescent="0.25">
      <c r="C95" s="12"/>
      <c r="D95" s="12"/>
      <c r="E95" s="12"/>
      <c r="F95" s="12"/>
      <c r="G95" s="12"/>
      <c r="H95" s="12"/>
      <c r="I95" s="12"/>
      <c r="J95" s="12"/>
    </row>
    <row r="96" spans="3:10" x14ac:dyDescent="0.25">
      <c r="C96" s="12"/>
      <c r="D96" s="12"/>
      <c r="E96" s="12"/>
      <c r="F96" s="12"/>
      <c r="G96" s="12"/>
      <c r="H96" s="12"/>
      <c r="I96" s="12"/>
      <c r="J96" s="12"/>
    </row>
    <row r="97" spans="3:10" x14ac:dyDescent="0.25">
      <c r="C97" s="12"/>
      <c r="D97" s="12"/>
      <c r="E97" s="12"/>
      <c r="F97" s="12"/>
      <c r="G97" s="12"/>
      <c r="H97" s="12"/>
      <c r="I97" s="12"/>
      <c r="J97" s="12"/>
    </row>
    <row r="98" spans="3:10" x14ac:dyDescent="0.25">
      <c r="C98" s="12"/>
      <c r="D98" s="12"/>
      <c r="E98" s="12"/>
      <c r="F98" s="12"/>
      <c r="G98" s="12"/>
      <c r="H98" s="12"/>
      <c r="I98" s="12"/>
      <c r="J98" s="12"/>
    </row>
    <row r="99" spans="3:10" x14ac:dyDescent="0.25">
      <c r="C99" s="12"/>
      <c r="D99" s="12"/>
      <c r="E99" s="12"/>
      <c r="F99" s="12"/>
      <c r="G99" s="12"/>
      <c r="H99" s="12"/>
      <c r="I99" s="12"/>
      <c r="J99" s="12"/>
    </row>
    <row r="100" spans="3:10" x14ac:dyDescent="0.25">
      <c r="C100" s="12"/>
      <c r="D100" s="12"/>
      <c r="E100" s="12"/>
      <c r="F100" s="12"/>
      <c r="G100" s="12"/>
      <c r="H100" s="12"/>
      <c r="I100" s="12"/>
      <c r="J100" s="12"/>
    </row>
    <row r="101" spans="3:10" x14ac:dyDescent="0.25">
      <c r="C101" s="12"/>
      <c r="D101" s="12"/>
      <c r="E101" s="12"/>
      <c r="F101" s="12"/>
      <c r="G101" s="12"/>
      <c r="H101" s="12"/>
      <c r="I101" s="12"/>
      <c r="J101" s="12"/>
    </row>
    <row r="102" spans="3:10" x14ac:dyDescent="0.25">
      <c r="C102" s="12"/>
      <c r="D102" s="12"/>
      <c r="E102" s="12"/>
      <c r="F102" s="12"/>
      <c r="G102" s="12"/>
      <c r="H102" s="12"/>
      <c r="I102" s="12"/>
      <c r="J102" s="12"/>
    </row>
    <row r="103" spans="3:10" x14ac:dyDescent="0.25">
      <c r="C103" s="12"/>
      <c r="D103" s="12"/>
      <c r="E103" s="12"/>
      <c r="F103" s="12"/>
      <c r="G103" s="12"/>
      <c r="H103" s="12"/>
      <c r="I103" s="12"/>
      <c r="J103" s="12"/>
    </row>
    <row r="104" spans="3:10" x14ac:dyDescent="0.25">
      <c r="C104" s="12"/>
      <c r="D104" s="12"/>
      <c r="E104" s="12"/>
      <c r="F104" s="12"/>
      <c r="G104" s="12"/>
      <c r="H104" s="12"/>
      <c r="I104" s="12"/>
      <c r="J104" s="12"/>
    </row>
    <row r="105" spans="3:10" x14ac:dyDescent="0.25">
      <c r="C105" s="12"/>
      <c r="D105" s="12"/>
      <c r="E105" s="12"/>
      <c r="F105" s="12"/>
      <c r="G105" s="12"/>
      <c r="H105" s="12"/>
      <c r="I105" s="12"/>
      <c r="J105" s="12"/>
    </row>
    <row r="106" spans="3:10" x14ac:dyDescent="0.25">
      <c r="C106" s="12"/>
      <c r="D106" s="12"/>
      <c r="E106" s="12"/>
      <c r="F106" s="12"/>
      <c r="G106" s="12"/>
      <c r="H106" s="12"/>
      <c r="I106" s="12"/>
      <c r="J106" s="12"/>
    </row>
    <row r="107" spans="3:10" x14ac:dyDescent="0.25">
      <c r="C107" s="12"/>
      <c r="D107" s="12"/>
      <c r="E107" s="12"/>
      <c r="F107" s="12"/>
      <c r="G107" s="12"/>
      <c r="H107" s="12"/>
      <c r="I107" s="12"/>
      <c r="J107" s="12"/>
    </row>
    <row r="108" spans="3:10" x14ac:dyDescent="0.25">
      <c r="C108" s="12"/>
      <c r="D108" s="12"/>
      <c r="E108" s="12"/>
      <c r="F108" s="12"/>
      <c r="G108" s="12"/>
      <c r="H108" s="12"/>
      <c r="I108" s="12"/>
      <c r="J108" s="12"/>
    </row>
    <row r="109" spans="3:10" x14ac:dyDescent="0.25">
      <c r="C109" s="12"/>
      <c r="D109" s="12"/>
      <c r="E109" s="12"/>
      <c r="F109" s="12"/>
      <c r="G109" s="12"/>
      <c r="H109" s="12"/>
      <c r="I109" s="12"/>
      <c r="J109" s="12"/>
    </row>
    <row r="110" spans="3:10" x14ac:dyDescent="0.25">
      <c r="C110" s="12"/>
      <c r="D110" s="12"/>
      <c r="E110" s="12"/>
      <c r="F110" s="12"/>
      <c r="G110" s="12"/>
      <c r="H110" s="12"/>
      <c r="I110" s="12"/>
      <c r="J110" s="12"/>
    </row>
    <row r="111" spans="3:10" x14ac:dyDescent="0.25">
      <c r="C111" s="12"/>
      <c r="D111" s="12"/>
      <c r="E111" s="12"/>
      <c r="F111" s="12"/>
      <c r="G111" s="12"/>
      <c r="H111" s="12"/>
      <c r="I111" s="12"/>
      <c r="J111" s="12"/>
    </row>
    <row r="112" spans="3:10" x14ac:dyDescent="0.25">
      <c r="C112" s="12"/>
      <c r="D112" s="12"/>
      <c r="E112" s="12"/>
      <c r="F112" s="12"/>
      <c r="G112" s="12"/>
      <c r="H112" s="12"/>
      <c r="I112" s="12"/>
      <c r="J112" s="12"/>
    </row>
    <row r="113" spans="3:10" x14ac:dyDescent="0.25">
      <c r="C113" s="12"/>
      <c r="D113" s="12"/>
      <c r="E113" s="12"/>
      <c r="F113" s="12"/>
      <c r="G113" s="12"/>
      <c r="H113" s="12"/>
      <c r="I113" s="12"/>
      <c r="J113" s="12"/>
    </row>
    <row r="114" spans="3:10" x14ac:dyDescent="0.25">
      <c r="C114" s="12"/>
      <c r="D114" s="12"/>
      <c r="E114" s="12"/>
      <c r="F114" s="12"/>
      <c r="G114" s="12"/>
      <c r="H114" s="12"/>
      <c r="I114" s="12"/>
      <c r="J114" s="12"/>
    </row>
    <row r="115" spans="3:10" x14ac:dyDescent="0.25">
      <c r="C115" s="12"/>
      <c r="D115" s="12"/>
      <c r="E115" s="12"/>
      <c r="F115" s="12"/>
      <c r="G115" s="12"/>
      <c r="H115" s="12"/>
      <c r="I115" s="12"/>
      <c r="J115" s="12"/>
    </row>
    <row r="116" spans="3:10" x14ac:dyDescent="0.25">
      <c r="C116" s="12"/>
      <c r="D116" s="12"/>
      <c r="E116" s="12"/>
      <c r="F116" s="12"/>
      <c r="G116" s="12"/>
      <c r="H116" s="12"/>
      <c r="I116" s="12"/>
      <c r="J116" s="12"/>
    </row>
    <row r="117" spans="3:10" x14ac:dyDescent="0.25">
      <c r="C117" s="12"/>
      <c r="D117" s="12"/>
      <c r="E117" s="12"/>
      <c r="F117" s="12"/>
      <c r="G117" s="12"/>
      <c r="H117" s="12"/>
      <c r="I117" s="12"/>
      <c r="J117" s="12"/>
    </row>
    <row r="118" spans="3:10" x14ac:dyDescent="0.25">
      <c r="C118" s="12"/>
      <c r="D118" s="12"/>
      <c r="E118" s="12"/>
      <c r="F118" s="12"/>
      <c r="G118" s="12"/>
      <c r="H118" s="12"/>
      <c r="I118" s="12"/>
      <c r="J118" s="12"/>
    </row>
    <row r="119" spans="3:10" x14ac:dyDescent="0.25">
      <c r="C119" s="12"/>
      <c r="D119" s="12"/>
      <c r="E119" s="12"/>
      <c r="F119" s="12"/>
      <c r="G119" s="12"/>
      <c r="H119" s="12"/>
      <c r="I119" s="12"/>
      <c r="J119" s="12"/>
    </row>
    <row r="120" spans="3:10" x14ac:dyDescent="0.25">
      <c r="C120" s="12"/>
      <c r="D120" s="12"/>
      <c r="E120" s="12"/>
      <c r="F120" s="12"/>
      <c r="G120" s="12"/>
      <c r="H120" s="12"/>
      <c r="I120" s="12"/>
      <c r="J120" s="12"/>
    </row>
    <row r="121" spans="3:10" x14ac:dyDescent="0.25">
      <c r="C121" s="12"/>
      <c r="D121" s="12"/>
      <c r="E121" s="12"/>
      <c r="F121" s="12"/>
      <c r="G121" s="12"/>
      <c r="H121" s="12"/>
      <c r="I121" s="12"/>
      <c r="J121" s="12"/>
    </row>
    <row r="122" spans="3:10" x14ac:dyDescent="0.25">
      <c r="C122" s="12"/>
      <c r="D122" s="12"/>
      <c r="E122" s="12"/>
      <c r="F122" s="12"/>
      <c r="G122" s="12"/>
      <c r="H122" s="12"/>
      <c r="I122" s="12"/>
      <c r="J122" s="12"/>
    </row>
    <row r="123" spans="3:10" x14ac:dyDescent="0.25">
      <c r="C123" s="12"/>
      <c r="D123" s="12"/>
      <c r="E123" s="12"/>
      <c r="F123" s="12"/>
      <c r="G123" s="12"/>
      <c r="H123" s="12"/>
      <c r="I123" s="12"/>
      <c r="J123" s="12"/>
    </row>
    <row r="124" spans="3:10" x14ac:dyDescent="0.25">
      <c r="C124" s="12"/>
      <c r="D124" s="12"/>
      <c r="E124" s="12"/>
      <c r="F124" s="12"/>
      <c r="G124" s="12"/>
      <c r="H124" s="12"/>
      <c r="I124" s="12"/>
      <c r="J124" s="12"/>
    </row>
    <row r="125" spans="3:10" x14ac:dyDescent="0.25">
      <c r="C125" s="12"/>
      <c r="D125" s="12"/>
      <c r="E125" s="12"/>
      <c r="F125" s="12"/>
      <c r="G125" s="12"/>
      <c r="H125" s="12"/>
      <c r="I125" s="12"/>
      <c r="J125" s="12"/>
    </row>
    <row r="126" spans="3:10" x14ac:dyDescent="0.25">
      <c r="C126" s="12"/>
      <c r="D126" s="12"/>
      <c r="E126" s="12"/>
      <c r="F126" s="12"/>
      <c r="G126" s="12"/>
      <c r="H126" s="12"/>
      <c r="I126" s="12"/>
      <c r="J126" s="12"/>
    </row>
    <row r="127" spans="3:10" x14ac:dyDescent="0.25">
      <c r="C127" s="12"/>
      <c r="D127" s="12"/>
      <c r="E127" s="12"/>
      <c r="F127" s="12"/>
      <c r="G127" s="12"/>
      <c r="H127" s="12"/>
      <c r="I127" s="12"/>
      <c r="J127" s="12"/>
    </row>
    <row r="128" spans="3:10" x14ac:dyDescent="0.25">
      <c r="C128" s="12"/>
      <c r="D128" s="12"/>
      <c r="E128" s="12"/>
      <c r="F128" s="12"/>
      <c r="G128" s="12"/>
      <c r="H128" s="12"/>
      <c r="I128" s="12"/>
      <c r="J128" s="12"/>
    </row>
    <row r="129" spans="3:10" x14ac:dyDescent="0.25">
      <c r="C129" s="12"/>
      <c r="D129" s="12"/>
      <c r="E129" s="12"/>
      <c r="F129" s="12"/>
      <c r="G129" s="12"/>
      <c r="H129" s="12"/>
      <c r="I129" s="12"/>
      <c r="J129" s="12"/>
    </row>
    <row r="130" spans="3:10" x14ac:dyDescent="0.25">
      <c r="C130" s="12"/>
      <c r="D130" s="12"/>
      <c r="E130" s="12"/>
      <c r="F130" s="12"/>
      <c r="G130" s="12"/>
      <c r="H130" s="12"/>
      <c r="I130" s="12"/>
      <c r="J130" s="12"/>
    </row>
    <row r="131" spans="3:10" x14ac:dyDescent="0.25">
      <c r="C131" s="12"/>
      <c r="D131" s="12"/>
      <c r="E131" s="12"/>
      <c r="F131" s="12"/>
      <c r="G131" s="12"/>
      <c r="H131" s="12"/>
      <c r="I131" s="12"/>
      <c r="J131" s="12"/>
    </row>
    <row r="132" spans="3:10" x14ac:dyDescent="0.25">
      <c r="C132" s="12"/>
      <c r="D132" s="12"/>
      <c r="E132" s="12"/>
      <c r="F132" s="12"/>
      <c r="G132" s="12"/>
      <c r="H132" s="12"/>
      <c r="I132" s="12"/>
      <c r="J132" s="12"/>
    </row>
    <row r="133" spans="3:10" x14ac:dyDescent="0.25">
      <c r="C133" s="12"/>
      <c r="D133" s="12"/>
      <c r="E133" s="12"/>
      <c r="F133" s="12"/>
      <c r="G133" s="12"/>
      <c r="H133" s="12"/>
      <c r="I133" s="12"/>
      <c r="J133" s="12"/>
    </row>
    <row r="134" spans="3:10" x14ac:dyDescent="0.25">
      <c r="C134" s="12"/>
      <c r="D134" s="12"/>
      <c r="E134" s="12"/>
      <c r="F134" s="12"/>
      <c r="G134" s="12"/>
      <c r="H134" s="12"/>
      <c r="I134" s="12"/>
      <c r="J134" s="12"/>
    </row>
    <row r="135" spans="3:10" x14ac:dyDescent="0.25">
      <c r="C135" s="12"/>
      <c r="D135" s="12"/>
      <c r="E135" s="12"/>
      <c r="F135" s="12"/>
      <c r="G135" s="12"/>
      <c r="H135" s="12"/>
      <c r="I135" s="12"/>
      <c r="J135" s="12"/>
    </row>
    <row r="136" spans="3:10" x14ac:dyDescent="0.25">
      <c r="C136" s="12"/>
      <c r="D136" s="12"/>
      <c r="E136" s="12"/>
      <c r="F136" s="12"/>
      <c r="G136" s="12"/>
      <c r="H136" s="12"/>
      <c r="I136" s="12"/>
      <c r="J136" s="12"/>
    </row>
    <row r="137" spans="3:10" x14ac:dyDescent="0.25">
      <c r="C137" s="12"/>
      <c r="D137" s="12"/>
      <c r="E137" s="12"/>
      <c r="F137" s="12"/>
      <c r="G137" s="12"/>
      <c r="H137" s="12"/>
      <c r="I137" s="12"/>
      <c r="J137" s="12"/>
    </row>
    <row r="138" spans="3:10" x14ac:dyDescent="0.25">
      <c r="C138" s="12"/>
      <c r="D138" s="12"/>
      <c r="E138" s="12"/>
      <c r="F138" s="12"/>
      <c r="G138" s="12"/>
      <c r="H138" s="12"/>
      <c r="I138" s="12"/>
      <c r="J138" s="12"/>
    </row>
    <row r="139" spans="3:10" x14ac:dyDescent="0.25">
      <c r="C139" s="12"/>
      <c r="D139" s="12"/>
      <c r="E139" s="12"/>
      <c r="F139" s="12"/>
      <c r="G139" s="12"/>
      <c r="H139" s="12"/>
      <c r="I139" s="12"/>
      <c r="J139" s="12"/>
    </row>
    <row r="140" spans="3:10" x14ac:dyDescent="0.25">
      <c r="C140" s="12"/>
      <c r="D140" s="12"/>
      <c r="E140" s="12"/>
      <c r="F140" s="12"/>
      <c r="G140" s="12"/>
      <c r="H140" s="12"/>
      <c r="I140" s="12"/>
      <c r="J140" s="12"/>
    </row>
    <row r="141" spans="3:10" x14ac:dyDescent="0.25">
      <c r="C141" s="12"/>
      <c r="D141" s="12"/>
      <c r="E141" s="12"/>
      <c r="F141" s="12"/>
      <c r="G141" s="12"/>
      <c r="H141" s="12"/>
      <c r="I141" s="12"/>
      <c r="J141" s="12"/>
    </row>
    <row r="142" spans="3:10" x14ac:dyDescent="0.25">
      <c r="C142" s="12"/>
      <c r="D142" s="12"/>
      <c r="E142" s="12"/>
      <c r="F142" s="12"/>
      <c r="G142" s="12"/>
      <c r="H142" s="12"/>
      <c r="I142" s="12"/>
      <c r="J142" s="12"/>
    </row>
    <row r="143" spans="3:10" x14ac:dyDescent="0.25">
      <c r="C143" s="12"/>
      <c r="D143" s="12"/>
      <c r="E143" s="12"/>
      <c r="F143" s="12"/>
      <c r="G143" s="12"/>
      <c r="H143" s="12"/>
      <c r="I143" s="12"/>
      <c r="J143" s="12"/>
    </row>
    <row r="144" spans="3:10" x14ac:dyDescent="0.25">
      <c r="C144" s="12"/>
      <c r="D144" s="12"/>
      <c r="E144" s="12"/>
      <c r="F144" s="12"/>
      <c r="G144" s="12"/>
      <c r="H144" s="12"/>
      <c r="I144" s="12"/>
      <c r="J144" s="12"/>
    </row>
    <row r="145" spans="3:10" x14ac:dyDescent="0.25">
      <c r="C145" s="12"/>
      <c r="D145" s="12"/>
      <c r="E145" s="12"/>
      <c r="F145" s="12"/>
      <c r="G145" s="12"/>
      <c r="H145" s="12"/>
      <c r="I145" s="12"/>
      <c r="J145" s="12"/>
    </row>
    <row r="146" spans="3:10" x14ac:dyDescent="0.25">
      <c r="C146" s="12"/>
      <c r="D146" s="12"/>
      <c r="E146" s="12"/>
      <c r="F146" s="12"/>
      <c r="G146" s="12"/>
      <c r="H146" s="12"/>
      <c r="I146" s="12"/>
      <c r="J146" s="12"/>
    </row>
    <row r="147" spans="3:10" x14ac:dyDescent="0.25">
      <c r="C147" s="12"/>
      <c r="D147" s="12"/>
      <c r="E147" s="12"/>
      <c r="F147" s="12"/>
      <c r="G147" s="12"/>
      <c r="H147" s="12"/>
      <c r="I147" s="12"/>
      <c r="J147" s="12"/>
    </row>
    <row r="148" spans="3:10" x14ac:dyDescent="0.25">
      <c r="C148" s="12"/>
      <c r="D148" s="12"/>
      <c r="E148" s="12"/>
      <c r="F148" s="12"/>
      <c r="G148" s="12"/>
      <c r="H148" s="12"/>
      <c r="I148" s="12"/>
      <c r="J148" s="12"/>
    </row>
    <row r="149" spans="3:10" x14ac:dyDescent="0.25">
      <c r="C149" s="12"/>
      <c r="D149" s="12"/>
      <c r="E149" s="12"/>
      <c r="F149" s="12"/>
      <c r="G149" s="12"/>
      <c r="H149" s="12"/>
      <c r="I149" s="12"/>
      <c r="J149" s="12"/>
    </row>
    <row r="150" spans="3:10" x14ac:dyDescent="0.25">
      <c r="C150" s="12"/>
      <c r="D150" s="12"/>
      <c r="E150" s="12"/>
      <c r="F150" s="12"/>
      <c r="G150" s="12"/>
      <c r="H150" s="12"/>
      <c r="I150" s="12"/>
      <c r="J150" s="12"/>
    </row>
    <row r="151" spans="3:10" x14ac:dyDescent="0.25">
      <c r="C151" s="12"/>
      <c r="D151" s="12"/>
      <c r="E151" s="12"/>
      <c r="F151" s="12"/>
      <c r="G151" s="12"/>
      <c r="H151" s="12"/>
      <c r="I151" s="12"/>
      <c r="J151" s="12"/>
    </row>
    <row r="152" spans="3:10" x14ac:dyDescent="0.25">
      <c r="C152" s="12"/>
      <c r="D152" s="12"/>
      <c r="E152" s="12"/>
      <c r="F152" s="12"/>
      <c r="G152" s="12"/>
      <c r="H152" s="12"/>
      <c r="I152" s="12"/>
      <c r="J152" s="12"/>
    </row>
    <row r="153" spans="3:10" x14ac:dyDescent="0.25">
      <c r="C153" s="12"/>
      <c r="D153" s="12"/>
      <c r="E153" s="12"/>
      <c r="F153" s="12"/>
      <c r="G153" s="12"/>
      <c r="H153" s="12"/>
      <c r="I153" s="12"/>
      <c r="J153" s="12"/>
    </row>
    <row r="154" spans="3:10" x14ac:dyDescent="0.25">
      <c r="C154" s="12"/>
      <c r="D154" s="12"/>
      <c r="E154" s="12"/>
      <c r="F154" s="12"/>
      <c r="G154" s="12"/>
      <c r="H154" s="12"/>
      <c r="I154" s="12"/>
      <c r="J154" s="12"/>
    </row>
    <row r="155" spans="3:10" x14ac:dyDescent="0.25">
      <c r="C155" s="12"/>
      <c r="D155" s="12"/>
      <c r="E155" s="12"/>
      <c r="F155" s="12"/>
      <c r="G155" s="12"/>
      <c r="H155" s="12"/>
      <c r="I155" s="12"/>
      <c r="J155" s="12"/>
    </row>
    <row r="156" spans="3:10" x14ac:dyDescent="0.25">
      <c r="C156" s="12"/>
      <c r="D156" s="12"/>
      <c r="E156" s="12"/>
      <c r="F156" s="12"/>
      <c r="G156" s="12"/>
      <c r="H156" s="12"/>
      <c r="I156" s="12"/>
      <c r="J156" s="12"/>
    </row>
    <row r="157" spans="3:10" x14ac:dyDescent="0.25">
      <c r="C157" s="12"/>
      <c r="D157" s="12"/>
      <c r="E157" s="12"/>
      <c r="F157" s="12"/>
      <c r="G157" s="12"/>
      <c r="H157" s="12"/>
      <c r="I157" s="12"/>
      <c r="J157" s="12"/>
    </row>
    <row r="158" spans="3:10" x14ac:dyDescent="0.25">
      <c r="C158" s="12"/>
      <c r="D158" s="12"/>
      <c r="E158" s="12"/>
      <c r="F158" s="12"/>
      <c r="G158" s="12"/>
      <c r="H158" s="12"/>
      <c r="I158" s="12"/>
      <c r="J158" s="12"/>
    </row>
    <row r="159" spans="3:10" x14ac:dyDescent="0.25">
      <c r="C159" s="12"/>
      <c r="D159" s="12"/>
      <c r="E159" s="12"/>
      <c r="F159" s="12"/>
      <c r="G159" s="12"/>
      <c r="H159" s="12"/>
      <c r="I159" s="12"/>
      <c r="J159" s="12"/>
    </row>
    <row r="160" spans="3:10" x14ac:dyDescent="0.25">
      <c r="C160" s="12"/>
      <c r="D160" s="12"/>
      <c r="E160" s="12"/>
      <c r="F160" s="12"/>
      <c r="G160" s="12"/>
      <c r="H160" s="12"/>
      <c r="I160" s="12"/>
      <c r="J160" s="12"/>
    </row>
    <row r="161" spans="3:10" x14ac:dyDescent="0.25">
      <c r="C161" s="12"/>
      <c r="D161" s="12"/>
      <c r="E161" s="12"/>
      <c r="F161" s="12"/>
      <c r="G161" s="12"/>
      <c r="H161" s="12"/>
      <c r="I161" s="12"/>
      <c r="J161" s="12"/>
    </row>
    <row r="162" spans="3:10" x14ac:dyDescent="0.25">
      <c r="C162" s="12"/>
      <c r="D162" s="12"/>
      <c r="E162" s="12"/>
      <c r="F162" s="12"/>
      <c r="G162" s="12"/>
      <c r="H162" s="12"/>
      <c r="I162" s="12"/>
      <c r="J162" s="12"/>
    </row>
    <row r="163" spans="3:10" x14ac:dyDescent="0.25">
      <c r="C163" s="12"/>
      <c r="D163" s="12"/>
      <c r="E163" s="12"/>
      <c r="F163" s="12"/>
      <c r="G163" s="12"/>
      <c r="H163" s="12"/>
      <c r="I163" s="12"/>
      <c r="J163" s="12"/>
    </row>
    <row r="164" spans="3:10" x14ac:dyDescent="0.25">
      <c r="C164" s="12"/>
      <c r="D164" s="12"/>
      <c r="E164" s="12"/>
      <c r="F164" s="12"/>
      <c r="G164" s="12"/>
      <c r="H164" s="12"/>
      <c r="I164" s="12"/>
      <c r="J164" s="12"/>
    </row>
    <row r="165" spans="3:10" x14ac:dyDescent="0.25">
      <c r="C165" s="12"/>
      <c r="D165" s="12"/>
      <c r="E165" s="12"/>
      <c r="F165" s="12"/>
      <c r="G165" s="12"/>
      <c r="H165" s="12"/>
      <c r="I165" s="12"/>
      <c r="J165" s="12"/>
    </row>
    <row r="166" spans="3:10" x14ac:dyDescent="0.25">
      <c r="C166" s="12"/>
      <c r="D166" s="12"/>
      <c r="E166" s="12"/>
      <c r="F166" s="12"/>
      <c r="G166" s="12"/>
      <c r="H166" s="12"/>
      <c r="I166" s="12"/>
      <c r="J166" s="12"/>
    </row>
    <row r="167" spans="3:10" x14ac:dyDescent="0.25">
      <c r="C167" s="12"/>
      <c r="D167" s="12"/>
      <c r="E167" s="12"/>
      <c r="F167" s="12"/>
      <c r="G167" s="12"/>
      <c r="H167" s="12"/>
      <c r="I167" s="12"/>
      <c r="J167" s="12"/>
    </row>
    <row r="168" spans="3:10" x14ac:dyDescent="0.25">
      <c r="C168" s="12"/>
      <c r="D168" s="12"/>
      <c r="E168" s="12"/>
      <c r="F168" s="12"/>
      <c r="G168" s="12"/>
      <c r="H168" s="12"/>
      <c r="I168" s="12"/>
      <c r="J168" s="12"/>
    </row>
    <row r="169" spans="3:10" x14ac:dyDescent="0.25">
      <c r="C169" s="12"/>
      <c r="D169" s="12"/>
      <c r="E169" s="12"/>
      <c r="F169" s="12"/>
      <c r="G169" s="12"/>
      <c r="H169" s="12"/>
      <c r="I169" s="12"/>
      <c r="J169" s="12"/>
    </row>
    <row r="170" spans="3:10" x14ac:dyDescent="0.25">
      <c r="C170" s="12"/>
      <c r="D170" s="12"/>
      <c r="E170" s="12"/>
      <c r="F170" s="12"/>
      <c r="G170" s="12"/>
      <c r="H170" s="12"/>
      <c r="I170" s="12"/>
      <c r="J170" s="12"/>
    </row>
    <row r="171" spans="3:10" x14ac:dyDescent="0.25">
      <c r="C171" s="12"/>
      <c r="D171" s="12"/>
      <c r="E171" s="12"/>
      <c r="F171" s="12"/>
      <c r="G171" s="12"/>
      <c r="H171" s="12"/>
      <c r="I171" s="12"/>
      <c r="J171" s="12"/>
    </row>
    <row r="172" spans="3:10" x14ac:dyDescent="0.25">
      <c r="C172" s="12"/>
      <c r="D172" s="12"/>
      <c r="E172" s="12"/>
      <c r="F172" s="12"/>
      <c r="G172" s="12"/>
      <c r="H172" s="12"/>
      <c r="I172" s="12"/>
      <c r="J172" s="12"/>
    </row>
    <row r="173" spans="3:10" x14ac:dyDescent="0.25">
      <c r="C173" s="12"/>
      <c r="D173" s="12"/>
      <c r="E173" s="12"/>
      <c r="F173" s="12"/>
      <c r="G173" s="12"/>
      <c r="H173" s="12"/>
      <c r="I173" s="12"/>
      <c r="J173" s="12"/>
    </row>
    <row r="174" spans="3:10" x14ac:dyDescent="0.25">
      <c r="C174" s="12"/>
      <c r="D174" s="12"/>
      <c r="E174" s="12"/>
      <c r="F174" s="12"/>
      <c r="G174" s="12"/>
      <c r="H174" s="12"/>
      <c r="I174" s="12"/>
      <c r="J174" s="12"/>
    </row>
    <row r="175" spans="3:10" x14ac:dyDescent="0.25">
      <c r="C175" s="12"/>
      <c r="D175" s="12"/>
      <c r="E175" s="12"/>
      <c r="F175" s="12"/>
      <c r="G175" s="12"/>
      <c r="H175" s="12"/>
      <c r="I175" s="12"/>
      <c r="J175" s="12"/>
    </row>
    <row r="176" spans="3:10" x14ac:dyDescent="0.25">
      <c r="C176" s="12"/>
      <c r="D176" s="12"/>
      <c r="E176" s="12"/>
      <c r="F176" s="12"/>
      <c r="G176" s="12"/>
      <c r="H176" s="12"/>
      <c r="I176" s="12"/>
      <c r="J176" s="12"/>
    </row>
    <row r="177" spans="3:10" x14ac:dyDescent="0.25">
      <c r="C177" s="12"/>
      <c r="D177" s="12"/>
      <c r="E177" s="12"/>
      <c r="F177" s="12"/>
      <c r="G177" s="12"/>
      <c r="H177" s="12"/>
      <c r="I177" s="12"/>
      <c r="J177" s="12"/>
    </row>
    <row r="178" spans="3:10" x14ac:dyDescent="0.25">
      <c r="C178" s="12"/>
      <c r="D178" s="12"/>
      <c r="E178" s="12"/>
      <c r="F178" s="12"/>
      <c r="G178" s="12"/>
      <c r="H178" s="12"/>
      <c r="I178" s="12"/>
      <c r="J178" s="12"/>
    </row>
    <row r="179" spans="3:10" x14ac:dyDescent="0.25">
      <c r="C179" s="12"/>
      <c r="D179" s="12"/>
      <c r="E179" s="12"/>
      <c r="F179" s="12"/>
      <c r="G179" s="12"/>
      <c r="H179" s="12"/>
      <c r="I179" s="12"/>
      <c r="J179" s="12"/>
    </row>
    <row r="180" spans="3:10" x14ac:dyDescent="0.25">
      <c r="C180" s="12"/>
      <c r="D180" s="12"/>
      <c r="E180" s="12"/>
      <c r="F180" s="12"/>
      <c r="G180" s="12"/>
      <c r="H180" s="12"/>
      <c r="I180" s="12"/>
      <c r="J180" s="12"/>
    </row>
    <row r="181" spans="3:10" x14ac:dyDescent="0.25">
      <c r="C181" s="12"/>
      <c r="D181" s="12"/>
      <c r="E181" s="12"/>
      <c r="F181" s="12"/>
      <c r="G181" s="12"/>
      <c r="H181" s="12"/>
      <c r="I181" s="12"/>
      <c r="J181" s="12"/>
    </row>
    <row r="182" spans="3:10" x14ac:dyDescent="0.25">
      <c r="C182" s="12"/>
      <c r="D182" s="12"/>
      <c r="E182" s="12"/>
      <c r="F182" s="12"/>
      <c r="G182" s="12"/>
      <c r="H182" s="12"/>
      <c r="I182" s="12"/>
      <c r="J182" s="12"/>
    </row>
    <row r="183" spans="3:10" x14ac:dyDescent="0.25">
      <c r="C183" s="12"/>
      <c r="D183" s="12"/>
      <c r="E183" s="12"/>
      <c r="F183" s="12"/>
      <c r="G183" s="12"/>
      <c r="H183" s="12"/>
      <c r="I183" s="12"/>
      <c r="J183" s="12"/>
    </row>
    <row r="184" spans="3:10" x14ac:dyDescent="0.25">
      <c r="C184" s="12"/>
      <c r="D184" s="12"/>
      <c r="E184" s="12"/>
      <c r="F184" s="12"/>
      <c r="G184" s="12"/>
      <c r="H184" s="12"/>
      <c r="I184" s="12"/>
      <c r="J184" s="12"/>
    </row>
    <row r="185" spans="3:10" x14ac:dyDescent="0.25">
      <c r="C185" s="12"/>
      <c r="D185" s="12"/>
      <c r="E185" s="12"/>
      <c r="F185" s="12"/>
      <c r="G185" s="12"/>
      <c r="H185" s="12"/>
      <c r="I185" s="12"/>
      <c r="J185" s="12"/>
    </row>
    <row r="186" spans="3:10" x14ac:dyDescent="0.25">
      <c r="C186" s="12"/>
      <c r="D186" s="12"/>
      <c r="E186" s="12"/>
      <c r="F186" s="12"/>
      <c r="G186" s="12"/>
      <c r="H186" s="12"/>
      <c r="I186" s="12"/>
      <c r="J186" s="12"/>
    </row>
    <row r="187" spans="3:10" x14ac:dyDescent="0.25">
      <c r="C187" s="12"/>
      <c r="D187" s="12"/>
      <c r="E187" s="12"/>
      <c r="F187" s="12"/>
      <c r="G187" s="12"/>
      <c r="H187" s="12"/>
      <c r="I187" s="12"/>
      <c r="J187" s="12"/>
    </row>
    <row r="188" spans="3:10" x14ac:dyDescent="0.25">
      <c r="C188" s="12"/>
      <c r="D188" s="12"/>
      <c r="E188" s="12"/>
      <c r="F188" s="12"/>
      <c r="G188" s="12"/>
      <c r="H188" s="12"/>
      <c r="I188" s="12"/>
      <c r="J188" s="12"/>
    </row>
    <row r="189" spans="3:10" x14ac:dyDescent="0.25">
      <c r="C189" s="12"/>
      <c r="D189" s="12"/>
      <c r="E189" s="12"/>
      <c r="F189" s="12"/>
      <c r="G189" s="12"/>
      <c r="H189" s="12"/>
      <c r="I189" s="12"/>
      <c r="J189" s="12"/>
    </row>
    <row r="190" spans="3:10" x14ac:dyDescent="0.25">
      <c r="C190" s="12"/>
      <c r="D190" s="12"/>
      <c r="E190" s="12"/>
      <c r="F190" s="12"/>
      <c r="G190" s="12"/>
      <c r="H190" s="12"/>
      <c r="I190" s="12"/>
      <c r="J190" s="12"/>
    </row>
    <row r="191" spans="3:10" x14ac:dyDescent="0.25">
      <c r="C191" s="12"/>
      <c r="D191" s="12"/>
      <c r="E191" s="12"/>
      <c r="F191" s="12"/>
      <c r="G191" s="12"/>
      <c r="H191" s="12"/>
      <c r="I191" s="12"/>
      <c r="J191" s="12"/>
    </row>
    <row r="192" spans="3:10" x14ac:dyDescent="0.25">
      <c r="C192" s="12"/>
      <c r="D192" s="12"/>
      <c r="E192" s="12"/>
      <c r="F192" s="12"/>
      <c r="G192" s="12"/>
      <c r="H192" s="12"/>
      <c r="I192" s="12"/>
      <c r="J192" s="12"/>
    </row>
    <row r="193" spans="3:10" x14ac:dyDescent="0.25">
      <c r="C193" s="12"/>
      <c r="D193" s="12"/>
      <c r="E193" s="12"/>
      <c r="F193" s="12"/>
      <c r="G193" s="12"/>
      <c r="H193" s="12"/>
      <c r="I193" s="12"/>
      <c r="J193" s="12"/>
    </row>
    <row r="194" spans="3:10" x14ac:dyDescent="0.25">
      <c r="C194" s="12"/>
      <c r="D194" s="12"/>
      <c r="E194" s="12"/>
      <c r="F194" s="12"/>
      <c r="G194" s="12"/>
      <c r="H194" s="12"/>
      <c r="I194" s="12"/>
      <c r="J194" s="12"/>
    </row>
    <row r="195" spans="3:10" x14ac:dyDescent="0.25">
      <c r="C195" s="12"/>
      <c r="D195" s="12"/>
      <c r="E195" s="12"/>
      <c r="F195" s="12"/>
      <c r="G195" s="12"/>
      <c r="H195" s="12"/>
      <c r="I195" s="12"/>
      <c r="J195" s="12"/>
    </row>
    <row r="196" spans="3:10" x14ac:dyDescent="0.25">
      <c r="C196" s="12"/>
      <c r="D196" s="12"/>
      <c r="E196" s="12"/>
      <c r="F196" s="12"/>
      <c r="G196" s="12"/>
      <c r="H196" s="12"/>
      <c r="I196" s="12"/>
      <c r="J196" s="12"/>
    </row>
    <row r="197" spans="3:10" x14ac:dyDescent="0.25">
      <c r="C197" s="12"/>
      <c r="D197" s="12"/>
      <c r="E197" s="12"/>
      <c r="F197" s="12"/>
      <c r="G197" s="12"/>
      <c r="H197" s="12"/>
      <c r="I197" s="12"/>
      <c r="J197" s="12"/>
    </row>
    <row r="198" spans="3:10" x14ac:dyDescent="0.25">
      <c r="C198" s="12"/>
      <c r="D198" s="12"/>
      <c r="E198" s="12"/>
      <c r="F198" s="12"/>
      <c r="G198" s="12"/>
      <c r="H198" s="12"/>
      <c r="I198" s="12"/>
      <c r="J198" s="12"/>
    </row>
    <row r="199" spans="3:10" x14ac:dyDescent="0.25">
      <c r="C199" s="12"/>
      <c r="D199" s="12"/>
      <c r="E199" s="12"/>
      <c r="F199" s="12"/>
      <c r="G199" s="12"/>
      <c r="H199" s="12"/>
      <c r="I199" s="12"/>
      <c r="J199" s="12"/>
    </row>
    <row r="200" spans="3:10" x14ac:dyDescent="0.25">
      <c r="C200" s="12"/>
      <c r="D200" s="12"/>
      <c r="E200" s="12"/>
      <c r="F200" s="12"/>
      <c r="G200" s="12"/>
      <c r="H200" s="12"/>
      <c r="I200" s="12"/>
      <c r="J200" s="12"/>
    </row>
    <row r="201" spans="3:10" x14ac:dyDescent="0.25">
      <c r="C201" s="12"/>
      <c r="D201" s="12"/>
      <c r="E201" s="12"/>
      <c r="F201" s="12"/>
      <c r="G201" s="12"/>
      <c r="H201" s="12"/>
      <c r="I201" s="12"/>
      <c r="J201" s="12"/>
    </row>
    <row r="202" spans="3:10" x14ac:dyDescent="0.25">
      <c r="C202" s="12"/>
      <c r="D202" s="12"/>
      <c r="E202" s="12"/>
      <c r="F202" s="12"/>
      <c r="G202" s="12"/>
      <c r="H202" s="12"/>
      <c r="I202" s="12"/>
      <c r="J202" s="12"/>
    </row>
    <row r="203" spans="3:10" x14ac:dyDescent="0.25">
      <c r="C203" s="12"/>
      <c r="D203" s="12"/>
      <c r="E203" s="12"/>
      <c r="F203" s="12"/>
      <c r="G203" s="12"/>
      <c r="H203" s="12"/>
      <c r="I203" s="12"/>
      <c r="J203" s="12"/>
    </row>
    <row r="204" spans="3:10" x14ac:dyDescent="0.25">
      <c r="C204" s="12"/>
      <c r="D204" s="12"/>
      <c r="E204" s="12"/>
      <c r="F204" s="12"/>
      <c r="G204" s="12"/>
      <c r="H204" s="12"/>
      <c r="I204" s="12"/>
      <c r="J204" s="12"/>
    </row>
    <row r="205" spans="3:10" x14ac:dyDescent="0.25">
      <c r="C205" s="12"/>
      <c r="D205" s="12"/>
      <c r="E205" s="12"/>
      <c r="F205" s="12"/>
      <c r="G205" s="12"/>
      <c r="H205" s="12"/>
      <c r="I205" s="12"/>
      <c r="J205" s="12"/>
    </row>
    <row r="206" spans="3:10" x14ac:dyDescent="0.25">
      <c r="C206" s="12"/>
      <c r="D206" s="12"/>
      <c r="E206" s="12"/>
      <c r="F206" s="12"/>
      <c r="G206" s="12"/>
      <c r="H206" s="12"/>
      <c r="I206" s="12"/>
      <c r="J206" s="12"/>
    </row>
    <row r="207" spans="3:10" x14ac:dyDescent="0.25">
      <c r="C207" s="12"/>
      <c r="D207" s="12"/>
      <c r="E207" s="12"/>
      <c r="F207" s="12"/>
      <c r="G207" s="12"/>
      <c r="H207" s="12"/>
      <c r="I207" s="12"/>
      <c r="J207" s="12"/>
    </row>
    <row r="208" spans="3:10" x14ac:dyDescent="0.25">
      <c r="C208" s="12"/>
      <c r="D208" s="12"/>
      <c r="E208" s="12"/>
      <c r="F208" s="12"/>
      <c r="G208" s="12"/>
      <c r="H208" s="12"/>
      <c r="I208" s="12"/>
      <c r="J208" s="12"/>
    </row>
    <row r="209" spans="3:10" x14ac:dyDescent="0.25">
      <c r="C209" s="12"/>
      <c r="D209" s="12"/>
      <c r="E209" s="12"/>
      <c r="F209" s="12"/>
      <c r="G209" s="12"/>
      <c r="H209" s="12"/>
      <c r="I209" s="12"/>
      <c r="J209" s="12"/>
    </row>
    <row r="210" spans="3:10" x14ac:dyDescent="0.25">
      <c r="C210" s="12"/>
      <c r="D210" s="12"/>
      <c r="E210" s="12"/>
      <c r="F210" s="12"/>
      <c r="G210" s="12"/>
      <c r="H210" s="12"/>
      <c r="I210" s="12"/>
      <c r="J210" s="12"/>
    </row>
    <row r="211" spans="3:10" x14ac:dyDescent="0.25">
      <c r="C211" s="12"/>
      <c r="D211" s="12"/>
      <c r="E211" s="12"/>
      <c r="F211" s="12"/>
      <c r="G211" s="12"/>
      <c r="H211" s="12"/>
      <c r="I211" s="12"/>
      <c r="J211" s="12"/>
    </row>
    <row r="212" spans="3:10" x14ac:dyDescent="0.25">
      <c r="C212" s="12"/>
      <c r="D212" s="12"/>
      <c r="E212" s="12"/>
      <c r="F212" s="12"/>
      <c r="G212" s="12"/>
      <c r="H212" s="12"/>
      <c r="I212" s="12"/>
      <c r="J212" s="12"/>
    </row>
    <row r="213" spans="3:10" x14ac:dyDescent="0.25">
      <c r="C213" s="12"/>
      <c r="D213" s="12"/>
      <c r="E213" s="12"/>
      <c r="F213" s="12"/>
      <c r="G213" s="12"/>
      <c r="H213" s="12"/>
      <c r="I213" s="12"/>
      <c r="J213" s="12"/>
    </row>
    <row r="214" spans="3:10" x14ac:dyDescent="0.25">
      <c r="C214" s="12"/>
      <c r="D214" s="12"/>
      <c r="E214" s="12"/>
      <c r="F214" s="12"/>
      <c r="G214" s="12"/>
      <c r="H214" s="12"/>
      <c r="I214" s="12"/>
      <c r="J214" s="12"/>
    </row>
    <row r="215" spans="3:10" x14ac:dyDescent="0.25">
      <c r="C215" s="12"/>
      <c r="D215" s="12"/>
      <c r="E215" s="12"/>
      <c r="F215" s="12"/>
      <c r="G215" s="12"/>
      <c r="H215" s="12"/>
      <c r="I215" s="12"/>
      <c r="J215" s="12"/>
    </row>
    <row r="216" spans="3:10" x14ac:dyDescent="0.25">
      <c r="C216" s="12"/>
      <c r="D216" s="12"/>
      <c r="E216" s="12"/>
      <c r="F216" s="12"/>
      <c r="G216" s="12"/>
      <c r="H216" s="12"/>
      <c r="I216" s="12"/>
      <c r="J216" s="12"/>
    </row>
    <row r="217" spans="3:10" x14ac:dyDescent="0.25">
      <c r="C217" s="12"/>
      <c r="D217" s="12"/>
      <c r="E217" s="12"/>
      <c r="F217" s="12"/>
      <c r="G217" s="12"/>
      <c r="H217" s="12"/>
      <c r="I217" s="12"/>
      <c r="J217" s="12"/>
    </row>
    <row r="218" spans="3:10" x14ac:dyDescent="0.25">
      <c r="C218" s="12"/>
      <c r="D218" s="12"/>
      <c r="E218" s="12"/>
      <c r="F218" s="12"/>
      <c r="G218" s="12"/>
      <c r="H218" s="12"/>
      <c r="I218" s="12"/>
      <c r="J218" s="12"/>
    </row>
    <row r="219" spans="3:10" x14ac:dyDescent="0.25">
      <c r="C219" s="12"/>
      <c r="D219" s="12"/>
      <c r="E219" s="12"/>
      <c r="F219" s="12"/>
      <c r="G219" s="12"/>
      <c r="H219" s="12"/>
      <c r="I219" s="12"/>
      <c r="J219" s="12"/>
    </row>
    <row r="220" spans="3:10" x14ac:dyDescent="0.25">
      <c r="C220" s="12"/>
      <c r="D220" s="12"/>
      <c r="E220" s="12"/>
      <c r="F220" s="12"/>
      <c r="G220" s="12"/>
      <c r="H220" s="12"/>
      <c r="I220" s="12"/>
      <c r="J220" s="12"/>
    </row>
    <row r="221" spans="3:10" x14ac:dyDescent="0.25">
      <c r="C221" s="12"/>
      <c r="D221" s="12"/>
      <c r="E221" s="12"/>
      <c r="F221" s="12"/>
      <c r="G221" s="12"/>
      <c r="H221" s="12"/>
      <c r="I221" s="12"/>
      <c r="J221" s="12"/>
    </row>
    <row r="222" spans="3:10" x14ac:dyDescent="0.25">
      <c r="C222" s="12"/>
      <c r="D222" s="12"/>
      <c r="E222" s="12"/>
      <c r="F222" s="12"/>
      <c r="G222" s="12"/>
      <c r="H222" s="12"/>
      <c r="I222" s="12"/>
      <c r="J222" s="12"/>
    </row>
    <row r="223" spans="3:10" x14ac:dyDescent="0.25">
      <c r="C223" s="12"/>
      <c r="D223" s="12"/>
      <c r="E223" s="12"/>
      <c r="F223" s="12"/>
      <c r="G223" s="12"/>
      <c r="H223" s="12"/>
      <c r="I223" s="12"/>
      <c r="J223" s="12"/>
    </row>
    <row r="224" spans="3:10" x14ac:dyDescent="0.25">
      <c r="C224" s="12"/>
      <c r="D224" s="12"/>
      <c r="E224" s="12"/>
      <c r="F224" s="12"/>
      <c r="G224" s="12"/>
      <c r="H224" s="12"/>
      <c r="I224" s="12"/>
      <c r="J224" s="12"/>
    </row>
    <row r="225" spans="3:10" x14ac:dyDescent="0.25">
      <c r="C225" s="12"/>
      <c r="D225" s="12"/>
      <c r="E225" s="12"/>
      <c r="F225" s="12"/>
      <c r="G225" s="12"/>
      <c r="H225" s="12"/>
      <c r="I225" s="12"/>
      <c r="J225" s="12"/>
    </row>
    <row r="226" spans="3:10" x14ac:dyDescent="0.25">
      <c r="C226" s="12"/>
      <c r="D226" s="12"/>
      <c r="E226" s="12"/>
      <c r="F226" s="12"/>
      <c r="G226" s="12"/>
      <c r="H226" s="12"/>
      <c r="I226" s="12"/>
      <c r="J226" s="12"/>
    </row>
    <row r="227" spans="3:10" x14ac:dyDescent="0.25">
      <c r="C227" s="12"/>
      <c r="D227" s="12"/>
      <c r="E227" s="12"/>
      <c r="F227" s="12"/>
      <c r="G227" s="12"/>
      <c r="H227" s="12"/>
      <c r="I227" s="12"/>
      <c r="J227" s="12"/>
    </row>
    <row r="228" spans="3:10" x14ac:dyDescent="0.25">
      <c r="C228" s="12"/>
      <c r="D228" s="12"/>
      <c r="E228" s="12"/>
      <c r="F228" s="12"/>
      <c r="G228" s="12"/>
      <c r="H228" s="12"/>
      <c r="I228" s="12"/>
      <c r="J228" s="12"/>
    </row>
    <row r="229" spans="3:10" x14ac:dyDescent="0.25">
      <c r="C229" s="12"/>
      <c r="D229" s="12"/>
      <c r="E229" s="12"/>
      <c r="F229" s="12"/>
      <c r="G229" s="12"/>
      <c r="H229" s="12"/>
      <c r="I229" s="12"/>
      <c r="J229" s="12"/>
    </row>
    <row r="230" spans="3:10" x14ac:dyDescent="0.25">
      <c r="C230" s="12"/>
      <c r="D230" s="12"/>
      <c r="E230" s="12"/>
      <c r="F230" s="12"/>
      <c r="G230" s="12"/>
      <c r="H230" s="12"/>
      <c r="I230" s="12"/>
      <c r="J230" s="12"/>
    </row>
    <row r="231" spans="3:10" x14ac:dyDescent="0.25">
      <c r="C231" s="12"/>
      <c r="D231" s="12"/>
      <c r="E231" s="12"/>
      <c r="F231" s="12"/>
      <c r="G231" s="12"/>
      <c r="H231" s="12"/>
      <c r="I231" s="12"/>
      <c r="J231" s="12"/>
    </row>
    <row r="232" spans="3:10" x14ac:dyDescent="0.25">
      <c r="C232" s="12"/>
      <c r="D232" s="12"/>
      <c r="E232" s="12"/>
      <c r="F232" s="12"/>
      <c r="G232" s="12"/>
      <c r="H232" s="12"/>
      <c r="I232" s="12"/>
      <c r="J232" s="12"/>
    </row>
    <row r="233" spans="3:10" x14ac:dyDescent="0.25">
      <c r="C233" s="12"/>
      <c r="D233" s="12"/>
      <c r="E233" s="12"/>
      <c r="F233" s="12"/>
      <c r="G233" s="12"/>
      <c r="H233" s="12"/>
      <c r="I233" s="12"/>
      <c r="J233" s="12"/>
    </row>
    <row r="234" spans="3:10" x14ac:dyDescent="0.25">
      <c r="C234" s="12"/>
      <c r="D234" s="12"/>
      <c r="E234" s="12"/>
      <c r="F234" s="12"/>
      <c r="G234" s="12"/>
      <c r="H234" s="12"/>
      <c r="I234" s="12"/>
      <c r="J234" s="12"/>
    </row>
    <row r="235" spans="3:10" x14ac:dyDescent="0.25">
      <c r="C235" s="12"/>
      <c r="D235" s="12"/>
      <c r="E235" s="12"/>
      <c r="F235" s="12"/>
      <c r="G235" s="12"/>
      <c r="H235" s="12"/>
      <c r="I235" s="12"/>
      <c r="J235" s="12"/>
    </row>
    <row r="236" spans="3:10" x14ac:dyDescent="0.25">
      <c r="C236" s="12"/>
      <c r="D236" s="12"/>
      <c r="E236" s="12"/>
      <c r="F236" s="12"/>
      <c r="G236" s="12"/>
      <c r="H236" s="12"/>
      <c r="I236" s="12"/>
      <c r="J236" s="12"/>
    </row>
    <row r="237" spans="3:10" x14ac:dyDescent="0.25">
      <c r="C237" s="12"/>
      <c r="D237" s="12"/>
      <c r="E237" s="12"/>
      <c r="F237" s="12"/>
      <c r="G237" s="12"/>
      <c r="H237" s="12"/>
      <c r="I237" s="12"/>
      <c r="J237" s="12"/>
    </row>
    <row r="238" spans="3:10" x14ac:dyDescent="0.25">
      <c r="C238" s="12"/>
      <c r="D238" s="12"/>
      <c r="E238" s="12"/>
      <c r="F238" s="12"/>
      <c r="G238" s="12"/>
      <c r="H238" s="12"/>
      <c r="I238" s="12"/>
      <c r="J238" s="12"/>
    </row>
    <row r="239" spans="3:10" x14ac:dyDescent="0.25">
      <c r="C239" s="12"/>
      <c r="D239" s="12"/>
      <c r="E239" s="12"/>
      <c r="F239" s="12"/>
      <c r="G239" s="12"/>
      <c r="H239" s="12"/>
      <c r="I239" s="12"/>
      <c r="J239" s="12"/>
    </row>
    <row r="240" spans="3:10" x14ac:dyDescent="0.25">
      <c r="C240" s="12"/>
      <c r="D240" s="12"/>
      <c r="E240" s="12"/>
      <c r="F240" s="12"/>
      <c r="G240" s="12"/>
      <c r="H240" s="12"/>
      <c r="I240" s="12"/>
      <c r="J240" s="12"/>
    </row>
    <row r="241" spans="3:10" x14ac:dyDescent="0.25">
      <c r="C241" s="12"/>
      <c r="D241" s="12"/>
      <c r="E241" s="12"/>
      <c r="F241" s="12"/>
      <c r="G241" s="12"/>
      <c r="H241" s="12"/>
      <c r="I241" s="12"/>
      <c r="J241" s="12"/>
    </row>
    <row r="242" spans="3:10" x14ac:dyDescent="0.25">
      <c r="C242" s="12"/>
      <c r="D242" s="12"/>
      <c r="E242" s="12"/>
      <c r="F242" s="12"/>
      <c r="G242" s="12"/>
      <c r="H242" s="12"/>
      <c r="I242" s="12"/>
      <c r="J242" s="12"/>
    </row>
    <row r="243" spans="3:10" x14ac:dyDescent="0.25">
      <c r="C243" s="12"/>
      <c r="D243" s="12"/>
      <c r="E243" s="12"/>
      <c r="F243" s="12"/>
      <c r="G243" s="12"/>
      <c r="H243" s="12"/>
      <c r="I243" s="12"/>
      <c r="J243" s="12"/>
    </row>
    <row r="244" spans="3:10" x14ac:dyDescent="0.25">
      <c r="C244" s="12"/>
      <c r="D244" s="12"/>
      <c r="E244" s="12"/>
      <c r="F244" s="12"/>
      <c r="G244" s="12"/>
      <c r="H244" s="12"/>
      <c r="I244" s="12"/>
      <c r="J244" s="12"/>
    </row>
    <row r="245" spans="3:10" x14ac:dyDescent="0.25">
      <c r="C245" s="12"/>
      <c r="D245" s="12"/>
      <c r="E245" s="12"/>
      <c r="F245" s="12"/>
      <c r="G245" s="12"/>
      <c r="H245" s="12"/>
      <c r="I245" s="12"/>
      <c r="J245" s="12"/>
    </row>
    <row r="246" spans="3:10" x14ac:dyDescent="0.25">
      <c r="C246" s="12"/>
      <c r="D246" s="12"/>
      <c r="E246" s="12"/>
      <c r="F246" s="12"/>
      <c r="G246" s="12"/>
      <c r="H246" s="12"/>
      <c r="I246" s="12"/>
      <c r="J246" s="12"/>
    </row>
    <row r="247" spans="3:10" x14ac:dyDescent="0.25">
      <c r="C247" s="12"/>
      <c r="D247" s="12"/>
      <c r="E247" s="12"/>
      <c r="F247" s="12"/>
      <c r="G247" s="12"/>
      <c r="H247" s="12"/>
      <c r="I247" s="12"/>
      <c r="J247" s="12"/>
    </row>
    <row r="248" spans="3:10" x14ac:dyDescent="0.25">
      <c r="C248" s="12"/>
      <c r="D248" s="12"/>
      <c r="E248" s="12"/>
      <c r="F248" s="12"/>
      <c r="G248" s="12"/>
      <c r="H248" s="12"/>
      <c r="I248" s="12"/>
      <c r="J248" s="12"/>
    </row>
    <row r="249" spans="3:10" x14ac:dyDescent="0.25">
      <c r="C249" s="12"/>
      <c r="D249" s="12"/>
      <c r="E249" s="12"/>
      <c r="F249" s="12"/>
      <c r="G249" s="12"/>
      <c r="H249" s="12"/>
      <c r="I249" s="12"/>
      <c r="J249" s="12"/>
    </row>
    <row r="250" spans="3:10" x14ac:dyDescent="0.25">
      <c r="C250" s="12"/>
      <c r="D250" s="12"/>
      <c r="E250" s="12"/>
      <c r="F250" s="12"/>
      <c r="G250" s="12"/>
      <c r="H250" s="12"/>
      <c r="I250" s="12"/>
      <c r="J250" s="12"/>
    </row>
    <row r="251" spans="3:10" x14ac:dyDescent="0.25">
      <c r="C251" s="12"/>
      <c r="D251" s="12"/>
      <c r="E251" s="12"/>
      <c r="F251" s="12"/>
      <c r="G251" s="12"/>
      <c r="H251" s="12"/>
      <c r="I251" s="12"/>
      <c r="J251" s="12"/>
    </row>
    <row r="252" spans="3:10" x14ac:dyDescent="0.25">
      <c r="C252" s="12"/>
      <c r="D252" s="12"/>
      <c r="E252" s="12"/>
      <c r="F252" s="12"/>
      <c r="G252" s="12"/>
      <c r="H252" s="12"/>
      <c r="I252" s="12"/>
      <c r="J252" s="12"/>
    </row>
  </sheetData>
  <mergeCells count="11">
    <mergeCell ref="M5:M7"/>
    <mergeCell ref="Q6:Q7"/>
    <mergeCell ref="R6:R7"/>
    <mergeCell ref="L2:W2"/>
    <mergeCell ref="N4:V4"/>
    <mergeCell ref="N5:N7"/>
    <mergeCell ref="O5:O7"/>
    <mergeCell ref="P5:P7"/>
    <mergeCell ref="U5:U7"/>
    <mergeCell ref="V5:V7"/>
    <mergeCell ref="W5:W7"/>
  </mergeCells>
  <phoneticPr fontId="13" type="noConversion"/>
  <pageMargins left="0.75000000000000011" right="0.75000000000000011" top="0.98" bottom="0.98" header="0.51" footer="0.51"/>
  <pageSetup paperSize="9" scale="68" orientation="landscape" horizontalDpi="4294967292" verticalDpi="4294967292"/>
  <extLst>
    <ext xmlns:mx="http://schemas.microsoft.com/office/mac/excel/2008/main" uri="{64002731-A6B0-56B0-2670-7721B7C09600}">
      <mx:PLV Mode="0" OnePage="0" WScale="0"/>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AA252"/>
  <sheetViews>
    <sheetView zoomScale="70" zoomScaleNormal="70" zoomScalePageLayoutView="70" workbookViewId="0">
      <pane xSplit="1" ySplit="7" topLeftCell="B13" activePane="bottomRight" state="frozen"/>
      <selection pane="topRight" activeCell="B1" sqref="B1"/>
      <selection pane="bottomLeft" activeCell="A9" sqref="A9"/>
      <selection pane="bottomRight" activeCell="T13" sqref="T13"/>
    </sheetView>
  </sheetViews>
  <sheetFormatPr baseColWidth="10" defaultColWidth="9.26953125" defaultRowHeight="13.2" x14ac:dyDescent="0.25"/>
  <cols>
    <col min="1" max="1" width="7.453125" style="9" hidden="1" customWidth="1"/>
    <col min="2" max="4" width="10.7265625" style="9" hidden="1" customWidth="1"/>
    <col min="5" max="5" width="11" style="9" hidden="1" customWidth="1"/>
    <col min="6" max="6" width="9" style="9" hidden="1" customWidth="1"/>
    <col min="7" max="8" width="8.7265625" style="9" hidden="1" customWidth="1"/>
    <col min="9" max="9" width="10.7265625" style="9" hidden="1" customWidth="1"/>
    <col min="10" max="10" width="8.1796875" style="9" hidden="1" customWidth="1"/>
    <col min="11" max="11" width="2" style="9" customWidth="1"/>
    <col min="12" max="21" width="13.7265625" style="9" customWidth="1"/>
    <col min="22" max="22" width="2.7265625" style="9" customWidth="1"/>
    <col min="23" max="16384" width="9.26953125" style="9"/>
  </cols>
  <sheetData>
    <row r="1" spans="1:27" ht="13.8" thickBot="1" x14ac:dyDescent="0.3">
      <c r="A1" s="163"/>
      <c r="B1" s="162"/>
      <c r="C1" s="161"/>
      <c r="D1" s="161"/>
      <c r="E1" s="161"/>
      <c r="F1" s="161"/>
      <c r="G1" s="161"/>
      <c r="H1" s="161"/>
      <c r="I1" s="161"/>
      <c r="J1" s="161"/>
    </row>
    <row r="2" spans="1:27" customFormat="1" ht="49.95" customHeight="1" thickTop="1" x14ac:dyDescent="0.25">
      <c r="A2" s="9"/>
      <c r="B2" s="9"/>
      <c r="C2" s="9"/>
      <c r="D2" s="9"/>
      <c r="E2" s="9"/>
      <c r="F2" s="9"/>
      <c r="G2" s="9"/>
      <c r="H2" s="9"/>
      <c r="I2" s="9"/>
      <c r="J2" s="9"/>
      <c r="K2" s="13"/>
      <c r="L2" s="742" t="s">
        <v>917</v>
      </c>
      <c r="M2" s="743"/>
      <c r="N2" s="744"/>
      <c r="O2" s="744"/>
      <c r="P2" s="744"/>
      <c r="Q2" s="744"/>
      <c r="R2" s="744"/>
      <c r="S2" s="744"/>
      <c r="T2" s="744"/>
      <c r="U2" s="765"/>
    </row>
    <row r="3" spans="1:27" x14ac:dyDescent="0.25">
      <c r="K3" s="10"/>
      <c r="L3" s="18"/>
      <c r="M3" s="11" t="s">
        <v>85</v>
      </c>
      <c r="N3" s="11" t="s">
        <v>86</v>
      </c>
      <c r="O3" s="11" t="s">
        <v>87</v>
      </c>
      <c r="P3" s="11" t="s">
        <v>88</v>
      </c>
      <c r="Q3" s="11" t="s">
        <v>89</v>
      </c>
      <c r="R3" s="11" t="s">
        <v>90</v>
      </c>
      <c r="S3" s="11" t="s">
        <v>91</v>
      </c>
      <c r="T3" s="11" t="s">
        <v>92</v>
      </c>
      <c r="U3" s="37" t="s">
        <v>93</v>
      </c>
    </row>
    <row r="4" spans="1:27" ht="16.05" customHeight="1" thickBot="1" x14ac:dyDescent="0.3">
      <c r="K4" s="14"/>
      <c r="L4" s="18"/>
      <c r="M4" s="185"/>
      <c r="N4" s="746" t="s">
        <v>140</v>
      </c>
      <c r="O4" s="746"/>
      <c r="P4" s="746"/>
      <c r="Q4" s="746"/>
      <c r="R4" s="746"/>
      <c r="S4" s="746"/>
      <c r="T4" s="746"/>
      <c r="U4" s="766"/>
    </row>
    <row r="5" spans="1:27" ht="31.95" customHeight="1" x14ac:dyDescent="0.25">
      <c r="K5" s="10"/>
      <c r="L5" s="18"/>
      <c r="M5" s="735" t="s">
        <v>598</v>
      </c>
      <c r="N5" s="749" t="s">
        <v>582</v>
      </c>
      <c r="O5" s="752" t="s">
        <v>581</v>
      </c>
      <c r="P5" s="752" t="s">
        <v>580</v>
      </c>
      <c r="Q5" s="160"/>
      <c r="R5" s="160"/>
      <c r="S5" s="160"/>
      <c r="T5" s="160"/>
      <c r="U5" s="767" t="s">
        <v>579</v>
      </c>
    </row>
    <row r="6" spans="1:27" ht="25.05" customHeight="1" thickBot="1" x14ac:dyDescent="0.3">
      <c r="K6" s="10"/>
      <c r="L6" s="18"/>
      <c r="M6" s="736"/>
      <c r="N6" s="750"/>
      <c r="O6" s="753"/>
      <c r="P6" s="753"/>
      <c r="Q6" s="738" t="s">
        <v>576</v>
      </c>
      <c r="R6" s="763" t="s">
        <v>575</v>
      </c>
      <c r="S6" s="159"/>
      <c r="T6" s="158"/>
      <c r="U6" s="768"/>
    </row>
    <row r="7" spans="1:27" ht="61.05" customHeight="1" thickBot="1" x14ac:dyDescent="0.3">
      <c r="K7" s="10"/>
      <c r="L7" s="19"/>
      <c r="M7" s="737"/>
      <c r="N7" s="751"/>
      <c r="O7" s="754"/>
      <c r="P7" s="754"/>
      <c r="Q7" s="739"/>
      <c r="R7" s="764"/>
      <c r="S7" s="157" t="s">
        <v>574</v>
      </c>
      <c r="T7" s="203" t="s">
        <v>573</v>
      </c>
      <c r="U7" s="769"/>
    </row>
    <row r="8" spans="1:27" hidden="1" x14ac:dyDescent="0.25">
      <c r="K8" s="10"/>
      <c r="L8" s="156">
        <v>1970</v>
      </c>
      <c r="M8" s="170">
        <v>14</v>
      </c>
      <c r="N8" s="155">
        <v>184.61704</v>
      </c>
      <c r="O8" s="154">
        <v>159.38301000000001</v>
      </c>
      <c r="P8" s="153">
        <v>21.633673999999999</v>
      </c>
      <c r="Q8" s="152">
        <v>0.86045711000000002</v>
      </c>
      <c r="R8" s="151">
        <v>20.773215</v>
      </c>
      <c r="S8" s="150">
        <v>13.198475999999999</v>
      </c>
      <c r="T8" s="204"/>
      <c r="U8" s="147">
        <v>3.6003559999999997</v>
      </c>
    </row>
    <row r="9" spans="1:27" hidden="1" x14ac:dyDescent="0.25">
      <c r="K9" s="10"/>
      <c r="L9" s="156">
        <f t="shared" ref="L9:L46" si="0">L8+1</f>
        <v>1971</v>
      </c>
      <c r="M9" s="170">
        <v>20</v>
      </c>
      <c r="N9" s="155">
        <v>257.50610255999999</v>
      </c>
      <c r="O9" s="154">
        <v>225.68699443000003</v>
      </c>
      <c r="P9" s="153">
        <v>25.922380647000001</v>
      </c>
      <c r="Q9" s="152">
        <v>1.1980906200000001</v>
      </c>
      <c r="R9" s="151">
        <v>24.724289067000001</v>
      </c>
      <c r="S9" s="150">
        <v>14.475921216000001</v>
      </c>
      <c r="T9" s="204"/>
      <c r="U9" s="147">
        <v>5.8967274829999479</v>
      </c>
    </row>
    <row r="10" spans="1:27" hidden="1" x14ac:dyDescent="0.25">
      <c r="K10" s="10"/>
      <c r="L10" s="156">
        <f t="shared" si="0"/>
        <v>1972</v>
      </c>
      <c r="M10" s="170">
        <v>23</v>
      </c>
      <c r="N10" s="155">
        <v>309.59936167999996</v>
      </c>
      <c r="O10" s="154">
        <v>268.20753964999994</v>
      </c>
      <c r="P10" s="153">
        <v>33.790628561999995</v>
      </c>
      <c r="Q10" s="152">
        <v>1.41022987</v>
      </c>
      <c r="R10" s="151">
        <v>32.380402591999996</v>
      </c>
      <c r="S10" s="150">
        <v>16.445797138000003</v>
      </c>
      <c r="T10" s="204"/>
      <c r="U10" s="147">
        <v>7.6011934680000417</v>
      </c>
    </row>
    <row r="11" spans="1:27" hidden="1" x14ac:dyDescent="0.25">
      <c r="K11" s="10"/>
      <c r="L11" s="156">
        <f t="shared" si="0"/>
        <v>1973</v>
      </c>
      <c r="M11" s="170">
        <v>23</v>
      </c>
      <c r="N11" s="155">
        <v>424.89523181000004</v>
      </c>
      <c r="O11" s="154">
        <v>364.33756830999999</v>
      </c>
      <c r="P11" s="153">
        <v>49.740275382</v>
      </c>
      <c r="Q11" s="152">
        <v>1.5681824499999999</v>
      </c>
      <c r="R11" s="151">
        <v>48.172092742000004</v>
      </c>
      <c r="S11" s="150">
        <v>25.941071351999998</v>
      </c>
      <c r="T11" s="204"/>
      <c r="U11" s="147">
        <v>10.817388118000025</v>
      </c>
    </row>
    <row r="12" spans="1:27" hidden="1" x14ac:dyDescent="0.25">
      <c r="K12" s="10"/>
      <c r="L12" s="156">
        <f t="shared" si="0"/>
        <v>1974</v>
      </c>
      <c r="M12" s="170">
        <v>37</v>
      </c>
      <c r="N12" s="155">
        <v>597.04969229999995</v>
      </c>
      <c r="O12" s="154">
        <v>519.32204029000002</v>
      </c>
      <c r="P12" s="153">
        <v>64.21533229740001</v>
      </c>
      <c r="Q12" s="152">
        <v>1.4988017534</v>
      </c>
      <c r="R12" s="151">
        <v>62.716530349400003</v>
      </c>
      <c r="S12" s="150">
        <v>29.040370952999996</v>
      </c>
      <c r="T12" s="204"/>
      <c r="U12" s="147">
        <v>13.512319712600009</v>
      </c>
    </row>
    <row r="13" spans="1:27" ht="14.4" x14ac:dyDescent="0.25">
      <c r="K13" s="10"/>
      <c r="L13" s="16">
        <f t="shared" si="0"/>
        <v>1975</v>
      </c>
      <c r="M13" s="171">
        <v>62</v>
      </c>
      <c r="N13" s="141">
        <f>'Table A19'!N13-'Table A21'!N13</f>
        <v>893.25550337960397</v>
      </c>
      <c r="O13" s="34">
        <f>'Table A19'!O13-'Table A21'!O13</f>
        <v>769.24633114753306</v>
      </c>
      <c r="P13" s="34">
        <f>'Table A19'!P13-'Table A21'!P13</f>
        <v>76.458056727189586</v>
      </c>
      <c r="Q13" s="139">
        <f>'Table A19'!Q13-'Table A21'!Q13</f>
        <v>3.2501645144013303</v>
      </c>
      <c r="R13" s="608">
        <f>'Table A19'!R13-'Table A21'!R13</f>
        <v>73.207892212788266</v>
      </c>
      <c r="S13" s="34">
        <f>'Table A19'!S13-'Table A21'!S13</f>
        <v>18.077073782136523</v>
      </c>
      <c r="T13" s="193">
        <f>'Table A19'!T13-'Table A21'!T13</f>
        <v>55.130818430651743</v>
      </c>
      <c r="U13" s="126">
        <f>'Table A19'!U13-'Table A21'!U13</f>
        <v>47.551115504881309</v>
      </c>
      <c r="W13" s="12"/>
      <c r="X13" s="53"/>
      <c r="Y13" s="53"/>
      <c r="Z13" s="53"/>
      <c r="AA13" s="53"/>
    </row>
    <row r="14" spans="1:27" ht="14.4" x14ac:dyDescent="0.25">
      <c r="K14" s="10"/>
      <c r="L14" s="16">
        <f t="shared" si="0"/>
        <v>1976</v>
      </c>
      <c r="M14" s="171">
        <v>89</v>
      </c>
      <c r="N14" s="141">
        <f>'Table A19'!N14-'Table A21'!N14</f>
        <v>1099.8668506580477</v>
      </c>
      <c r="O14" s="34">
        <f>'Table A19'!O14-'Table A21'!O14</f>
        <v>960.37558397034297</v>
      </c>
      <c r="P14" s="34">
        <f>'Table A19'!P14-'Table A21'!P14</f>
        <v>85.11986208777769</v>
      </c>
      <c r="Q14" s="139">
        <f>'Table A19'!Q14-'Table A21'!Q14</f>
        <v>3.4805167113771649</v>
      </c>
      <c r="R14" s="608">
        <f>'Table A19'!R14-'Table A21'!R14</f>
        <v>81.639345376400527</v>
      </c>
      <c r="S14" s="34">
        <f>'Table A19'!S14-'Table A21'!S14</f>
        <v>21.92244473269589</v>
      </c>
      <c r="T14" s="193">
        <f>'Table A19'!T14-'Table A21'!T14</f>
        <v>59.716900643704626</v>
      </c>
      <c r="U14" s="126">
        <f>'Table A19'!U14-'Table A21'!U14</f>
        <v>54.371404599927104</v>
      </c>
      <c r="W14" s="12"/>
      <c r="X14" s="53"/>
      <c r="Y14" s="53"/>
      <c r="Z14" s="53"/>
      <c r="AA14" s="53"/>
    </row>
    <row r="15" spans="1:27" ht="14.4" x14ac:dyDescent="0.25">
      <c r="K15" s="10"/>
      <c r="L15" s="16">
        <f t="shared" si="0"/>
        <v>1977</v>
      </c>
      <c r="M15" s="171">
        <v>118</v>
      </c>
      <c r="N15" s="141">
        <f>'Table A19'!N15-'Table A21'!N15</f>
        <v>1458.3805554764863</v>
      </c>
      <c r="O15" s="34">
        <f>'Table A19'!O15-'Table A21'!O15</f>
        <v>1275.8832261225941</v>
      </c>
      <c r="P15" s="34">
        <f>'Table A19'!P15-'Table A21'!P15</f>
        <v>112.81179034177336</v>
      </c>
      <c r="Q15" s="139">
        <f>'Table A19'!Q15-'Table A21'!Q15</f>
        <v>6.0529341007339745</v>
      </c>
      <c r="R15" s="608">
        <f>'Table A19'!R15-'Table A21'!R15</f>
        <v>106.75885624103938</v>
      </c>
      <c r="S15" s="34">
        <f>'Table A19'!S15-'Table A21'!S15</f>
        <v>31.209464424623494</v>
      </c>
      <c r="T15" s="193">
        <f>'Table A19'!T15-'Table A21'!T15</f>
        <v>75.549391816415891</v>
      </c>
      <c r="U15" s="126">
        <f>'Table A19'!U15-'Table A21'!U15</f>
        <v>69.685539012118966</v>
      </c>
      <c r="W15" s="12"/>
      <c r="X15" s="53"/>
      <c r="Y15" s="53"/>
      <c r="Z15" s="53"/>
      <c r="AA15" s="53"/>
    </row>
    <row r="16" spans="1:27" ht="14.4" x14ac:dyDescent="0.25">
      <c r="K16" s="10"/>
      <c r="L16" s="16">
        <f t="shared" si="0"/>
        <v>1978</v>
      </c>
      <c r="M16" s="171">
        <v>124</v>
      </c>
      <c r="N16" s="141">
        <f>'Table A19'!N16-'Table A21'!N16</f>
        <v>1719.4036668288679</v>
      </c>
      <c r="O16" s="34">
        <f>'Table A19'!O16-'Table A21'!O16</f>
        <v>1482.891954595591</v>
      </c>
      <c r="P16" s="34">
        <f>'Table A19'!P16-'Table A21'!P16</f>
        <v>149.22755216883129</v>
      </c>
      <c r="Q16" s="139">
        <f>'Table A19'!Q16-'Table A21'!Q16</f>
        <v>7.5104677996277749</v>
      </c>
      <c r="R16" s="608">
        <f>'Table A19'!R16-'Table A21'!R16</f>
        <v>141.71708436920352</v>
      </c>
      <c r="S16" s="34">
        <f>'Table A19'!S16-'Table A21'!S16</f>
        <v>36.147958192610758</v>
      </c>
      <c r="T16" s="193">
        <f>'Table A19'!T16-'Table A21'!T16</f>
        <v>105.56912617659277</v>
      </c>
      <c r="U16" s="126">
        <f>'Table A19'!U16-'Table A21'!U16</f>
        <v>87.284160064445771</v>
      </c>
      <c r="W16" s="12"/>
      <c r="X16" s="53"/>
      <c r="Y16" s="53"/>
      <c r="Z16" s="53"/>
      <c r="AA16" s="53"/>
    </row>
    <row r="17" spans="11:27" ht="14.4" x14ac:dyDescent="0.25">
      <c r="K17" s="10"/>
      <c r="L17" s="146">
        <f t="shared" si="0"/>
        <v>1979</v>
      </c>
      <c r="M17" s="605">
        <v>129</v>
      </c>
      <c r="N17" s="607">
        <f>'Table A19'!N17-'Table A21'!N17</f>
        <v>2223.4037714088195</v>
      </c>
      <c r="O17" s="145">
        <f>'Table A19'!O17-'Table A21'!O17</f>
        <v>1895.7203148211356</v>
      </c>
      <c r="P17" s="145">
        <f>'Table A19'!P17-'Table A21'!P17</f>
        <v>220.62228492652085</v>
      </c>
      <c r="Q17" s="602">
        <f>'Table A19'!Q17-'Table A21'!Q17</f>
        <v>8.1463781752478681</v>
      </c>
      <c r="R17" s="609">
        <f>'Table A19'!R17-'Table A21'!R17</f>
        <v>212.47590675127296</v>
      </c>
      <c r="S17" s="145">
        <f>'Table A19'!S17-'Table A21'!S17</f>
        <v>46.783890924034921</v>
      </c>
      <c r="T17" s="195">
        <f>'Table A19'!T17-'Table A21'!T17</f>
        <v>165.69201582723804</v>
      </c>
      <c r="U17" s="606">
        <f>'Table A19'!U17-'Table A21'!U17</f>
        <v>107.06117166116317</v>
      </c>
      <c r="W17" s="12"/>
      <c r="X17" s="53"/>
      <c r="Y17" s="53"/>
      <c r="Z17" s="53"/>
      <c r="AA17" s="53"/>
    </row>
    <row r="18" spans="11:27" ht="14.4" x14ac:dyDescent="0.25">
      <c r="K18" s="10"/>
      <c r="L18" s="16">
        <f t="shared" si="0"/>
        <v>1980</v>
      </c>
      <c r="M18" s="171">
        <v>135</v>
      </c>
      <c r="N18" s="141">
        <f>'Table A19'!N18-'Table A21'!N18</f>
        <v>2741.6036401283263</v>
      </c>
      <c r="O18" s="34">
        <f>'Table A19'!O18-'Table A21'!O18</f>
        <v>2304.1125764204885</v>
      </c>
      <c r="P18" s="34">
        <f>'Table A19'!P18-'Table A21'!P18</f>
        <v>312.62192286279111</v>
      </c>
      <c r="Q18" s="139">
        <f>'Table A19'!Q18-'Table A21'!Q18</f>
        <v>10.720258233527437</v>
      </c>
      <c r="R18" s="608">
        <f>'Table A19'!R18-'Table A21'!R18</f>
        <v>301.90166462926362</v>
      </c>
      <c r="S18" s="34">
        <f>'Table A19'!S18-'Table A21'!S18</f>
        <v>58.498224560544664</v>
      </c>
      <c r="T18" s="193">
        <f>'Table A19'!T18-'Table A21'!T18</f>
        <v>243.40344006871896</v>
      </c>
      <c r="U18" s="126">
        <f>'Table A19'!U18-'Table A21'!U18</f>
        <v>124.86914084504691</v>
      </c>
      <c r="W18" s="12"/>
      <c r="X18" s="53"/>
      <c r="Y18" s="53"/>
      <c r="Z18" s="53"/>
      <c r="AA18" s="53"/>
    </row>
    <row r="19" spans="11:27" ht="14.4" x14ac:dyDescent="0.25">
      <c r="K19" s="10"/>
      <c r="L19" s="16">
        <f t="shared" si="0"/>
        <v>1981</v>
      </c>
      <c r="M19" s="171">
        <v>138</v>
      </c>
      <c r="N19" s="141">
        <f>'Table A19'!N19-'Table A21'!N19</f>
        <v>2866.5698593993434</v>
      </c>
      <c r="O19" s="34">
        <f>'Table A19'!O19-'Table A21'!O19</f>
        <v>2339.2238345806431</v>
      </c>
      <c r="P19" s="34">
        <f>'Table A19'!P19-'Table A21'!P19</f>
        <v>401.6676784140094</v>
      </c>
      <c r="Q19" s="139">
        <f>'Table A19'!Q19-'Table A21'!Q19</f>
        <v>11.956351036926476</v>
      </c>
      <c r="R19" s="608">
        <f>'Table A19'!R19-'Table A21'!R19</f>
        <v>389.71132737708291</v>
      </c>
      <c r="S19" s="34">
        <f>'Table A19'!S19-'Table A21'!S19</f>
        <v>59.735271428452982</v>
      </c>
      <c r="T19" s="193">
        <f>'Table A19'!T19-'Table A21'!T19</f>
        <v>329.97605594862995</v>
      </c>
      <c r="U19" s="126">
        <f>'Table A19'!U19-'Table A21'!U19</f>
        <v>125.67834640469081</v>
      </c>
      <c r="W19" s="12"/>
      <c r="X19" s="53"/>
      <c r="Y19" s="53"/>
      <c r="Z19" s="53"/>
      <c r="AA19" s="53"/>
    </row>
    <row r="20" spans="11:27" ht="14.4" x14ac:dyDescent="0.25">
      <c r="K20" s="10"/>
      <c r="L20" s="16">
        <f t="shared" si="0"/>
        <v>1982</v>
      </c>
      <c r="M20" s="171">
        <v>142</v>
      </c>
      <c r="N20" s="141">
        <f>'Table A19'!N20-'Table A21'!N20</f>
        <v>2767.5604432628265</v>
      </c>
      <c r="O20" s="34">
        <f>'Table A19'!O20-'Table A21'!O20</f>
        <v>2226.8869617134096</v>
      </c>
      <c r="P20" s="34">
        <f>'Table A19'!P20-'Table A21'!P20</f>
        <v>412.59901404277474</v>
      </c>
      <c r="Q20" s="139">
        <f>'Table A19'!Q20-'Table A21'!Q20</f>
        <v>13.194693823349214</v>
      </c>
      <c r="R20" s="608">
        <f>'Table A19'!R20-'Table A21'!R20</f>
        <v>399.40432021942553</v>
      </c>
      <c r="S20" s="34">
        <f>'Table A19'!S20-'Table A21'!S20</f>
        <v>45.994008077109932</v>
      </c>
      <c r="T20" s="193">
        <f>'Table A19'!T20-'Table A21'!T20</f>
        <v>353.4103121423156</v>
      </c>
      <c r="U20" s="126">
        <f>'Table A19'!U20-'Table A21'!U20</f>
        <v>128.07446750664201</v>
      </c>
      <c r="W20" s="12"/>
      <c r="X20" s="53"/>
      <c r="Y20" s="53"/>
      <c r="Z20" s="53"/>
      <c r="AA20" s="53"/>
    </row>
    <row r="21" spans="11:27" ht="14.4" x14ac:dyDescent="0.25">
      <c r="K21" s="10"/>
      <c r="L21" s="16">
        <f t="shared" si="0"/>
        <v>1983</v>
      </c>
      <c r="M21" s="171">
        <v>142</v>
      </c>
      <c r="N21" s="141">
        <f>'Table A19'!N21-'Table A21'!N21</f>
        <v>2656.1395335098487</v>
      </c>
      <c r="O21" s="34">
        <f>'Table A19'!O21-'Table A21'!O21</f>
        <v>2169.5702593776032</v>
      </c>
      <c r="P21" s="34">
        <f>'Table A19'!P21-'Table A21'!P21</f>
        <v>360.65671936583459</v>
      </c>
      <c r="Q21" s="139">
        <f>'Table A19'!Q21-'Table A21'!Q21</f>
        <v>12.380693742114472</v>
      </c>
      <c r="R21" s="608">
        <f>'Table A19'!R21-'Table A21'!R21</f>
        <v>348.27602562372016</v>
      </c>
      <c r="S21" s="34">
        <f>'Table A19'!S21-'Table A21'!S21</f>
        <v>44.89753032727949</v>
      </c>
      <c r="T21" s="193">
        <f>'Table A19'!T21-'Table A21'!T21</f>
        <v>303.37849529644069</v>
      </c>
      <c r="U21" s="126">
        <f>'Table A19'!U21-'Table A21'!U21</f>
        <v>125.91255476641082</v>
      </c>
      <c r="W21" s="12"/>
      <c r="X21" s="53"/>
      <c r="Y21" s="53"/>
      <c r="Z21" s="53"/>
      <c r="AA21" s="53"/>
    </row>
    <row r="22" spans="11:27" ht="14.4" x14ac:dyDescent="0.25">
      <c r="K22" s="10"/>
      <c r="L22" s="16">
        <f t="shared" si="0"/>
        <v>1984</v>
      </c>
      <c r="M22" s="171">
        <v>144</v>
      </c>
      <c r="N22" s="141">
        <f>'Table A19'!N22-'Table A21'!N22</f>
        <v>2815.3323324233661</v>
      </c>
      <c r="O22" s="34">
        <f>'Table A19'!O22-'Table A21'!O22</f>
        <v>2284.0414756672826</v>
      </c>
      <c r="P22" s="34">
        <f>'Table A19'!P22-'Table A21'!P22</f>
        <v>403.06417933536812</v>
      </c>
      <c r="Q22" s="139">
        <f>'Table A19'!Q22-'Table A21'!Q22</f>
        <v>12.55011893609726</v>
      </c>
      <c r="R22" s="608">
        <f>'Table A19'!R22-'Table A21'!R22</f>
        <v>390.51406039927087</v>
      </c>
      <c r="S22" s="34">
        <f>'Table A19'!S22-'Table A21'!S22</f>
        <v>51.335457357448043</v>
      </c>
      <c r="T22" s="193">
        <f>'Table A19'!T22-'Table A21'!T22</f>
        <v>339.17860304182284</v>
      </c>
      <c r="U22" s="126">
        <f>'Table A19'!U22-'Table A21'!U22</f>
        <v>128.2266774207153</v>
      </c>
      <c r="W22" s="12"/>
      <c r="X22" s="53"/>
      <c r="Y22" s="53"/>
      <c r="Z22" s="53"/>
      <c r="AA22" s="53"/>
    </row>
    <row r="23" spans="11:27" ht="14.4" x14ac:dyDescent="0.25">
      <c r="K23" s="10"/>
      <c r="L23" s="16">
        <f t="shared" si="0"/>
        <v>1985</v>
      </c>
      <c r="M23" s="171">
        <v>146</v>
      </c>
      <c r="N23" s="141">
        <f>'Table A19'!N23-'Table A21'!N23</f>
        <v>2838.9711083258808</v>
      </c>
      <c r="O23" s="34">
        <f>'Table A19'!O23-'Table A21'!O23</f>
        <v>2304.2268986379399</v>
      </c>
      <c r="P23" s="34">
        <f>'Table A19'!P23-'Table A21'!P23</f>
        <v>403.66919155844727</v>
      </c>
      <c r="Q23" s="139">
        <f>'Table A19'!Q23-'Table A21'!Q23</f>
        <v>13.757351184695391</v>
      </c>
      <c r="R23" s="608">
        <f>'Table A19'!R23-'Table A21'!R23</f>
        <v>389.91184037375189</v>
      </c>
      <c r="S23" s="34">
        <f>'Table A19'!S23-'Table A21'!S23</f>
        <v>49.428544913168977</v>
      </c>
      <c r="T23" s="193">
        <f>'Table A19'!T23-'Table A21'!T23</f>
        <v>340.48329546058289</v>
      </c>
      <c r="U23" s="126">
        <f>'Table A19'!U23-'Table A21'!U23</f>
        <v>131.07501812949337</v>
      </c>
      <c r="W23" s="12"/>
      <c r="X23" s="53"/>
      <c r="Y23" s="53"/>
      <c r="Z23" s="53"/>
      <c r="AA23" s="53"/>
    </row>
    <row r="24" spans="11:27" ht="14.4" x14ac:dyDescent="0.25">
      <c r="K24" s="10"/>
      <c r="L24" s="16">
        <f t="shared" si="0"/>
        <v>1986</v>
      </c>
      <c r="M24" s="171">
        <v>148</v>
      </c>
      <c r="N24" s="141">
        <f>'Table A19'!N24-'Table A21'!N24</f>
        <v>3133.7802651232787</v>
      </c>
      <c r="O24" s="34">
        <f>'Table A19'!O24-'Table A21'!O24</f>
        <v>2539.6518842641426</v>
      </c>
      <c r="P24" s="34">
        <f>'Table A19'!P24-'Table A21'!P24</f>
        <v>436.78869984145769</v>
      </c>
      <c r="Q24" s="139">
        <f>'Table A19'!Q24-'Table A21'!Q24</f>
        <v>17.758705079005225</v>
      </c>
      <c r="R24" s="608">
        <f>'Table A19'!R24-'Table A21'!R24</f>
        <v>419.02999476245247</v>
      </c>
      <c r="S24" s="34">
        <f>'Table A19'!S24-'Table A21'!S24</f>
        <v>50.246810610129018</v>
      </c>
      <c r="T24" s="193">
        <f>'Table A19'!T24-'Table A21'!T24</f>
        <v>368.78318415232343</v>
      </c>
      <c r="U24" s="126">
        <f>'Table A19'!U24-'Table A21'!U24</f>
        <v>157.33968101767832</v>
      </c>
      <c r="W24" s="12"/>
      <c r="X24" s="53"/>
      <c r="Y24" s="53"/>
      <c r="Z24" s="53"/>
      <c r="AA24" s="53"/>
    </row>
    <row r="25" spans="11:27" ht="14.4" x14ac:dyDescent="0.25">
      <c r="K25" s="10"/>
      <c r="L25" s="16">
        <f t="shared" si="0"/>
        <v>1987</v>
      </c>
      <c r="M25" s="171">
        <v>149</v>
      </c>
      <c r="N25" s="141">
        <f>'Table A19'!N25-'Table A21'!N25</f>
        <v>3679.636513181566</v>
      </c>
      <c r="O25" s="34">
        <f>'Table A19'!O25-'Table A21'!O25</f>
        <v>2979.0562133782596</v>
      </c>
      <c r="P25" s="34">
        <f>'Table A19'!P25-'Table A21'!P25</f>
        <v>514.13599599603265</v>
      </c>
      <c r="Q25" s="139">
        <f>'Table A19'!Q25-'Table A21'!Q25</f>
        <v>21.60744878864951</v>
      </c>
      <c r="R25" s="608">
        <f>'Table A19'!R25-'Table A21'!R25</f>
        <v>492.5285472073831</v>
      </c>
      <c r="S25" s="34">
        <f>'Table A19'!S25-'Table A21'!S25</f>
        <v>63.405390532167274</v>
      </c>
      <c r="T25" s="193">
        <f>'Table A19'!T25-'Table A21'!T25</f>
        <v>429.12315667521585</v>
      </c>
      <c r="U25" s="126">
        <f>'Table A19'!U25-'Table A21'!U25</f>
        <v>186.44430380727371</v>
      </c>
      <c r="W25" s="12"/>
      <c r="X25" s="53"/>
      <c r="Y25" s="53"/>
      <c r="Z25" s="53"/>
      <c r="AA25" s="53"/>
    </row>
    <row r="26" spans="11:27" ht="14.4" x14ac:dyDescent="0.25">
      <c r="K26" s="10"/>
      <c r="L26" s="16">
        <f t="shared" si="0"/>
        <v>1988</v>
      </c>
      <c r="M26" s="171">
        <v>148</v>
      </c>
      <c r="N26" s="141">
        <f>'Table A19'!N26-'Table A21'!N26</f>
        <v>4237.2931575935772</v>
      </c>
      <c r="O26" s="34">
        <f>'Table A19'!O26-'Table A21'!O26</f>
        <v>3387.1285371985728</v>
      </c>
      <c r="P26" s="34">
        <f>'Table A19'!P26-'Table A21'!P26</f>
        <v>631.78561524020563</v>
      </c>
      <c r="Q26" s="139">
        <f>'Table A19'!Q26-'Table A21'!Q26</f>
        <v>22.663598044348294</v>
      </c>
      <c r="R26" s="608">
        <f>'Table A19'!R26-'Table A21'!R26</f>
        <v>609.12201719585732</v>
      </c>
      <c r="S26" s="34">
        <f>'Table A19'!S26-'Table A21'!S26</f>
        <v>80.687832772847543</v>
      </c>
      <c r="T26" s="193">
        <f>'Table A19'!T26-'Table A21'!T26</f>
        <v>528.43418442300981</v>
      </c>
      <c r="U26" s="126">
        <f>'Table A19'!U26-'Table A21'!U26</f>
        <v>218.3790051547991</v>
      </c>
      <c r="W26" s="12"/>
      <c r="X26" s="53"/>
      <c r="Y26" s="53"/>
      <c r="Z26" s="53"/>
      <c r="AA26" s="53"/>
    </row>
    <row r="27" spans="11:27" ht="14.4" x14ac:dyDescent="0.25">
      <c r="K27" s="10"/>
      <c r="L27" s="146">
        <f t="shared" si="0"/>
        <v>1989</v>
      </c>
      <c r="M27" s="605">
        <v>148</v>
      </c>
      <c r="N27" s="607">
        <f>'Table A19'!N27-'Table A21'!N27</f>
        <v>4672.871898647305</v>
      </c>
      <c r="O27" s="145">
        <f>'Table A19'!O27-'Table A21'!O27</f>
        <v>3672.7811251280223</v>
      </c>
      <c r="P27" s="145">
        <f>'Table A19'!P27-'Table A21'!P27</f>
        <v>767.06408874528518</v>
      </c>
      <c r="Q27" s="602">
        <f>'Table A19'!Q27-'Table A21'!Q27</f>
        <v>24.564236957736945</v>
      </c>
      <c r="R27" s="609">
        <f>'Table A19'!R27-'Table A21'!R27</f>
        <v>742.49985178754821</v>
      </c>
      <c r="S27" s="145">
        <f>'Table A19'!S27-'Table A21'!S27</f>
        <v>79.030179312164336</v>
      </c>
      <c r="T27" s="195">
        <f>'Table A19'!T27-'Table A21'!T27</f>
        <v>663.46967247538396</v>
      </c>
      <c r="U27" s="606">
        <f>'Table A19'!U27-'Table A21'!U27</f>
        <v>233.02668477399703</v>
      </c>
      <c r="W27" s="12"/>
      <c r="X27" s="53"/>
      <c r="Y27" s="53"/>
      <c r="Z27" s="53"/>
      <c r="AA27" s="53"/>
    </row>
    <row r="28" spans="11:27" ht="14.4" x14ac:dyDescent="0.25">
      <c r="K28" s="10"/>
      <c r="L28" s="16">
        <f t="shared" si="0"/>
        <v>1990</v>
      </c>
      <c r="M28" s="171">
        <v>147</v>
      </c>
      <c r="N28" s="141">
        <f>'Table A19'!N28-'Table A21'!N28</f>
        <v>5465.8097970270537</v>
      </c>
      <c r="O28" s="34">
        <f>'Table A19'!O28-'Table A21'!O28</f>
        <v>4247.9364683778749</v>
      </c>
      <c r="P28" s="34">
        <f>'Table A19'!P28-'Table A21'!P28</f>
        <v>928.91762004290172</v>
      </c>
      <c r="Q28" s="139">
        <f>'Table A19'!Q28-'Table A21'!Q28</f>
        <v>30.940148654344608</v>
      </c>
      <c r="R28" s="608">
        <f>'Table A19'!R28-'Table A21'!R28</f>
        <v>897.97747138855709</v>
      </c>
      <c r="S28" s="34">
        <f>'Table A19'!S28-'Table A21'!S28</f>
        <v>76.115987213749278</v>
      </c>
      <c r="T28" s="193">
        <f>'Table A19'!T28-'Table A21'!T28</f>
        <v>821.86148417480786</v>
      </c>
      <c r="U28" s="126">
        <f>'Table A19'!U28-'Table A21'!U28</f>
        <v>288.95570860627686</v>
      </c>
      <c r="W28" s="12"/>
      <c r="X28" s="53"/>
      <c r="Y28" s="53"/>
      <c r="Z28" s="53"/>
      <c r="AA28" s="53"/>
    </row>
    <row r="29" spans="11:27" ht="14.4" x14ac:dyDescent="0.25">
      <c r="K29" s="10"/>
      <c r="L29" s="16">
        <f t="shared" si="0"/>
        <v>1991</v>
      </c>
      <c r="M29" s="171">
        <v>147</v>
      </c>
      <c r="N29" s="141">
        <f>'Table A19'!N29-'Table A21'!N29</f>
        <v>5685.9933999815557</v>
      </c>
      <c r="O29" s="34">
        <f>'Table A19'!O29-'Table A21'!O29</f>
        <v>4369.3269548892122</v>
      </c>
      <c r="P29" s="34">
        <f>'Table A19'!P29-'Table A21'!P29</f>
        <v>958.78467646918591</v>
      </c>
      <c r="Q29" s="139">
        <f>'Table A19'!Q29-'Table A21'!Q29</f>
        <v>33.540835651263123</v>
      </c>
      <c r="R29" s="608">
        <f>'Table A19'!R29-'Table A21'!R29</f>
        <v>925.24384081792277</v>
      </c>
      <c r="S29" s="34">
        <f>'Table A19'!S29-'Table A21'!S29</f>
        <v>63.225835569850311</v>
      </c>
      <c r="T29" s="193">
        <f>'Table A19'!T29-'Table A21'!T29</f>
        <v>862.01800524807243</v>
      </c>
      <c r="U29" s="126">
        <f>'Table A19'!U29-'Table A21'!U29</f>
        <v>357.8817686231572</v>
      </c>
      <c r="W29" s="12"/>
      <c r="X29" s="53"/>
      <c r="Y29" s="53"/>
      <c r="Z29" s="53"/>
      <c r="AA29" s="53"/>
    </row>
    <row r="30" spans="11:27" ht="14.4" x14ac:dyDescent="0.25">
      <c r="K30" s="10"/>
      <c r="L30" s="16">
        <f t="shared" si="0"/>
        <v>1992</v>
      </c>
      <c r="M30" s="171">
        <v>150</v>
      </c>
      <c r="N30" s="141">
        <f>'Table A19'!N30-'Table A21'!N30</f>
        <v>5974.0331424386259</v>
      </c>
      <c r="O30" s="34">
        <f>'Table A19'!O30-'Table A21'!O30</f>
        <v>4661.7307387548472</v>
      </c>
      <c r="P30" s="34">
        <f>'Table A19'!P30-'Table A21'!P30</f>
        <v>971.56572167054981</v>
      </c>
      <c r="Q30" s="139">
        <f>'Table A19'!Q30-'Table A21'!Q30</f>
        <v>37.108033215729449</v>
      </c>
      <c r="R30" s="608">
        <f>'Table A19'!R30-'Table A21'!R30</f>
        <v>934.45768845482041</v>
      </c>
      <c r="S30" s="34">
        <f>'Table A19'!S30-'Table A21'!S30</f>
        <v>65.43171902319024</v>
      </c>
      <c r="T30" s="193">
        <f>'Table A19'!T30-'Table A21'!T30</f>
        <v>869.02596943163019</v>
      </c>
      <c r="U30" s="126">
        <f>'Table A19'!U30-'Table A21'!U30</f>
        <v>340.7366820132296</v>
      </c>
      <c r="W30" s="12"/>
      <c r="X30" s="53"/>
      <c r="Y30" s="53"/>
      <c r="Z30" s="53"/>
      <c r="AA30" s="53"/>
    </row>
    <row r="31" spans="11:27" ht="14.4" x14ac:dyDescent="0.25">
      <c r="K31" s="10"/>
      <c r="L31" s="16">
        <f t="shared" si="0"/>
        <v>1993</v>
      </c>
      <c r="M31" s="171">
        <v>156</v>
      </c>
      <c r="N31" s="141">
        <f>'Table A19'!N31-'Table A21'!N31</f>
        <v>5907.4475023790301</v>
      </c>
      <c r="O31" s="34">
        <f>'Table A19'!O31-'Table A21'!O31</f>
        <v>4606.9556279935068</v>
      </c>
      <c r="P31" s="34">
        <f>'Table A19'!P31-'Table A21'!P31</f>
        <v>972.45441155187154</v>
      </c>
      <c r="Q31" s="139">
        <f>'Table A19'!Q31-'Table A21'!Q31</f>
        <v>36.628136013935048</v>
      </c>
      <c r="R31" s="608">
        <f>'Table A19'!R31-'Table A21'!R31</f>
        <v>935.82627553793657</v>
      </c>
      <c r="S31" s="34">
        <f>'Table A19'!S31-'Table A21'!S31</f>
        <v>85.442478403740466</v>
      </c>
      <c r="T31" s="193">
        <f>'Table A19'!T31-'Table A21'!T31</f>
        <v>850.38379713419602</v>
      </c>
      <c r="U31" s="126">
        <f>'Table A19'!U31-'Table A21'!U31</f>
        <v>328.03746283365149</v>
      </c>
      <c r="W31" s="12"/>
      <c r="X31" s="53"/>
      <c r="Y31" s="53"/>
      <c r="Z31" s="53"/>
      <c r="AA31" s="53"/>
    </row>
    <row r="32" spans="11:27" ht="14.4" x14ac:dyDescent="0.25">
      <c r="K32" s="10"/>
      <c r="L32" s="16">
        <f t="shared" si="0"/>
        <v>1994</v>
      </c>
      <c r="M32" s="171" t="s">
        <v>572</v>
      </c>
      <c r="N32" s="141">
        <f>'Table A19'!N32-'Table A21'!N32</f>
        <v>6577.5118000000002</v>
      </c>
      <c r="O32" s="34">
        <f>'Table A19'!O32-'Table A21'!O32</f>
        <v>5237.2651999999998</v>
      </c>
      <c r="P32" s="34">
        <f>'Table A19'!P32-'Table A21'!P32</f>
        <v>993.34789999999998</v>
      </c>
      <c r="Q32" s="139">
        <f>'Table A19'!Q32-'Table A21'!Q32</f>
        <v>37.093270000000004</v>
      </c>
      <c r="R32" s="608">
        <f>'Table A19'!R32-'Table A21'!R32</f>
        <v>956.25505999999996</v>
      </c>
      <c r="S32" s="34">
        <f>'Table A19'!S32-'Table A21'!S32</f>
        <v>120.93795999999999</v>
      </c>
      <c r="T32" s="193">
        <f>'Table A19'!T32-'Table A21'!T32</f>
        <v>835.31700000000001</v>
      </c>
      <c r="U32" s="126">
        <f>'Table A19'!U32-'Table A21'!U32</f>
        <v>346.90280000000001</v>
      </c>
      <c r="W32" s="12"/>
      <c r="X32" s="53"/>
      <c r="Y32" s="53"/>
      <c r="Z32" s="53"/>
      <c r="AA32" s="53"/>
    </row>
    <row r="33" spans="3:27" ht="14.4" x14ac:dyDescent="0.25">
      <c r="K33" s="10"/>
      <c r="L33" s="16">
        <f t="shared" si="0"/>
        <v>1995</v>
      </c>
      <c r="M33" s="171" t="s">
        <v>572</v>
      </c>
      <c r="N33" s="141">
        <f>'Table A19'!N33-'Table A21'!N33</f>
        <v>7800.4845999999998</v>
      </c>
      <c r="O33" s="34">
        <f>'Table A19'!O33-'Table A21'!O33</f>
        <v>6244.9587000000001</v>
      </c>
      <c r="P33" s="34">
        <f>'Table A19'!P33-'Table A21'!P33</f>
        <v>1180.2927</v>
      </c>
      <c r="Q33" s="139">
        <f>'Table A19'!Q33-'Table A21'!Q33</f>
        <v>43.135660000000001</v>
      </c>
      <c r="R33" s="608">
        <f>'Table A19'!R33-'Table A21'!R33</f>
        <v>1137.1491000000001</v>
      </c>
      <c r="S33" s="34">
        <f>'Table A19'!S33-'Table A21'!S33</f>
        <v>169.9239</v>
      </c>
      <c r="T33" s="193">
        <f>'Table A19'!T33-'Table A21'!T33</f>
        <v>967.23</v>
      </c>
      <c r="U33" s="126">
        <f>'Table A19'!U33-'Table A21'!U33</f>
        <v>375.24349999999998</v>
      </c>
      <c r="W33" s="12"/>
      <c r="X33" s="53"/>
      <c r="Y33" s="53"/>
      <c r="Z33" s="53"/>
      <c r="AA33" s="53"/>
    </row>
    <row r="34" spans="3:27" ht="14.4" x14ac:dyDescent="0.25">
      <c r="K34" s="10"/>
      <c r="L34" s="16">
        <f t="shared" si="0"/>
        <v>1996</v>
      </c>
      <c r="M34" s="171" t="s">
        <v>572</v>
      </c>
      <c r="N34" s="141">
        <f>'Table A19'!N34-'Table A21'!N34</f>
        <v>8127.7673000000004</v>
      </c>
      <c r="O34" s="34">
        <f>'Table A19'!O34-'Table A21'!O34</f>
        <v>6588.5652999999993</v>
      </c>
      <c r="P34" s="34">
        <f>'Table A19'!P34-'Table A21'!P34</f>
        <v>1139.1562000000001</v>
      </c>
      <c r="Q34" s="139">
        <f>'Table A19'!Q34-'Table A21'!Q34</f>
        <v>42.504809999999999</v>
      </c>
      <c r="R34" s="608">
        <f>'Table A19'!R34-'Table A21'!R34</f>
        <v>1096.6470999999999</v>
      </c>
      <c r="S34" s="34">
        <f>'Table A19'!S34-'Table A21'!S34</f>
        <v>190.13310000000001</v>
      </c>
      <c r="T34" s="193">
        <f>'Table A19'!T34-'Table A21'!T34</f>
        <v>906.51900000000001</v>
      </c>
      <c r="U34" s="126">
        <f>'Table A19'!U34-'Table A21'!U34</f>
        <v>400.04919999999998</v>
      </c>
      <c r="W34" s="12"/>
      <c r="X34" s="53"/>
      <c r="Y34" s="53"/>
      <c r="Z34" s="53"/>
      <c r="AA34" s="53"/>
    </row>
    <row r="35" spans="3:27" ht="14.4" x14ac:dyDescent="0.25">
      <c r="K35" s="10"/>
      <c r="L35" s="16">
        <f t="shared" si="0"/>
        <v>1997</v>
      </c>
      <c r="M35" s="171" t="s">
        <v>572</v>
      </c>
      <c r="N35" s="141">
        <f>'Table A19'!N35-'Table A21'!N35</f>
        <v>8379.1577300000008</v>
      </c>
      <c r="O35" s="34">
        <f>'Table A19'!O35-'Table A21'!O35</f>
        <v>6816.5438899999999</v>
      </c>
      <c r="P35" s="34">
        <f>'Table A19'!P35-'Table A21'!P35</f>
        <v>1178.8432</v>
      </c>
      <c r="Q35" s="139">
        <f>'Table A19'!Q35-'Table A21'!Q35</f>
        <v>41.334470000000003</v>
      </c>
      <c r="R35" s="608">
        <f>'Table A19'!R35-'Table A21'!R35</f>
        <v>1137.5028120000002</v>
      </c>
      <c r="S35" s="34">
        <f>'Table A19'!S35-'Table A21'!S35</f>
        <v>216.107812</v>
      </c>
      <c r="T35" s="193">
        <f>'Table A19'!T35-'Table A21'!T35</f>
        <v>921.39600000000007</v>
      </c>
      <c r="U35" s="126">
        <f>'Table A19'!U35-'Table A21'!U35</f>
        <v>383.77319999999997</v>
      </c>
      <c r="W35" s="12"/>
      <c r="X35" s="53"/>
      <c r="Y35" s="53"/>
      <c r="Z35" s="53"/>
      <c r="AA35" s="53"/>
    </row>
    <row r="36" spans="3:27" ht="14.4" x14ac:dyDescent="0.25">
      <c r="K36" s="10"/>
      <c r="L36" s="16">
        <f t="shared" si="0"/>
        <v>1998</v>
      </c>
      <c r="M36" s="171" t="s">
        <v>572</v>
      </c>
      <c r="N36" s="141">
        <f>'Table A19'!N36-'Table A21'!N36</f>
        <v>8487.5807999999997</v>
      </c>
      <c r="O36" s="34">
        <f>'Table A19'!O36-'Table A21'!O36</f>
        <v>6778.7067400000005</v>
      </c>
      <c r="P36" s="34">
        <f>'Table A19'!P36-'Table A21'!P36</f>
        <v>1305.4815999999998</v>
      </c>
      <c r="Q36" s="139">
        <f>'Table A19'!Q36-'Table A21'!Q36</f>
        <v>43.742919000000008</v>
      </c>
      <c r="R36" s="608">
        <f>'Table A19'!R36-'Table A21'!R36</f>
        <v>1261.7407599999999</v>
      </c>
      <c r="S36" s="34">
        <f>'Table A19'!S36-'Table A21'!S36</f>
        <v>244.39385999999999</v>
      </c>
      <c r="T36" s="193">
        <f>'Table A19'!T36-'Table A21'!T36</f>
        <v>1017.3480000000001</v>
      </c>
      <c r="U36" s="126">
        <f>'Table A19'!U36-'Table A21'!U36</f>
        <v>403.39850000000001</v>
      </c>
      <c r="W36" s="12"/>
      <c r="X36" s="53"/>
      <c r="Y36" s="53"/>
      <c r="Z36" s="53"/>
      <c r="AA36" s="53"/>
    </row>
    <row r="37" spans="3:27" ht="14.4" x14ac:dyDescent="0.25">
      <c r="K37" s="10"/>
      <c r="L37" s="146">
        <f t="shared" si="0"/>
        <v>1999</v>
      </c>
      <c r="M37" s="605" t="s">
        <v>572</v>
      </c>
      <c r="N37" s="607">
        <f>'Table A19'!N37-'Table A21'!N37</f>
        <v>8817.3940000000002</v>
      </c>
      <c r="O37" s="145">
        <f>'Table A19'!O37-'Table A21'!O37</f>
        <v>7059.7047600000005</v>
      </c>
      <c r="P37" s="145">
        <f>'Table A19'!P37-'Table A21'!P37</f>
        <v>1350.8055999999999</v>
      </c>
      <c r="Q37" s="602">
        <f>'Table A19'!Q37-'Table A21'!Q37</f>
        <v>47.375460000000004</v>
      </c>
      <c r="R37" s="609">
        <f>'Table A19'!R37-'Table A21'!R37</f>
        <v>1303.4328</v>
      </c>
      <c r="S37" s="145">
        <f>'Table A19'!S37-'Table A21'!S37</f>
        <v>298.25279999999998</v>
      </c>
      <c r="T37" s="195">
        <f>'Table A19'!T37-'Table A21'!T37</f>
        <v>1005.179</v>
      </c>
      <c r="U37" s="606">
        <f>'Table A19'!U37-'Table A21'!U37</f>
        <v>406.8811</v>
      </c>
      <c r="W37" s="12"/>
      <c r="X37" s="53"/>
      <c r="Y37" s="53"/>
      <c r="Z37" s="53"/>
      <c r="AA37" s="53"/>
    </row>
    <row r="38" spans="3:27" ht="14.4" x14ac:dyDescent="0.25">
      <c r="K38" s="10"/>
      <c r="L38" s="16">
        <f t="shared" si="0"/>
        <v>2000</v>
      </c>
      <c r="M38" s="171" t="s">
        <v>572</v>
      </c>
      <c r="N38" s="141">
        <f>'Table A19'!N38-'Table A21'!N38</f>
        <v>9816.3559999999998</v>
      </c>
      <c r="O38" s="34">
        <f>'Table A19'!O38-'Table A21'!O38</f>
        <v>7892.3643499999998</v>
      </c>
      <c r="P38" s="34">
        <f>'Table A19'!P38-'Table A21'!P38</f>
        <v>1522.3815</v>
      </c>
      <c r="Q38" s="139">
        <f>'Table A19'!Q38-'Table A21'!Q38</f>
        <v>47.710079999999998</v>
      </c>
      <c r="R38" s="608">
        <f>'Table A19'!R38-'Table A21'!R38</f>
        <v>1474.6735000000001</v>
      </c>
      <c r="S38" s="34">
        <f>'Table A19'!S38-'Table A21'!S38</f>
        <v>362.18149999999997</v>
      </c>
      <c r="T38" s="193">
        <f>'Table A19'!T38-'Table A21'!T38</f>
        <v>1112.4939999999999</v>
      </c>
      <c r="U38" s="126">
        <f>'Table A19'!U38-'Table A21'!U38</f>
        <v>401.60910000000001</v>
      </c>
      <c r="W38" s="12"/>
      <c r="X38" s="53"/>
      <c r="Y38" s="53"/>
      <c r="Z38" s="53"/>
      <c r="AA38" s="53"/>
    </row>
    <row r="39" spans="3:27" ht="14.4" x14ac:dyDescent="0.25">
      <c r="K39" s="10"/>
      <c r="L39" s="16">
        <f t="shared" si="0"/>
        <v>2001</v>
      </c>
      <c r="M39" s="171" t="s">
        <v>572</v>
      </c>
      <c r="N39" s="141">
        <f>'Table A19'!N39-'Table A21'!N39</f>
        <v>9483.7260000000006</v>
      </c>
      <c r="O39" s="34">
        <f>'Table A19'!O39-'Table A21'!O39</f>
        <v>7658.4949000000006</v>
      </c>
      <c r="P39" s="34">
        <f>'Table A19'!P39-'Table A21'!P39</f>
        <v>1404.7582</v>
      </c>
      <c r="Q39" s="139">
        <f>'Table A19'!Q39-'Table A21'!Q39</f>
        <v>51.029989999999998</v>
      </c>
      <c r="R39" s="608">
        <f>'Table A19'!R39-'Table A21'!R39</f>
        <v>1353.7362000000001</v>
      </c>
      <c r="S39" s="34">
        <f>'Table A19'!S39-'Table A21'!S39</f>
        <v>287.81619999999998</v>
      </c>
      <c r="T39" s="193">
        <f>'Table A19'!T39-'Table A21'!T39</f>
        <v>1065.9169999999999</v>
      </c>
      <c r="U39" s="126">
        <f>'Table A19'!U39-'Table A21'!U39</f>
        <v>420.46980000000002</v>
      </c>
      <c r="W39" s="12"/>
      <c r="X39" s="53"/>
      <c r="Y39" s="53"/>
      <c r="Z39" s="53"/>
      <c r="AA39" s="53"/>
    </row>
    <row r="40" spans="3:27" ht="14.4" x14ac:dyDescent="0.25">
      <c r="K40" s="10"/>
      <c r="L40" s="16">
        <f t="shared" si="0"/>
        <v>2002</v>
      </c>
      <c r="M40" s="171" t="s">
        <v>572</v>
      </c>
      <c r="N40" s="141">
        <f>'Table A19'!N40-'Table A21'!N40</f>
        <v>9845.7534000000014</v>
      </c>
      <c r="O40" s="34">
        <f>'Table A19'!O40-'Table A21'!O40</f>
        <v>8018.8220500000007</v>
      </c>
      <c r="P40" s="34">
        <f>'Table A19'!P40-'Table A21'!P40</f>
        <v>1373.4082000000001</v>
      </c>
      <c r="Q40" s="139">
        <f>'Table A19'!Q40-'Table A21'!Q40</f>
        <v>57.312260000000002</v>
      </c>
      <c r="R40" s="608">
        <f>'Table A19'!R40-'Table A21'!R40</f>
        <v>1316.0913</v>
      </c>
      <c r="S40" s="34">
        <f>'Table A19'!S40-'Table A21'!S40</f>
        <v>348.29230000000001</v>
      </c>
      <c r="T40" s="193">
        <f>'Table A19'!T40-'Table A21'!T40</f>
        <v>967.80200000000002</v>
      </c>
      <c r="U40" s="126">
        <f>'Table A19'!U40-'Table A21'!U40</f>
        <v>453.52409999999998</v>
      </c>
      <c r="W40" s="12"/>
      <c r="X40" s="53"/>
      <c r="Y40" s="53"/>
      <c r="Z40" s="53"/>
      <c r="AA40" s="53"/>
    </row>
    <row r="41" spans="3:27" ht="14.4" x14ac:dyDescent="0.25">
      <c r="K41" s="10"/>
      <c r="L41" s="16">
        <f t="shared" si="0"/>
        <v>2003</v>
      </c>
      <c r="M41" s="171" t="s">
        <v>572</v>
      </c>
      <c r="N41" s="141">
        <f>'Table A19'!N41-'Table A21'!N41</f>
        <v>11386.844500000001</v>
      </c>
      <c r="O41" s="34">
        <f>'Table A19'!O41-'Table A21'!O41</f>
        <v>9290.2949000000008</v>
      </c>
      <c r="P41" s="34">
        <f>'Table A19'!P41-'Table A21'!P41</f>
        <v>1575.5708</v>
      </c>
      <c r="Q41" s="139">
        <f>'Table A19'!Q41-'Table A21'!Q41</f>
        <v>67.926410000000004</v>
      </c>
      <c r="R41" s="608">
        <f>'Table A19'!R41-'Table A21'!R41</f>
        <v>1507.6478000000002</v>
      </c>
      <c r="S41" s="34">
        <f>'Table A19'!S41-'Table A21'!S41</f>
        <v>475.63380000000001</v>
      </c>
      <c r="T41" s="193">
        <f>'Table A19'!T41-'Table A21'!T41</f>
        <v>1032.01</v>
      </c>
      <c r="U41" s="126">
        <f>'Table A19'!U41-'Table A21'!U41</f>
        <v>520.99074999999993</v>
      </c>
      <c r="W41" s="12"/>
      <c r="X41" s="53"/>
      <c r="Y41" s="53"/>
      <c r="Z41" s="53"/>
      <c r="AA41" s="53"/>
    </row>
    <row r="42" spans="3:27" ht="14.4" x14ac:dyDescent="0.25">
      <c r="K42" s="10"/>
      <c r="L42" s="16">
        <f t="shared" si="0"/>
        <v>2004</v>
      </c>
      <c r="M42" s="171" t="s">
        <v>572</v>
      </c>
      <c r="N42" s="141">
        <f>'Table A19'!N42-'Table A21'!N42</f>
        <v>13795.840800000002</v>
      </c>
      <c r="O42" s="34">
        <f>'Table A19'!O42-'Table A21'!O42</f>
        <v>11265.294399999999</v>
      </c>
      <c r="P42" s="34">
        <f>'Table A19'!P42-'Table A21'!P42</f>
        <v>1906.7845</v>
      </c>
      <c r="Q42" s="139">
        <f>'Table A19'!Q42-'Table A21'!Q42</f>
        <v>77.679429999999996</v>
      </c>
      <c r="R42" s="608">
        <f>'Table A19'!R42-'Table A21'!R42</f>
        <v>1829.0996</v>
      </c>
      <c r="S42" s="34">
        <f>'Table A19'!S42-'Table A21'!S42</f>
        <v>622.48660000000007</v>
      </c>
      <c r="T42" s="193">
        <f>'Table A19'!T42-'Table A21'!T42</f>
        <v>1206.6150000000002</v>
      </c>
      <c r="U42" s="126">
        <f>'Table A19'!U42-'Table A21'!U42</f>
        <v>623.78199999999993</v>
      </c>
      <c r="W42" s="12"/>
      <c r="X42" s="53"/>
      <c r="Y42" s="53"/>
      <c r="Z42" s="53"/>
      <c r="AA42" s="53"/>
    </row>
    <row r="43" spans="3:27" ht="14.4" x14ac:dyDescent="0.25">
      <c r="K43" s="10"/>
      <c r="L43" s="16">
        <f t="shared" si="0"/>
        <v>2005</v>
      </c>
      <c r="M43" s="171" t="s">
        <v>572</v>
      </c>
      <c r="N43" s="141">
        <f>'Table A19'!N43-'Table A21'!N43</f>
        <v>15945.893000000002</v>
      </c>
      <c r="O43" s="34">
        <f>'Table A19'!O43-'Table A21'!O43</f>
        <v>12787.4758</v>
      </c>
      <c r="P43" s="34">
        <f>'Table A19'!P43-'Table A21'!P43</f>
        <v>2444.1585</v>
      </c>
      <c r="Q43" s="139">
        <f>'Table A19'!Q43-'Table A21'!Q43</f>
        <v>86.645880000000005</v>
      </c>
      <c r="R43" s="608">
        <f>'Table A19'!R43-'Table A21'!R43</f>
        <v>2357.5148999999997</v>
      </c>
      <c r="S43" s="34">
        <f>'Table A19'!S43-'Table A21'!S43</f>
        <v>828.08690000000001</v>
      </c>
      <c r="T43" s="193">
        <f>'Table A19'!T43-'Table A21'!T43</f>
        <v>1529.4290000000001</v>
      </c>
      <c r="U43" s="126">
        <f>'Table A19'!U43-'Table A21'!U43</f>
        <v>714.19860000000006</v>
      </c>
      <c r="W43" s="12"/>
      <c r="X43" s="53"/>
      <c r="Y43" s="53"/>
      <c r="Z43" s="53"/>
      <c r="AA43" s="53"/>
    </row>
    <row r="44" spans="3:27" ht="14.4" x14ac:dyDescent="0.25">
      <c r="K44" s="10"/>
      <c r="L44" s="16">
        <f t="shared" si="0"/>
        <v>2006</v>
      </c>
      <c r="M44" s="171" t="s">
        <v>572</v>
      </c>
      <c r="N44" s="141">
        <f>'Table A19'!N44-'Table A21'!N44</f>
        <v>18517.315000000002</v>
      </c>
      <c r="O44" s="34">
        <f>'Table A19'!O44-'Table A21'!O44</f>
        <v>14620.787</v>
      </c>
      <c r="P44" s="34">
        <f>'Table A19'!P44-'Table A21'!P44</f>
        <v>3152.0238000000004</v>
      </c>
      <c r="Q44" s="139">
        <f>'Table A19'!Q44-'Table A21'!Q44</f>
        <v>96.181429999999992</v>
      </c>
      <c r="R44" s="608">
        <f>'Table A19'!R44-'Table A21'!R44</f>
        <v>3055.8462999999997</v>
      </c>
      <c r="S44" s="34">
        <f>'Table A19'!S44-'Table A21'!S44</f>
        <v>1016.6233000000001</v>
      </c>
      <c r="T44" s="193">
        <f>'Table A19'!T44-'Table A21'!T44</f>
        <v>2039.2239999999999</v>
      </c>
      <c r="U44" s="126">
        <f>'Table A19'!U44-'Table A21'!U44</f>
        <v>744.49200000000008</v>
      </c>
      <c r="W44" s="12"/>
      <c r="X44" s="53"/>
      <c r="Y44" s="53"/>
      <c r="Z44" s="53"/>
      <c r="AA44" s="53"/>
    </row>
    <row r="45" spans="3:27" ht="14.4" x14ac:dyDescent="0.25">
      <c r="K45" s="10"/>
      <c r="L45" s="16">
        <f t="shared" si="0"/>
        <v>2007</v>
      </c>
      <c r="M45" s="171" t="s">
        <v>572</v>
      </c>
      <c r="N45" s="141">
        <f>'Table A19'!N45-'Table A21'!N45</f>
        <v>21814.322000000004</v>
      </c>
      <c r="O45" s="34">
        <f>'Table A19'!O45-'Table A21'!O45</f>
        <v>16916.916000000001</v>
      </c>
      <c r="P45" s="34">
        <f>'Table A19'!P45-'Table A21'!P45</f>
        <v>4043.5947999999999</v>
      </c>
      <c r="Q45" s="139">
        <f>'Table A19'!Q45-'Table A21'!Q45</f>
        <v>114.16424000000001</v>
      </c>
      <c r="R45" s="608">
        <f>'Table A19'!R45-'Table A21'!R45</f>
        <v>3929.4280000000003</v>
      </c>
      <c r="S45" s="34">
        <f>'Table A19'!S45-'Table A21'!S45</f>
        <v>1237.752</v>
      </c>
      <c r="T45" s="193">
        <f>'Table A19'!T45-'Table A21'!T45</f>
        <v>2691.6800000000003</v>
      </c>
      <c r="U45" s="126">
        <f>'Table A19'!U45-'Table A21'!U45</f>
        <v>853.82799999999997</v>
      </c>
      <c r="W45" s="12"/>
      <c r="X45" s="53"/>
      <c r="Y45" s="53"/>
      <c r="Z45" s="53"/>
      <c r="AA45" s="53"/>
    </row>
    <row r="46" spans="3:27" ht="15" thickBot="1" x14ac:dyDescent="0.3">
      <c r="K46" s="10"/>
      <c r="L46" s="103">
        <f t="shared" si="0"/>
        <v>2008</v>
      </c>
      <c r="M46" s="172" t="s">
        <v>572</v>
      </c>
      <c r="N46" s="136">
        <f>'Table A19'!N46-'Table A21'!N46</f>
        <v>24597.877</v>
      </c>
      <c r="O46" s="92">
        <f>'Table A19'!O46-'Table A21'!O46</f>
        <v>19506.939999999999</v>
      </c>
      <c r="P46" s="92">
        <f>'Table A19'!P46-'Table A21'!P46</f>
        <v>4147.0393000000004</v>
      </c>
      <c r="Q46" s="135">
        <f>'Table A19'!Q46-'Table A21'!Q46</f>
        <v>136.45490000000001</v>
      </c>
      <c r="R46" s="610">
        <f>'Table A19'!R46-'Table A21'!R46</f>
        <v>4010.5920000000001</v>
      </c>
      <c r="S46" s="92">
        <f>'Table A19'!S46-'Table A21'!S46</f>
        <v>1224.6850000000002</v>
      </c>
      <c r="T46" s="196">
        <f>'Table A19'!T46-'Table A21'!T46</f>
        <v>2785.8990000000003</v>
      </c>
      <c r="U46" s="132">
        <f>'Table A19'!U46-'Table A21'!U46</f>
        <v>943.89409999999998</v>
      </c>
      <c r="W46" s="51"/>
      <c r="X46" s="53"/>
      <c r="Y46" s="53"/>
      <c r="Z46" s="53"/>
      <c r="AA46" s="53"/>
    </row>
    <row r="47" spans="3:27" ht="13.8" thickTop="1" x14ac:dyDescent="0.25">
      <c r="C47" s="12"/>
      <c r="D47" s="12"/>
      <c r="E47" s="12"/>
      <c r="F47" s="12"/>
      <c r="G47" s="12"/>
      <c r="H47" s="12"/>
      <c r="I47" s="12"/>
      <c r="J47" s="12"/>
    </row>
    <row r="48" spans="3:27" x14ac:dyDescent="0.25">
      <c r="C48" s="12"/>
      <c r="D48" s="12"/>
      <c r="E48" s="12"/>
      <c r="F48" s="12"/>
      <c r="G48" s="12"/>
      <c r="H48" s="12"/>
      <c r="I48" s="12"/>
      <c r="J48" s="12"/>
    </row>
    <row r="49" spans="3:10" x14ac:dyDescent="0.25">
      <c r="C49" s="12"/>
      <c r="D49" s="12"/>
      <c r="E49" s="12"/>
      <c r="F49" s="12"/>
      <c r="G49" s="12"/>
      <c r="H49" s="12"/>
      <c r="I49" s="12"/>
      <c r="J49" s="12"/>
    </row>
    <row r="50" spans="3:10" x14ac:dyDescent="0.25">
      <c r="C50" s="131"/>
      <c r="D50" s="12"/>
      <c r="E50" s="12"/>
      <c r="F50" s="12"/>
      <c r="G50" s="12"/>
      <c r="H50" s="12"/>
      <c r="I50" s="12"/>
      <c r="J50" s="12"/>
    </row>
    <row r="51" spans="3:10" x14ac:dyDescent="0.25">
      <c r="C51" s="12"/>
      <c r="D51" s="12"/>
      <c r="E51" s="12"/>
      <c r="F51" s="12"/>
      <c r="G51" s="12"/>
      <c r="H51" s="12"/>
      <c r="I51" s="12"/>
      <c r="J51" s="12"/>
    </row>
    <row r="52" spans="3:10" x14ac:dyDescent="0.25">
      <c r="C52" s="12"/>
      <c r="D52" s="12"/>
      <c r="E52" s="12"/>
      <c r="F52" s="12"/>
      <c r="G52" s="12"/>
      <c r="H52" s="12"/>
      <c r="I52" s="12"/>
      <c r="J52" s="12"/>
    </row>
    <row r="53" spans="3:10" x14ac:dyDescent="0.25">
      <c r="C53" s="12"/>
      <c r="D53" s="12"/>
      <c r="E53" s="12"/>
      <c r="F53" s="12"/>
      <c r="G53" s="12"/>
      <c r="H53" s="12"/>
      <c r="I53" s="12"/>
      <c r="J53" s="12"/>
    </row>
    <row r="54" spans="3:10" x14ac:dyDescent="0.25">
      <c r="C54" s="12"/>
      <c r="D54" s="12"/>
      <c r="E54" s="12"/>
      <c r="F54" s="12"/>
      <c r="G54" s="12"/>
      <c r="H54" s="12"/>
      <c r="I54" s="12"/>
      <c r="J54" s="12"/>
    </row>
    <row r="55" spans="3:10" x14ac:dyDescent="0.25">
      <c r="C55" s="12"/>
      <c r="D55" s="12"/>
      <c r="E55" s="12"/>
      <c r="F55" s="12"/>
      <c r="G55" s="12"/>
      <c r="H55" s="12"/>
      <c r="I55" s="12"/>
      <c r="J55" s="12"/>
    </row>
    <row r="56" spans="3:10" x14ac:dyDescent="0.25">
      <c r="C56" s="12"/>
      <c r="D56" s="12"/>
      <c r="E56" s="12"/>
      <c r="F56" s="12"/>
      <c r="G56" s="12"/>
      <c r="H56" s="12"/>
      <c r="I56" s="12"/>
      <c r="J56" s="12"/>
    </row>
    <row r="57" spans="3:10" x14ac:dyDescent="0.25">
      <c r="C57" s="12"/>
      <c r="D57" s="12"/>
      <c r="E57" s="12"/>
      <c r="F57" s="12"/>
      <c r="G57" s="12"/>
      <c r="H57" s="12"/>
      <c r="I57" s="12"/>
      <c r="J57" s="12"/>
    </row>
    <row r="58" spans="3:10" x14ac:dyDescent="0.25">
      <c r="C58" s="12"/>
      <c r="D58" s="12"/>
      <c r="E58" s="12"/>
      <c r="F58" s="12"/>
      <c r="G58" s="12"/>
      <c r="H58" s="12"/>
      <c r="I58" s="12"/>
      <c r="J58" s="12"/>
    </row>
    <row r="59" spans="3:10" x14ac:dyDescent="0.25">
      <c r="C59" s="12"/>
      <c r="D59" s="12"/>
      <c r="E59" s="12"/>
      <c r="F59" s="12"/>
      <c r="G59" s="12"/>
      <c r="H59" s="12"/>
      <c r="I59" s="12"/>
      <c r="J59" s="12"/>
    </row>
    <row r="60" spans="3:10" x14ac:dyDescent="0.25">
      <c r="C60" s="12"/>
      <c r="D60" s="12"/>
      <c r="E60" s="12"/>
      <c r="F60" s="12"/>
      <c r="G60" s="12"/>
      <c r="H60" s="12"/>
      <c r="I60" s="12"/>
      <c r="J60" s="12"/>
    </row>
    <row r="61" spans="3:10" x14ac:dyDescent="0.25">
      <c r="C61" s="12"/>
      <c r="D61" s="12"/>
      <c r="E61" s="12"/>
      <c r="F61" s="12"/>
      <c r="G61" s="12"/>
      <c r="H61" s="12"/>
      <c r="I61" s="12"/>
      <c r="J61" s="12"/>
    </row>
    <row r="62" spans="3:10" x14ac:dyDescent="0.25">
      <c r="C62" s="12"/>
      <c r="D62" s="12"/>
      <c r="E62" s="12"/>
      <c r="F62" s="12"/>
      <c r="G62" s="12"/>
      <c r="H62" s="12"/>
      <c r="I62" s="12"/>
      <c r="J62" s="12"/>
    </row>
    <row r="63" spans="3:10" x14ac:dyDescent="0.25">
      <c r="C63" s="12"/>
      <c r="D63" s="12"/>
      <c r="E63" s="12"/>
      <c r="F63" s="12"/>
      <c r="G63" s="12"/>
      <c r="H63" s="12"/>
      <c r="I63" s="12"/>
      <c r="J63" s="12"/>
    </row>
    <row r="64" spans="3:10" x14ac:dyDescent="0.25">
      <c r="C64" s="12"/>
      <c r="D64" s="12"/>
      <c r="E64" s="12"/>
      <c r="F64" s="12"/>
      <c r="G64" s="12"/>
      <c r="H64" s="12"/>
      <c r="I64" s="12"/>
      <c r="J64" s="12"/>
    </row>
    <row r="65" spans="3:10" x14ac:dyDescent="0.25">
      <c r="C65" s="12"/>
      <c r="D65" s="12"/>
      <c r="E65" s="12"/>
      <c r="F65" s="12"/>
      <c r="G65" s="12"/>
      <c r="H65" s="12"/>
      <c r="I65" s="12"/>
      <c r="J65" s="12"/>
    </row>
    <row r="66" spans="3:10" x14ac:dyDescent="0.25">
      <c r="C66" s="12"/>
      <c r="D66" s="12"/>
      <c r="E66" s="12"/>
      <c r="F66" s="12"/>
      <c r="G66" s="12"/>
      <c r="H66" s="12"/>
      <c r="I66" s="12"/>
      <c r="J66" s="12"/>
    </row>
    <row r="67" spans="3:10" x14ac:dyDescent="0.25">
      <c r="C67" s="12"/>
      <c r="D67" s="12"/>
      <c r="E67" s="12"/>
      <c r="F67" s="12"/>
      <c r="G67" s="12"/>
      <c r="H67" s="12"/>
      <c r="I67" s="12"/>
      <c r="J67" s="12"/>
    </row>
    <row r="68" spans="3:10" x14ac:dyDescent="0.25">
      <c r="C68" s="12"/>
      <c r="D68" s="12"/>
      <c r="E68" s="12"/>
      <c r="F68" s="12"/>
      <c r="G68" s="12"/>
      <c r="H68" s="12"/>
      <c r="I68" s="12"/>
      <c r="J68" s="12"/>
    </row>
    <row r="69" spans="3:10" x14ac:dyDescent="0.25">
      <c r="C69" s="12"/>
      <c r="D69" s="12"/>
      <c r="E69" s="12"/>
      <c r="F69" s="12"/>
      <c r="G69" s="12"/>
      <c r="H69" s="12"/>
      <c r="I69" s="12"/>
      <c r="J69" s="12"/>
    </row>
    <row r="70" spans="3:10" x14ac:dyDescent="0.25">
      <c r="C70" s="12"/>
      <c r="D70" s="12"/>
      <c r="E70" s="12"/>
      <c r="F70" s="12"/>
      <c r="G70" s="12"/>
      <c r="H70" s="12"/>
      <c r="I70" s="12"/>
      <c r="J70" s="12"/>
    </row>
    <row r="71" spans="3:10" x14ac:dyDescent="0.25">
      <c r="C71" s="12"/>
      <c r="D71" s="12"/>
      <c r="E71" s="12"/>
      <c r="F71" s="12"/>
      <c r="G71" s="12"/>
      <c r="H71" s="12"/>
      <c r="I71" s="12"/>
      <c r="J71" s="12"/>
    </row>
    <row r="72" spans="3:10" x14ac:dyDescent="0.25">
      <c r="C72" s="12"/>
      <c r="D72" s="12"/>
      <c r="E72" s="12"/>
      <c r="F72" s="12"/>
      <c r="G72" s="12"/>
      <c r="H72" s="12"/>
      <c r="I72" s="12"/>
      <c r="J72" s="12"/>
    </row>
    <row r="73" spans="3:10" x14ac:dyDescent="0.25">
      <c r="C73" s="12"/>
      <c r="D73" s="12"/>
      <c r="E73" s="12"/>
      <c r="F73" s="12"/>
      <c r="G73" s="12"/>
      <c r="H73" s="12"/>
      <c r="I73" s="12"/>
      <c r="J73" s="12"/>
    </row>
    <row r="74" spans="3:10" x14ac:dyDescent="0.25">
      <c r="C74" s="12"/>
      <c r="D74" s="12"/>
      <c r="E74" s="12"/>
      <c r="F74" s="12"/>
      <c r="G74" s="12"/>
      <c r="H74" s="12"/>
      <c r="I74" s="12"/>
      <c r="J74" s="12"/>
    </row>
    <row r="75" spans="3:10" x14ac:dyDescent="0.25">
      <c r="C75" s="12"/>
      <c r="D75" s="12"/>
      <c r="E75" s="12"/>
      <c r="F75" s="12"/>
      <c r="G75" s="12"/>
      <c r="H75" s="12"/>
      <c r="I75" s="12"/>
      <c r="J75" s="12"/>
    </row>
    <row r="76" spans="3:10" x14ac:dyDescent="0.25">
      <c r="C76" s="12"/>
      <c r="D76" s="12"/>
      <c r="E76" s="12"/>
      <c r="F76" s="12"/>
      <c r="G76" s="12"/>
      <c r="H76" s="12"/>
      <c r="I76" s="12"/>
      <c r="J76" s="12"/>
    </row>
    <row r="77" spans="3:10" x14ac:dyDescent="0.25">
      <c r="C77" s="12"/>
      <c r="D77" s="12"/>
      <c r="E77" s="12"/>
      <c r="F77" s="12"/>
      <c r="G77" s="12"/>
      <c r="H77" s="12"/>
      <c r="I77" s="12"/>
      <c r="J77" s="12"/>
    </row>
    <row r="78" spans="3:10" x14ac:dyDescent="0.25">
      <c r="C78" s="12"/>
      <c r="D78" s="12"/>
      <c r="E78" s="12"/>
      <c r="F78" s="12"/>
      <c r="G78" s="12"/>
      <c r="H78" s="12"/>
      <c r="I78" s="12"/>
      <c r="J78" s="12"/>
    </row>
    <row r="79" spans="3:10" x14ac:dyDescent="0.25">
      <c r="C79" s="12"/>
      <c r="D79" s="12"/>
      <c r="E79" s="12"/>
      <c r="F79" s="12"/>
      <c r="G79" s="12"/>
      <c r="H79" s="12"/>
      <c r="I79" s="12"/>
      <c r="J79" s="12"/>
    </row>
    <row r="80" spans="3:10" x14ac:dyDescent="0.25">
      <c r="C80" s="12"/>
      <c r="D80" s="12"/>
      <c r="E80" s="12"/>
      <c r="F80" s="12"/>
      <c r="G80" s="12"/>
      <c r="H80" s="12"/>
      <c r="I80" s="12"/>
      <c r="J80" s="12"/>
    </row>
    <row r="81" spans="3:10" x14ac:dyDescent="0.25">
      <c r="C81" s="12"/>
      <c r="D81" s="12"/>
      <c r="E81" s="12"/>
      <c r="F81" s="12"/>
      <c r="G81" s="12"/>
      <c r="H81" s="12"/>
      <c r="I81" s="12"/>
      <c r="J81" s="12"/>
    </row>
    <row r="82" spans="3:10" x14ac:dyDescent="0.25">
      <c r="C82" s="12"/>
      <c r="D82" s="12"/>
      <c r="E82" s="12"/>
      <c r="F82" s="12"/>
      <c r="G82" s="12"/>
      <c r="H82" s="12"/>
      <c r="I82" s="12"/>
      <c r="J82" s="12"/>
    </row>
    <row r="83" spans="3:10" x14ac:dyDescent="0.25">
      <c r="C83" s="12"/>
      <c r="D83" s="12"/>
      <c r="E83" s="12"/>
      <c r="F83" s="12"/>
      <c r="G83" s="12"/>
      <c r="H83" s="12"/>
      <c r="I83" s="12"/>
      <c r="J83" s="12"/>
    </row>
    <row r="84" spans="3:10" x14ac:dyDescent="0.25">
      <c r="C84" s="12"/>
      <c r="D84" s="12"/>
      <c r="E84" s="12"/>
      <c r="F84" s="12"/>
      <c r="G84" s="12"/>
      <c r="H84" s="12"/>
      <c r="I84" s="12"/>
      <c r="J84" s="12"/>
    </row>
    <row r="85" spans="3:10" x14ac:dyDescent="0.25">
      <c r="C85" s="12"/>
      <c r="D85" s="12"/>
      <c r="E85" s="12"/>
      <c r="F85" s="12"/>
      <c r="G85" s="12"/>
      <c r="H85" s="12"/>
      <c r="I85" s="12"/>
      <c r="J85" s="12"/>
    </row>
    <row r="86" spans="3:10" x14ac:dyDescent="0.25">
      <c r="C86" s="12"/>
      <c r="D86" s="12"/>
      <c r="E86" s="12"/>
      <c r="F86" s="12"/>
      <c r="G86" s="12"/>
      <c r="H86" s="12"/>
      <c r="I86" s="12"/>
      <c r="J86" s="12"/>
    </row>
    <row r="87" spans="3:10" x14ac:dyDescent="0.25">
      <c r="C87" s="12"/>
      <c r="D87" s="12"/>
      <c r="E87" s="12"/>
      <c r="F87" s="12"/>
      <c r="G87" s="12"/>
      <c r="H87" s="12"/>
      <c r="I87" s="12"/>
      <c r="J87" s="12"/>
    </row>
    <row r="88" spans="3:10" x14ac:dyDescent="0.25">
      <c r="C88" s="12"/>
      <c r="D88" s="12"/>
      <c r="E88" s="12"/>
      <c r="F88" s="12"/>
      <c r="G88" s="12"/>
      <c r="H88" s="12"/>
      <c r="I88" s="12"/>
      <c r="J88" s="12"/>
    </row>
    <row r="89" spans="3:10" x14ac:dyDescent="0.25">
      <c r="C89" s="12"/>
      <c r="D89" s="12"/>
      <c r="E89" s="12"/>
      <c r="F89" s="12"/>
      <c r="G89" s="12"/>
      <c r="H89" s="12"/>
      <c r="I89" s="12"/>
      <c r="J89" s="12"/>
    </row>
    <row r="90" spans="3:10" x14ac:dyDescent="0.25">
      <c r="C90" s="12"/>
      <c r="D90" s="12"/>
      <c r="E90" s="12"/>
      <c r="F90" s="12"/>
      <c r="G90" s="12"/>
      <c r="H90" s="12"/>
      <c r="I90" s="12"/>
      <c r="J90" s="12"/>
    </row>
    <row r="91" spans="3:10" x14ac:dyDescent="0.25">
      <c r="C91" s="12"/>
      <c r="D91" s="12"/>
      <c r="E91" s="12"/>
      <c r="F91" s="12"/>
      <c r="G91" s="12"/>
      <c r="H91" s="12"/>
      <c r="I91" s="12"/>
      <c r="J91" s="12"/>
    </row>
    <row r="92" spans="3:10" x14ac:dyDescent="0.25">
      <c r="C92" s="12"/>
      <c r="D92" s="12"/>
      <c r="E92" s="12"/>
      <c r="F92" s="12"/>
      <c r="G92" s="12"/>
      <c r="H92" s="12"/>
      <c r="I92" s="12"/>
      <c r="J92" s="12"/>
    </row>
    <row r="93" spans="3:10" x14ac:dyDescent="0.25">
      <c r="C93" s="12"/>
      <c r="D93" s="12"/>
      <c r="E93" s="12"/>
      <c r="F93" s="12"/>
      <c r="G93" s="12"/>
      <c r="H93" s="12"/>
      <c r="I93" s="12"/>
      <c r="J93" s="12"/>
    </row>
    <row r="94" spans="3:10" x14ac:dyDescent="0.25">
      <c r="C94" s="12"/>
      <c r="D94" s="12"/>
      <c r="E94" s="12"/>
      <c r="F94" s="12"/>
      <c r="G94" s="12"/>
      <c r="H94" s="12"/>
      <c r="I94" s="12"/>
      <c r="J94" s="12"/>
    </row>
    <row r="95" spans="3:10" x14ac:dyDescent="0.25">
      <c r="C95" s="12"/>
      <c r="D95" s="12"/>
      <c r="E95" s="12"/>
      <c r="F95" s="12"/>
      <c r="G95" s="12"/>
      <c r="H95" s="12"/>
      <c r="I95" s="12"/>
      <c r="J95" s="12"/>
    </row>
    <row r="96" spans="3:10" x14ac:dyDescent="0.25">
      <c r="C96" s="12"/>
      <c r="D96" s="12"/>
      <c r="E96" s="12"/>
      <c r="F96" s="12"/>
      <c r="G96" s="12"/>
      <c r="H96" s="12"/>
      <c r="I96" s="12"/>
      <c r="J96" s="12"/>
    </row>
    <row r="97" spans="3:10" x14ac:dyDescent="0.25">
      <c r="C97" s="12"/>
      <c r="D97" s="12"/>
      <c r="E97" s="12"/>
      <c r="F97" s="12"/>
      <c r="G97" s="12"/>
      <c r="H97" s="12"/>
      <c r="I97" s="12"/>
      <c r="J97" s="12"/>
    </row>
    <row r="98" spans="3:10" x14ac:dyDescent="0.25">
      <c r="C98" s="12"/>
      <c r="D98" s="12"/>
      <c r="E98" s="12"/>
      <c r="F98" s="12"/>
      <c r="G98" s="12"/>
      <c r="H98" s="12"/>
      <c r="I98" s="12"/>
      <c r="J98" s="12"/>
    </row>
    <row r="99" spans="3:10" x14ac:dyDescent="0.25">
      <c r="C99" s="12"/>
      <c r="D99" s="12"/>
      <c r="E99" s="12"/>
      <c r="F99" s="12"/>
      <c r="G99" s="12"/>
      <c r="H99" s="12"/>
      <c r="I99" s="12"/>
      <c r="J99" s="12"/>
    </row>
    <row r="100" spans="3:10" x14ac:dyDescent="0.25">
      <c r="C100" s="12"/>
      <c r="D100" s="12"/>
      <c r="E100" s="12"/>
      <c r="F100" s="12"/>
      <c r="G100" s="12"/>
      <c r="H100" s="12"/>
      <c r="I100" s="12"/>
      <c r="J100" s="12"/>
    </row>
    <row r="101" spans="3:10" x14ac:dyDescent="0.25">
      <c r="C101" s="12"/>
      <c r="D101" s="12"/>
      <c r="E101" s="12"/>
      <c r="F101" s="12"/>
      <c r="G101" s="12"/>
      <c r="H101" s="12"/>
      <c r="I101" s="12"/>
      <c r="J101" s="12"/>
    </row>
    <row r="102" spans="3:10" x14ac:dyDescent="0.25">
      <c r="C102" s="12"/>
      <c r="D102" s="12"/>
      <c r="E102" s="12"/>
      <c r="F102" s="12"/>
      <c r="G102" s="12"/>
      <c r="H102" s="12"/>
      <c r="I102" s="12"/>
      <c r="J102" s="12"/>
    </row>
    <row r="103" spans="3:10" x14ac:dyDescent="0.25">
      <c r="C103" s="12"/>
      <c r="D103" s="12"/>
      <c r="E103" s="12"/>
      <c r="F103" s="12"/>
      <c r="G103" s="12"/>
      <c r="H103" s="12"/>
      <c r="I103" s="12"/>
      <c r="J103" s="12"/>
    </row>
    <row r="104" spans="3:10" x14ac:dyDescent="0.25">
      <c r="C104" s="12"/>
      <c r="D104" s="12"/>
      <c r="E104" s="12"/>
      <c r="F104" s="12"/>
      <c r="G104" s="12"/>
      <c r="H104" s="12"/>
      <c r="I104" s="12"/>
      <c r="J104" s="12"/>
    </row>
    <row r="105" spans="3:10" x14ac:dyDescent="0.25">
      <c r="C105" s="12"/>
      <c r="D105" s="12"/>
      <c r="E105" s="12"/>
      <c r="F105" s="12"/>
      <c r="G105" s="12"/>
      <c r="H105" s="12"/>
      <c r="I105" s="12"/>
      <c r="J105" s="12"/>
    </row>
    <row r="106" spans="3:10" x14ac:dyDescent="0.25">
      <c r="C106" s="12"/>
      <c r="D106" s="12"/>
      <c r="E106" s="12"/>
      <c r="F106" s="12"/>
      <c r="G106" s="12"/>
      <c r="H106" s="12"/>
      <c r="I106" s="12"/>
      <c r="J106" s="12"/>
    </row>
    <row r="107" spans="3:10" x14ac:dyDescent="0.25">
      <c r="C107" s="12"/>
      <c r="D107" s="12"/>
      <c r="E107" s="12"/>
      <c r="F107" s="12"/>
      <c r="G107" s="12"/>
      <c r="H107" s="12"/>
      <c r="I107" s="12"/>
      <c r="J107" s="12"/>
    </row>
    <row r="108" spans="3:10" x14ac:dyDescent="0.25">
      <c r="C108" s="12"/>
      <c r="D108" s="12"/>
      <c r="E108" s="12"/>
      <c r="F108" s="12"/>
      <c r="G108" s="12"/>
      <c r="H108" s="12"/>
      <c r="I108" s="12"/>
      <c r="J108" s="12"/>
    </row>
    <row r="109" spans="3:10" x14ac:dyDescent="0.25">
      <c r="C109" s="12"/>
      <c r="D109" s="12"/>
      <c r="E109" s="12"/>
      <c r="F109" s="12"/>
      <c r="G109" s="12"/>
      <c r="H109" s="12"/>
      <c r="I109" s="12"/>
      <c r="J109" s="12"/>
    </row>
    <row r="110" spans="3:10" x14ac:dyDescent="0.25">
      <c r="C110" s="12"/>
      <c r="D110" s="12"/>
      <c r="E110" s="12"/>
      <c r="F110" s="12"/>
      <c r="G110" s="12"/>
      <c r="H110" s="12"/>
      <c r="I110" s="12"/>
      <c r="J110" s="12"/>
    </row>
    <row r="111" spans="3:10" x14ac:dyDescent="0.25">
      <c r="C111" s="12"/>
      <c r="D111" s="12"/>
      <c r="E111" s="12"/>
      <c r="F111" s="12"/>
      <c r="G111" s="12"/>
      <c r="H111" s="12"/>
      <c r="I111" s="12"/>
      <c r="J111" s="12"/>
    </row>
    <row r="112" spans="3:10" x14ac:dyDescent="0.25">
      <c r="C112" s="12"/>
      <c r="D112" s="12"/>
      <c r="E112" s="12"/>
      <c r="F112" s="12"/>
      <c r="G112" s="12"/>
      <c r="H112" s="12"/>
      <c r="I112" s="12"/>
      <c r="J112" s="12"/>
    </row>
    <row r="113" spans="3:10" x14ac:dyDescent="0.25">
      <c r="C113" s="12"/>
      <c r="D113" s="12"/>
      <c r="E113" s="12"/>
      <c r="F113" s="12"/>
      <c r="G113" s="12"/>
      <c r="H113" s="12"/>
      <c r="I113" s="12"/>
      <c r="J113" s="12"/>
    </row>
    <row r="114" spans="3:10" x14ac:dyDescent="0.25">
      <c r="C114" s="12"/>
      <c r="D114" s="12"/>
      <c r="E114" s="12"/>
      <c r="F114" s="12"/>
      <c r="G114" s="12"/>
      <c r="H114" s="12"/>
      <c r="I114" s="12"/>
      <c r="J114" s="12"/>
    </row>
    <row r="115" spans="3:10" x14ac:dyDescent="0.25">
      <c r="C115" s="12"/>
      <c r="D115" s="12"/>
      <c r="E115" s="12"/>
      <c r="F115" s="12"/>
      <c r="G115" s="12"/>
      <c r="H115" s="12"/>
      <c r="I115" s="12"/>
      <c r="J115" s="12"/>
    </row>
    <row r="116" spans="3:10" x14ac:dyDescent="0.25">
      <c r="C116" s="12"/>
      <c r="D116" s="12"/>
      <c r="E116" s="12"/>
      <c r="F116" s="12"/>
      <c r="G116" s="12"/>
      <c r="H116" s="12"/>
      <c r="I116" s="12"/>
      <c r="J116" s="12"/>
    </row>
    <row r="117" spans="3:10" x14ac:dyDescent="0.25">
      <c r="C117" s="12"/>
      <c r="D117" s="12"/>
      <c r="E117" s="12"/>
      <c r="F117" s="12"/>
      <c r="G117" s="12"/>
      <c r="H117" s="12"/>
      <c r="I117" s="12"/>
      <c r="J117" s="12"/>
    </row>
    <row r="118" spans="3:10" x14ac:dyDescent="0.25">
      <c r="C118" s="12"/>
      <c r="D118" s="12"/>
      <c r="E118" s="12"/>
      <c r="F118" s="12"/>
      <c r="G118" s="12"/>
      <c r="H118" s="12"/>
      <c r="I118" s="12"/>
      <c r="J118" s="12"/>
    </row>
    <row r="119" spans="3:10" x14ac:dyDescent="0.25">
      <c r="C119" s="12"/>
      <c r="D119" s="12"/>
      <c r="E119" s="12"/>
      <c r="F119" s="12"/>
      <c r="G119" s="12"/>
      <c r="H119" s="12"/>
      <c r="I119" s="12"/>
      <c r="J119" s="12"/>
    </row>
    <row r="120" spans="3:10" x14ac:dyDescent="0.25">
      <c r="C120" s="12"/>
      <c r="D120" s="12"/>
      <c r="E120" s="12"/>
      <c r="F120" s="12"/>
      <c r="G120" s="12"/>
      <c r="H120" s="12"/>
      <c r="I120" s="12"/>
      <c r="J120" s="12"/>
    </row>
    <row r="121" spans="3:10" x14ac:dyDescent="0.25">
      <c r="C121" s="12"/>
      <c r="D121" s="12"/>
      <c r="E121" s="12"/>
      <c r="F121" s="12"/>
      <c r="G121" s="12"/>
      <c r="H121" s="12"/>
      <c r="I121" s="12"/>
      <c r="J121" s="12"/>
    </row>
    <row r="122" spans="3:10" x14ac:dyDescent="0.25">
      <c r="C122" s="12"/>
      <c r="D122" s="12"/>
      <c r="E122" s="12"/>
      <c r="F122" s="12"/>
      <c r="G122" s="12"/>
      <c r="H122" s="12"/>
      <c r="I122" s="12"/>
      <c r="J122" s="12"/>
    </row>
    <row r="123" spans="3:10" x14ac:dyDescent="0.25">
      <c r="C123" s="12"/>
      <c r="D123" s="12"/>
      <c r="E123" s="12"/>
      <c r="F123" s="12"/>
      <c r="G123" s="12"/>
      <c r="H123" s="12"/>
      <c r="I123" s="12"/>
      <c r="J123" s="12"/>
    </row>
    <row r="124" spans="3:10" x14ac:dyDescent="0.25">
      <c r="C124" s="12"/>
      <c r="D124" s="12"/>
      <c r="E124" s="12"/>
      <c r="F124" s="12"/>
      <c r="G124" s="12"/>
      <c r="H124" s="12"/>
      <c r="I124" s="12"/>
      <c r="J124" s="12"/>
    </row>
    <row r="125" spans="3:10" x14ac:dyDescent="0.25">
      <c r="C125" s="12"/>
      <c r="D125" s="12"/>
      <c r="E125" s="12"/>
      <c r="F125" s="12"/>
      <c r="G125" s="12"/>
      <c r="H125" s="12"/>
      <c r="I125" s="12"/>
      <c r="J125" s="12"/>
    </row>
    <row r="126" spans="3:10" x14ac:dyDescent="0.25">
      <c r="C126" s="12"/>
      <c r="D126" s="12"/>
      <c r="E126" s="12"/>
      <c r="F126" s="12"/>
      <c r="G126" s="12"/>
      <c r="H126" s="12"/>
      <c r="I126" s="12"/>
      <c r="J126" s="12"/>
    </row>
    <row r="127" spans="3:10" x14ac:dyDescent="0.25">
      <c r="C127" s="12"/>
      <c r="D127" s="12"/>
      <c r="E127" s="12"/>
      <c r="F127" s="12"/>
      <c r="G127" s="12"/>
      <c r="H127" s="12"/>
      <c r="I127" s="12"/>
      <c r="J127" s="12"/>
    </row>
    <row r="128" spans="3:10" x14ac:dyDescent="0.25">
      <c r="C128" s="12"/>
      <c r="D128" s="12"/>
      <c r="E128" s="12"/>
      <c r="F128" s="12"/>
      <c r="G128" s="12"/>
      <c r="H128" s="12"/>
      <c r="I128" s="12"/>
      <c r="J128" s="12"/>
    </row>
    <row r="129" spans="3:10" x14ac:dyDescent="0.25">
      <c r="C129" s="12"/>
      <c r="D129" s="12"/>
      <c r="E129" s="12"/>
      <c r="F129" s="12"/>
      <c r="G129" s="12"/>
      <c r="H129" s="12"/>
      <c r="I129" s="12"/>
      <c r="J129" s="12"/>
    </row>
    <row r="130" spans="3:10" x14ac:dyDescent="0.25">
      <c r="C130" s="12"/>
      <c r="D130" s="12"/>
      <c r="E130" s="12"/>
      <c r="F130" s="12"/>
      <c r="G130" s="12"/>
      <c r="H130" s="12"/>
      <c r="I130" s="12"/>
      <c r="J130" s="12"/>
    </row>
    <row r="131" spans="3:10" x14ac:dyDescent="0.25">
      <c r="C131" s="12"/>
      <c r="D131" s="12"/>
      <c r="E131" s="12"/>
      <c r="F131" s="12"/>
      <c r="G131" s="12"/>
      <c r="H131" s="12"/>
      <c r="I131" s="12"/>
      <c r="J131" s="12"/>
    </row>
    <row r="132" spans="3:10" x14ac:dyDescent="0.25">
      <c r="C132" s="12"/>
      <c r="D132" s="12"/>
      <c r="E132" s="12"/>
      <c r="F132" s="12"/>
      <c r="G132" s="12"/>
      <c r="H132" s="12"/>
      <c r="I132" s="12"/>
      <c r="J132" s="12"/>
    </row>
    <row r="133" spans="3:10" x14ac:dyDescent="0.25">
      <c r="C133" s="12"/>
      <c r="D133" s="12"/>
      <c r="E133" s="12"/>
      <c r="F133" s="12"/>
      <c r="G133" s="12"/>
      <c r="H133" s="12"/>
      <c r="I133" s="12"/>
      <c r="J133" s="12"/>
    </row>
    <row r="134" spans="3:10" x14ac:dyDescent="0.25">
      <c r="C134" s="12"/>
      <c r="D134" s="12"/>
      <c r="E134" s="12"/>
      <c r="F134" s="12"/>
      <c r="G134" s="12"/>
      <c r="H134" s="12"/>
      <c r="I134" s="12"/>
      <c r="J134" s="12"/>
    </row>
    <row r="135" spans="3:10" x14ac:dyDescent="0.25">
      <c r="C135" s="12"/>
      <c r="D135" s="12"/>
      <c r="E135" s="12"/>
      <c r="F135" s="12"/>
      <c r="G135" s="12"/>
      <c r="H135" s="12"/>
      <c r="I135" s="12"/>
      <c r="J135" s="12"/>
    </row>
    <row r="136" spans="3:10" x14ac:dyDescent="0.25">
      <c r="C136" s="12"/>
      <c r="D136" s="12"/>
      <c r="E136" s="12"/>
      <c r="F136" s="12"/>
      <c r="G136" s="12"/>
      <c r="H136" s="12"/>
      <c r="I136" s="12"/>
      <c r="J136" s="12"/>
    </row>
    <row r="137" spans="3:10" x14ac:dyDescent="0.25">
      <c r="C137" s="12"/>
      <c r="D137" s="12"/>
      <c r="E137" s="12"/>
      <c r="F137" s="12"/>
      <c r="G137" s="12"/>
      <c r="H137" s="12"/>
      <c r="I137" s="12"/>
      <c r="J137" s="12"/>
    </row>
    <row r="138" spans="3:10" x14ac:dyDescent="0.25">
      <c r="C138" s="12"/>
      <c r="D138" s="12"/>
      <c r="E138" s="12"/>
      <c r="F138" s="12"/>
      <c r="G138" s="12"/>
      <c r="H138" s="12"/>
      <c r="I138" s="12"/>
      <c r="J138" s="12"/>
    </row>
    <row r="139" spans="3:10" x14ac:dyDescent="0.25">
      <c r="C139" s="12"/>
      <c r="D139" s="12"/>
      <c r="E139" s="12"/>
      <c r="F139" s="12"/>
      <c r="G139" s="12"/>
      <c r="H139" s="12"/>
      <c r="I139" s="12"/>
      <c r="J139" s="12"/>
    </row>
    <row r="140" spans="3:10" x14ac:dyDescent="0.25">
      <c r="C140" s="12"/>
      <c r="D140" s="12"/>
      <c r="E140" s="12"/>
      <c r="F140" s="12"/>
      <c r="G140" s="12"/>
      <c r="H140" s="12"/>
      <c r="I140" s="12"/>
      <c r="J140" s="12"/>
    </row>
    <row r="141" spans="3:10" x14ac:dyDescent="0.25">
      <c r="C141" s="12"/>
      <c r="D141" s="12"/>
      <c r="E141" s="12"/>
      <c r="F141" s="12"/>
      <c r="G141" s="12"/>
      <c r="H141" s="12"/>
      <c r="I141" s="12"/>
      <c r="J141" s="12"/>
    </row>
    <row r="142" spans="3:10" x14ac:dyDescent="0.25">
      <c r="C142" s="12"/>
      <c r="D142" s="12"/>
      <c r="E142" s="12"/>
      <c r="F142" s="12"/>
      <c r="G142" s="12"/>
      <c r="H142" s="12"/>
      <c r="I142" s="12"/>
      <c r="J142" s="12"/>
    </row>
    <row r="143" spans="3:10" x14ac:dyDescent="0.25">
      <c r="C143" s="12"/>
      <c r="D143" s="12"/>
      <c r="E143" s="12"/>
      <c r="F143" s="12"/>
      <c r="G143" s="12"/>
      <c r="H143" s="12"/>
      <c r="I143" s="12"/>
      <c r="J143" s="12"/>
    </row>
    <row r="144" spans="3:10" x14ac:dyDescent="0.25">
      <c r="C144" s="12"/>
      <c r="D144" s="12"/>
      <c r="E144" s="12"/>
      <c r="F144" s="12"/>
      <c r="G144" s="12"/>
      <c r="H144" s="12"/>
      <c r="I144" s="12"/>
      <c r="J144" s="12"/>
    </row>
    <row r="145" spans="3:10" x14ac:dyDescent="0.25">
      <c r="C145" s="12"/>
      <c r="D145" s="12"/>
      <c r="E145" s="12"/>
      <c r="F145" s="12"/>
      <c r="G145" s="12"/>
      <c r="H145" s="12"/>
      <c r="I145" s="12"/>
      <c r="J145" s="12"/>
    </row>
    <row r="146" spans="3:10" x14ac:dyDescent="0.25">
      <c r="C146" s="12"/>
      <c r="D146" s="12"/>
      <c r="E146" s="12"/>
      <c r="F146" s="12"/>
      <c r="G146" s="12"/>
      <c r="H146" s="12"/>
      <c r="I146" s="12"/>
      <c r="J146" s="12"/>
    </row>
    <row r="147" spans="3:10" x14ac:dyDescent="0.25">
      <c r="C147" s="12"/>
      <c r="D147" s="12"/>
      <c r="E147" s="12"/>
      <c r="F147" s="12"/>
      <c r="G147" s="12"/>
      <c r="H147" s="12"/>
      <c r="I147" s="12"/>
      <c r="J147" s="12"/>
    </row>
    <row r="148" spans="3:10" x14ac:dyDescent="0.25">
      <c r="C148" s="12"/>
      <c r="D148" s="12"/>
      <c r="E148" s="12"/>
      <c r="F148" s="12"/>
      <c r="G148" s="12"/>
      <c r="H148" s="12"/>
      <c r="I148" s="12"/>
      <c r="J148" s="12"/>
    </row>
    <row r="149" spans="3:10" x14ac:dyDescent="0.25">
      <c r="C149" s="12"/>
      <c r="D149" s="12"/>
      <c r="E149" s="12"/>
      <c r="F149" s="12"/>
      <c r="G149" s="12"/>
      <c r="H149" s="12"/>
      <c r="I149" s="12"/>
      <c r="J149" s="12"/>
    </row>
    <row r="150" spans="3:10" x14ac:dyDescent="0.25">
      <c r="C150" s="12"/>
      <c r="D150" s="12"/>
      <c r="E150" s="12"/>
      <c r="F150" s="12"/>
      <c r="G150" s="12"/>
      <c r="H150" s="12"/>
      <c r="I150" s="12"/>
      <c r="J150" s="12"/>
    </row>
    <row r="151" spans="3:10" x14ac:dyDescent="0.25">
      <c r="C151" s="12"/>
      <c r="D151" s="12"/>
      <c r="E151" s="12"/>
      <c r="F151" s="12"/>
      <c r="G151" s="12"/>
      <c r="H151" s="12"/>
      <c r="I151" s="12"/>
      <c r="J151" s="12"/>
    </row>
    <row r="152" spans="3:10" x14ac:dyDescent="0.25">
      <c r="C152" s="12"/>
      <c r="D152" s="12"/>
      <c r="E152" s="12"/>
      <c r="F152" s="12"/>
      <c r="G152" s="12"/>
      <c r="H152" s="12"/>
      <c r="I152" s="12"/>
      <c r="J152" s="12"/>
    </row>
    <row r="153" spans="3:10" x14ac:dyDescent="0.25">
      <c r="C153" s="12"/>
      <c r="D153" s="12"/>
      <c r="E153" s="12"/>
      <c r="F153" s="12"/>
      <c r="G153" s="12"/>
      <c r="H153" s="12"/>
      <c r="I153" s="12"/>
      <c r="J153" s="12"/>
    </row>
    <row r="154" spans="3:10" x14ac:dyDescent="0.25">
      <c r="C154" s="12"/>
      <c r="D154" s="12"/>
      <c r="E154" s="12"/>
      <c r="F154" s="12"/>
      <c r="G154" s="12"/>
      <c r="H154" s="12"/>
      <c r="I154" s="12"/>
      <c r="J154" s="12"/>
    </row>
    <row r="155" spans="3:10" x14ac:dyDescent="0.25">
      <c r="C155" s="12"/>
      <c r="D155" s="12"/>
      <c r="E155" s="12"/>
      <c r="F155" s="12"/>
      <c r="G155" s="12"/>
      <c r="H155" s="12"/>
      <c r="I155" s="12"/>
      <c r="J155" s="12"/>
    </row>
    <row r="156" spans="3:10" x14ac:dyDescent="0.25">
      <c r="C156" s="12"/>
      <c r="D156" s="12"/>
      <c r="E156" s="12"/>
      <c r="F156" s="12"/>
      <c r="G156" s="12"/>
      <c r="H156" s="12"/>
      <c r="I156" s="12"/>
      <c r="J156" s="12"/>
    </row>
    <row r="157" spans="3:10" x14ac:dyDescent="0.25">
      <c r="C157" s="12"/>
      <c r="D157" s="12"/>
      <c r="E157" s="12"/>
      <c r="F157" s="12"/>
      <c r="G157" s="12"/>
      <c r="H157" s="12"/>
      <c r="I157" s="12"/>
      <c r="J157" s="12"/>
    </row>
    <row r="158" spans="3:10" x14ac:dyDescent="0.25">
      <c r="C158" s="12"/>
      <c r="D158" s="12"/>
      <c r="E158" s="12"/>
      <c r="F158" s="12"/>
      <c r="G158" s="12"/>
      <c r="H158" s="12"/>
      <c r="I158" s="12"/>
      <c r="J158" s="12"/>
    </row>
    <row r="159" spans="3:10" x14ac:dyDescent="0.25">
      <c r="C159" s="12"/>
      <c r="D159" s="12"/>
      <c r="E159" s="12"/>
      <c r="F159" s="12"/>
      <c r="G159" s="12"/>
      <c r="H159" s="12"/>
      <c r="I159" s="12"/>
      <c r="J159" s="12"/>
    </row>
    <row r="160" spans="3:10" x14ac:dyDescent="0.25">
      <c r="C160" s="12"/>
      <c r="D160" s="12"/>
      <c r="E160" s="12"/>
      <c r="F160" s="12"/>
      <c r="G160" s="12"/>
      <c r="H160" s="12"/>
      <c r="I160" s="12"/>
      <c r="J160" s="12"/>
    </row>
    <row r="161" spans="3:10" x14ac:dyDescent="0.25">
      <c r="C161" s="12"/>
      <c r="D161" s="12"/>
      <c r="E161" s="12"/>
      <c r="F161" s="12"/>
      <c r="G161" s="12"/>
      <c r="H161" s="12"/>
      <c r="I161" s="12"/>
      <c r="J161" s="12"/>
    </row>
    <row r="162" spans="3:10" x14ac:dyDescent="0.25">
      <c r="C162" s="12"/>
      <c r="D162" s="12"/>
      <c r="E162" s="12"/>
      <c r="F162" s="12"/>
      <c r="G162" s="12"/>
      <c r="H162" s="12"/>
      <c r="I162" s="12"/>
      <c r="J162" s="12"/>
    </row>
    <row r="163" spans="3:10" x14ac:dyDescent="0.25">
      <c r="C163" s="12"/>
      <c r="D163" s="12"/>
      <c r="E163" s="12"/>
      <c r="F163" s="12"/>
      <c r="G163" s="12"/>
      <c r="H163" s="12"/>
      <c r="I163" s="12"/>
      <c r="J163" s="12"/>
    </row>
    <row r="164" spans="3:10" x14ac:dyDescent="0.25">
      <c r="C164" s="12"/>
      <c r="D164" s="12"/>
      <c r="E164" s="12"/>
      <c r="F164" s="12"/>
      <c r="G164" s="12"/>
      <c r="H164" s="12"/>
      <c r="I164" s="12"/>
      <c r="J164" s="12"/>
    </row>
    <row r="165" spans="3:10" x14ac:dyDescent="0.25">
      <c r="C165" s="12"/>
      <c r="D165" s="12"/>
      <c r="E165" s="12"/>
      <c r="F165" s="12"/>
      <c r="G165" s="12"/>
      <c r="H165" s="12"/>
      <c r="I165" s="12"/>
      <c r="J165" s="12"/>
    </row>
    <row r="166" spans="3:10" x14ac:dyDescent="0.25">
      <c r="C166" s="12"/>
      <c r="D166" s="12"/>
      <c r="E166" s="12"/>
      <c r="F166" s="12"/>
      <c r="G166" s="12"/>
      <c r="H166" s="12"/>
      <c r="I166" s="12"/>
      <c r="J166" s="12"/>
    </row>
    <row r="167" spans="3:10" x14ac:dyDescent="0.25">
      <c r="C167" s="12"/>
      <c r="D167" s="12"/>
      <c r="E167" s="12"/>
      <c r="F167" s="12"/>
      <c r="G167" s="12"/>
      <c r="H167" s="12"/>
      <c r="I167" s="12"/>
      <c r="J167" s="12"/>
    </row>
    <row r="168" spans="3:10" x14ac:dyDescent="0.25">
      <c r="C168" s="12"/>
      <c r="D168" s="12"/>
      <c r="E168" s="12"/>
      <c r="F168" s="12"/>
      <c r="G168" s="12"/>
      <c r="H168" s="12"/>
      <c r="I168" s="12"/>
      <c r="J168" s="12"/>
    </row>
    <row r="169" spans="3:10" x14ac:dyDescent="0.25">
      <c r="C169" s="12"/>
      <c r="D169" s="12"/>
      <c r="E169" s="12"/>
      <c r="F169" s="12"/>
      <c r="G169" s="12"/>
      <c r="H169" s="12"/>
      <c r="I169" s="12"/>
      <c r="J169" s="12"/>
    </row>
    <row r="170" spans="3:10" x14ac:dyDescent="0.25">
      <c r="C170" s="12"/>
      <c r="D170" s="12"/>
      <c r="E170" s="12"/>
      <c r="F170" s="12"/>
      <c r="G170" s="12"/>
      <c r="H170" s="12"/>
      <c r="I170" s="12"/>
      <c r="J170" s="12"/>
    </row>
    <row r="171" spans="3:10" x14ac:dyDescent="0.25">
      <c r="C171" s="12"/>
      <c r="D171" s="12"/>
      <c r="E171" s="12"/>
      <c r="F171" s="12"/>
      <c r="G171" s="12"/>
      <c r="H171" s="12"/>
      <c r="I171" s="12"/>
      <c r="J171" s="12"/>
    </row>
    <row r="172" spans="3:10" x14ac:dyDescent="0.25">
      <c r="C172" s="12"/>
      <c r="D172" s="12"/>
      <c r="E172" s="12"/>
      <c r="F172" s="12"/>
      <c r="G172" s="12"/>
      <c r="H172" s="12"/>
      <c r="I172" s="12"/>
      <c r="J172" s="12"/>
    </row>
    <row r="173" spans="3:10" x14ac:dyDescent="0.25">
      <c r="C173" s="12"/>
      <c r="D173" s="12"/>
      <c r="E173" s="12"/>
      <c r="F173" s="12"/>
      <c r="G173" s="12"/>
      <c r="H173" s="12"/>
      <c r="I173" s="12"/>
      <c r="J173" s="12"/>
    </row>
    <row r="174" spans="3:10" x14ac:dyDescent="0.25">
      <c r="C174" s="12"/>
      <c r="D174" s="12"/>
      <c r="E174" s="12"/>
      <c r="F174" s="12"/>
      <c r="G174" s="12"/>
      <c r="H174" s="12"/>
      <c r="I174" s="12"/>
      <c r="J174" s="12"/>
    </row>
    <row r="175" spans="3:10" x14ac:dyDescent="0.25">
      <c r="C175" s="12"/>
      <c r="D175" s="12"/>
      <c r="E175" s="12"/>
      <c r="F175" s="12"/>
      <c r="G175" s="12"/>
      <c r="H175" s="12"/>
      <c r="I175" s="12"/>
      <c r="J175" s="12"/>
    </row>
    <row r="176" spans="3:10" x14ac:dyDescent="0.25">
      <c r="C176" s="12"/>
      <c r="D176" s="12"/>
      <c r="E176" s="12"/>
      <c r="F176" s="12"/>
      <c r="G176" s="12"/>
      <c r="H176" s="12"/>
      <c r="I176" s="12"/>
      <c r="J176" s="12"/>
    </row>
    <row r="177" spans="3:10" x14ac:dyDescent="0.25">
      <c r="C177" s="12"/>
      <c r="D177" s="12"/>
      <c r="E177" s="12"/>
      <c r="F177" s="12"/>
      <c r="G177" s="12"/>
      <c r="H177" s="12"/>
      <c r="I177" s="12"/>
      <c r="J177" s="12"/>
    </row>
    <row r="178" spans="3:10" x14ac:dyDescent="0.25">
      <c r="C178" s="12"/>
      <c r="D178" s="12"/>
      <c r="E178" s="12"/>
      <c r="F178" s="12"/>
      <c r="G178" s="12"/>
      <c r="H178" s="12"/>
      <c r="I178" s="12"/>
      <c r="J178" s="12"/>
    </row>
    <row r="179" spans="3:10" x14ac:dyDescent="0.25">
      <c r="C179" s="12"/>
      <c r="D179" s="12"/>
      <c r="E179" s="12"/>
      <c r="F179" s="12"/>
      <c r="G179" s="12"/>
      <c r="H179" s="12"/>
      <c r="I179" s="12"/>
      <c r="J179" s="12"/>
    </row>
    <row r="180" spans="3:10" x14ac:dyDescent="0.25">
      <c r="C180" s="12"/>
      <c r="D180" s="12"/>
      <c r="E180" s="12"/>
      <c r="F180" s="12"/>
      <c r="G180" s="12"/>
      <c r="H180" s="12"/>
      <c r="I180" s="12"/>
      <c r="J180" s="12"/>
    </row>
    <row r="181" spans="3:10" x14ac:dyDescent="0.25">
      <c r="C181" s="12"/>
      <c r="D181" s="12"/>
      <c r="E181" s="12"/>
      <c r="F181" s="12"/>
      <c r="G181" s="12"/>
      <c r="H181" s="12"/>
      <c r="I181" s="12"/>
      <c r="J181" s="12"/>
    </row>
    <row r="182" spans="3:10" x14ac:dyDescent="0.25">
      <c r="C182" s="12"/>
      <c r="D182" s="12"/>
      <c r="E182" s="12"/>
      <c r="F182" s="12"/>
      <c r="G182" s="12"/>
      <c r="H182" s="12"/>
      <c r="I182" s="12"/>
      <c r="J182" s="12"/>
    </row>
    <row r="183" spans="3:10" x14ac:dyDescent="0.25">
      <c r="C183" s="12"/>
      <c r="D183" s="12"/>
      <c r="E183" s="12"/>
      <c r="F183" s="12"/>
      <c r="G183" s="12"/>
      <c r="H183" s="12"/>
      <c r="I183" s="12"/>
      <c r="J183" s="12"/>
    </row>
    <row r="184" spans="3:10" x14ac:dyDescent="0.25">
      <c r="C184" s="12"/>
      <c r="D184" s="12"/>
      <c r="E184" s="12"/>
      <c r="F184" s="12"/>
      <c r="G184" s="12"/>
      <c r="H184" s="12"/>
      <c r="I184" s="12"/>
      <c r="J184" s="12"/>
    </row>
    <row r="185" spans="3:10" x14ac:dyDescent="0.25">
      <c r="C185" s="12"/>
      <c r="D185" s="12"/>
      <c r="E185" s="12"/>
      <c r="F185" s="12"/>
      <c r="G185" s="12"/>
      <c r="H185" s="12"/>
      <c r="I185" s="12"/>
      <c r="J185" s="12"/>
    </row>
    <row r="186" spans="3:10" x14ac:dyDescent="0.25">
      <c r="C186" s="12"/>
      <c r="D186" s="12"/>
      <c r="E186" s="12"/>
      <c r="F186" s="12"/>
      <c r="G186" s="12"/>
      <c r="H186" s="12"/>
      <c r="I186" s="12"/>
      <c r="J186" s="12"/>
    </row>
    <row r="187" spans="3:10" x14ac:dyDescent="0.25">
      <c r="C187" s="12"/>
      <c r="D187" s="12"/>
      <c r="E187" s="12"/>
      <c r="F187" s="12"/>
      <c r="G187" s="12"/>
      <c r="H187" s="12"/>
      <c r="I187" s="12"/>
      <c r="J187" s="12"/>
    </row>
    <row r="188" spans="3:10" x14ac:dyDescent="0.25">
      <c r="C188" s="12"/>
      <c r="D188" s="12"/>
      <c r="E188" s="12"/>
      <c r="F188" s="12"/>
      <c r="G188" s="12"/>
      <c r="H188" s="12"/>
      <c r="I188" s="12"/>
      <c r="J188" s="12"/>
    </row>
    <row r="189" spans="3:10" x14ac:dyDescent="0.25">
      <c r="C189" s="12"/>
      <c r="D189" s="12"/>
      <c r="E189" s="12"/>
      <c r="F189" s="12"/>
      <c r="G189" s="12"/>
      <c r="H189" s="12"/>
      <c r="I189" s="12"/>
      <c r="J189" s="12"/>
    </row>
    <row r="190" spans="3:10" x14ac:dyDescent="0.25">
      <c r="C190" s="12"/>
      <c r="D190" s="12"/>
      <c r="E190" s="12"/>
      <c r="F190" s="12"/>
      <c r="G190" s="12"/>
      <c r="H190" s="12"/>
      <c r="I190" s="12"/>
      <c r="J190" s="12"/>
    </row>
    <row r="191" spans="3:10" x14ac:dyDescent="0.25">
      <c r="C191" s="12"/>
      <c r="D191" s="12"/>
      <c r="E191" s="12"/>
      <c r="F191" s="12"/>
      <c r="G191" s="12"/>
      <c r="H191" s="12"/>
      <c r="I191" s="12"/>
      <c r="J191" s="12"/>
    </row>
    <row r="192" spans="3:10" x14ac:dyDescent="0.25">
      <c r="C192" s="12"/>
      <c r="D192" s="12"/>
      <c r="E192" s="12"/>
      <c r="F192" s="12"/>
      <c r="G192" s="12"/>
      <c r="H192" s="12"/>
      <c r="I192" s="12"/>
      <c r="J192" s="12"/>
    </row>
    <row r="193" spans="3:10" x14ac:dyDescent="0.25">
      <c r="C193" s="12"/>
      <c r="D193" s="12"/>
      <c r="E193" s="12"/>
      <c r="F193" s="12"/>
      <c r="G193" s="12"/>
      <c r="H193" s="12"/>
      <c r="I193" s="12"/>
      <c r="J193" s="12"/>
    </row>
    <row r="194" spans="3:10" x14ac:dyDescent="0.25">
      <c r="C194" s="12"/>
      <c r="D194" s="12"/>
      <c r="E194" s="12"/>
      <c r="F194" s="12"/>
      <c r="G194" s="12"/>
      <c r="H194" s="12"/>
      <c r="I194" s="12"/>
      <c r="J194" s="12"/>
    </row>
    <row r="195" spans="3:10" x14ac:dyDescent="0.25">
      <c r="C195" s="12"/>
      <c r="D195" s="12"/>
      <c r="E195" s="12"/>
      <c r="F195" s="12"/>
      <c r="G195" s="12"/>
      <c r="H195" s="12"/>
      <c r="I195" s="12"/>
      <c r="J195" s="12"/>
    </row>
    <row r="196" spans="3:10" x14ac:dyDescent="0.25">
      <c r="C196" s="12"/>
      <c r="D196" s="12"/>
      <c r="E196" s="12"/>
      <c r="F196" s="12"/>
      <c r="G196" s="12"/>
      <c r="H196" s="12"/>
      <c r="I196" s="12"/>
      <c r="J196" s="12"/>
    </row>
    <row r="197" spans="3:10" x14ac:dyDescent="0.25">
      <c r="C197" s="12"/>
      <c r="D197" s="12"/>
      <c r="E197" s="12"/>
      <c r="F197" s="12"/>
      <c r="G197" s="12"/>
      <c r="H197" s="12"/>
      <c r="I197" s="12"/>
      <c r="J197" s="12"/>
    </row>
    <row r="198" spans="3:10" x14ac:dyDescent="0.25">
      <c r="C198" s="12"/>
      <c r="D198" s="12"/>
      <c r="E198" s="12"/>
      <c r="F198" s="12"/>
      <c r="G198" s="12"/>
      <c r="H198" s="12"/>
      <c r="I198" s="12"/>
      <c r="J198" s="12"/>
    </row>
    <row r="199" spans="3:10" x14ac:dyDescent="0.25">
      <c r="C199" s="12"/>
      <c r="D199" s="12"/>
      <c r="E199" s="12"/>
      <c r="F199" s="12"/>
      <c r="G199" s="12"/>
      <c r="H199" s="12"/>
      <c r="I199" s="12"/>
      <c r="J199" s="12"/>
    </row>
    <row r="200" spans="3:10" x14ac:dyDescent="0.25">
      <c r="C200" s="12"/>
      <c r="D200" s="12"/>
      <c r="E200" s="12"/>
      <c r="F200" s="12"/>
      <c r="G200" s="12"/>
      <c r="H200" s="12"/>
      <c r="I200" s="12"/>
      <c r="J200" s="12"/>
    </row>
    <row r="201" spans="3:10" x14ac:dyDescent="0.25">
      <c r="C201" s="12"/>
      <c r="D201" s="12"/>
      <c r="E201" s="12"/>
      <c r="F201" s="12"/>
      <c r="G201" s="12"/>
      <c r="H201" s="12"/>
      <c r="I201" s="12"/>
      <c r="J201" s="12"/>
    </row>
    <row r="202" spans="3:10" x14ac:dyDescent="0.25">
      <c r="C202" s="12"/>
      <c r="D202" s="12"/>
      <c r="E202" s="12"/>
      <c r="F202" s="12"/>
      <c r="G202" s="12"/>
      <c r="H202" s="12"/>
      <c r="I202" s="12"/>
      <c r="J202" s="12"/>
    </row>
    <row r="203" spans="3:10" x14ac:dyDescent="0.25">
      <c r="C203" s="12"/>
      <c r="D203" s="12"/>
      <c r="E203" s="12"/>
      <c r="F203" s="12"/>
      <c r="G203" s="12"/>
      <c r="H203" s="12"/>
      <c r="I203" s="12"/>
      <c r="J203" s="12"/>
    </row>
    <row r="204" spans="3:10" x14ac:dyDescent="0.25">
      <c r="C204" s="12"/>
      <c r="D204" s="12"/>
      <c r="E204" s="12"/>
      <c r="F204" s="12"/>
      <c r="G204" s="12"/>
      <c r="H204" s="12"/>
      <c r="I204" s="12"/>
      <c r="J204" s="12"/>
    </row>
    <row r="205" spans="3:10" x14ac:dyDescent="0.25">
      <c r="C205" s="12"/>
      <c r="D205" s="12"/>
      <c r="E205" s="12"/>
      <c r="F205" s="12"/>
      <c r="G205" s="12"/>
      <c r="H205" s="12"/>
      <c r="I205" s="12"/>
      <c r="J205" s="12"/>
    </row>
    <row r="206" spans="3:10" x14ac:dyDescent="0.25">
      <c r="C206" s="12"/>
      <c r="D206" s="12"/>
      <c r="E206" s="12"/>
      <c r="F206" s="12"/>
      <c r="G206" s="12"/>
      <c r="H206" s="12"/>
      <c r="I206" s="12"/>
      <c r="J206" s="12"/>
    </row>
    <row r="207" spans="3:10" x14ac:dyDescent="0.25">
      <c r="C207" s="12"/>
      <c r="D207" s="12"/>
      <c r="E207" s="12"/>
      <c r="F207" s="12"/>
      <c r="G207" s="12"/>
      <c r="H207" s="12"/>
      <c r="I207" s="12"/>
      <c r="J207" s="12"/>
    </row>
    <row r="208" spans="3:10" x14ac:dyDescent="0.25">
      <c r="C208" s="12"/>
      <c r="D208" s="12"/>
      <c r="E208" s="12"/>
      <c r="F208" s="12"/>
      <c r="G208" s="12"/>
      <c r="H208" s="12"/>
      <c r="I208" s="12"/>
      <c r="J208" s="12"/>
    </row>
    <row r="209" spans="3:10" x14ac:dyDescent="0.25">
      <c r="C209" s="12"/>
      <c r="D209" s="12"/>
      <c r="E209" s="12"/>
      <c r="F209" s="12"/>
      <c r="G209" s="12"/>
      <c r="H209" s="12"/>
      <c r="I209" s="12"/>
      <c r="J209" s="12"/>
    </row>
    <row r="210" spans="3:10" x14ac:dyDescent="0.25">
      <c r="C210" s="12"/>
      <c r="D210" s="12"/>
      <c r="E210" s="12"/>
      <c r="F210" s="12"/>
      <c r="G210" s="12"/>
      <c r="H210" s="12"/>
      <c r="I210" s="12"/>
      <c r="J210" s="12"/>
    </row>
    <row r="211" spans="3:10" x14ac:dyDescent="0.25">
      <c r="C211" s="12"/>
      <c r="D211" s="12"/>
      <c r="E211" s="12"/>
      <c r="F211" s="12"/>
      <c r="G211" s="12"/>
      <c r="H211" s="12"/>
      <c r="I211" s="12"/>
      <c r="J211" s="12"/>
    </row>
    <row r="212" spans="3:10" x14ac:dyDescent="0.25">
      <c r="C212" s="12"/>
      <c r="D212" s="12"/>
      <c r="E212" s="12"/>
      <c r="F212" s="12"/>
      <c r="G212" s="12"/>
      <c r="H212" s="12"/>
      <c r="I212" s="12"/>
      <c r="J212" s="12"/>
    </row>
    <row r="213" spans="3:10" x14ac:dyDescent="0.25">
      <c r="C213" s="12"/>
      <c r="D213" s="12"/>
      <c r="E213" s="12"/>
      <c r="F213" s="12"/>
      <c r="G213" s="12"/>
      <c r="H213" s="12"/>
      <c r="I213" s="12"/>
      <c r="J213" s="12"/>
    </row>
    <row r="214" spans="3:10" x14ac:dyDescent="0.25">
      <c r="C214" s="12"/>
      <c r="D214" s="12"/>
      <c r="E214" s="12"/>
      <c r="F214" s="12"/>
      <c r="G214" s="12"/>
      <c r="H214" s="12"/>
      <c r="I214" s="12"/>
      <c r="J214" s="12"/>
    </row>
    <row r="215" spans="3:10" x14ac:dyDescent="0.25">
      <c r="C215" s="12"/>
      <c r="D215" s="12"/>
      <c r="E215" s="12"/>
      <c r="F215" s="12"/>
      <c r="G215" s="12"/>
      <c r="H215" s="12"/>
      <c r="I215" s="12"/>
      <c r="J215" s="12"/>
    </row>
    <row r="216" spans="3:10" x14ac:dyDescent="0.25">
      <c r="C216" s="12"/>
      <c r="D216" s="12"/>
      <c r="E216" s="12"/>
      <c r="F216" s="12"/>
      <c r="G216" s="12"/>
      <c r="H216" s="12"/>
      <c r="I216" s="12"/>
      <c r="J216" s="12"/>
    </row>
    <row r="217" spans="3:10" x14ac:dyDescent="0.25">
      <c r="C217" s="12"/>
      <c r="D217" s="12"/>
      <c r="E217" s="12"/>
      <c r="F217" s="12"/>
      <c r="G217" s="12"/>
      <c r="H217" s="12"/>
      <c r="I217" s="12"/>
      <c r="J217" s="12"/>
    </row>
    <row r="218" spans="3:10" x14ac:dyDescent="0.25">
      <c r="C218" s="12"/>
      <c r="D218" s="12"/>
      <c r="E218" s="12"/>
      <c r="F218" s="12"/>
      <c r="G218" s="12"/>
      <c r="H218" s="12"/>
      <c r="I218" s="12"/>
      <c r="J218" s="12"/>
    </row>
    <row r="219" spans="3:10" x14ac:dyDescent="0.25">
      <c r="C219" s="12"/>
      <c r="D219" s="12"/>
      <c r="E219" s="12"/>
      <c r="F219" s="12"/>
      <c r="G219" s="12"/>
      <c r="H219" s="12"/>
      <c r="I219" s="12"/>
      <c r="J219" s="12"/>
    </row>
    <row r="220" spans="3:10" x14ac:dyDescent="0.25">
      <c r="C220" s="12"/>
      <c r="D220" s="12"/>
      <c r="E220" s="12"/>
      <c r="F220" s="12"/>
      <c r="G220" s="12"/>
      <c r="H220" s="12"/>
      <c r="I220" s="12"/>
      <c r="J220" s="12"/>
    </row>
    <row r="221" spans="3:10" x14ac:dyDescent="0.25">
      <c r="C221" s="12"/>
      <c r="D221" s="12"/>
      <c r="E221" s="12"/>
      <c r="F221" s="12"/>
      <c r="G221" s="12"/>
      <c r="H221" s="12"/>
      <c r="I221" s="12"/>
      <c r="J221" s="12"/>
    </row>
    <row r="222" spans="3:10" x14ac:dyDescent="0.25">
      <c r="C222" s="12"/>
      <c r="D222" s="12"/>
      <c r="E222" s="12"/>
      <c r="F222" s="12"/>
      <c r="G222" s="12"/>
      <c r="H222" s="12"/>
      <c r="I222" s="12"/>
      <c r="J222" s="12"/>
    </row>
    <row r="223" spans="3:10" x14ac:dyDescent="0.25">
      <c r="C223" s="12"/>
      <c r="D223" s="12"/>
      <c r="E223" s="12"/>
      <c r="F223" s="12"/>
      <c r="G223" s="12"/>
      <c r="H223" s="12"/>
      <c r="I223" s="12"/>
      <c r="J223" s="12"/>
    </row>
    <row r="224" spans="3:10" x14ac:dyDescent="0.25">
      <c r="C224" s="12"/>
      <c r="D224" s="12"/>
      <c r="E224" s="12"/>
      <c r="F224" s="12"/>
      <c r="G224" s="12"/>
      <c r="H224" s="12"/>
      <c r="I224" s="12"/>
      <c r="J224" s="12"/>
    </row>
    <row r="225" spans="3:10" x14ac:dyDescent="0.25">
      <c r="C225" s="12"/>
      <c r="D225" s="12"/>
      <c r="E225" s="12"/>
      <c r="F225" s="12"/>
      <c r="G225" s="12"/>
      <c r="H225" s="12"/>
      <c r="I225" s="12"/>
      <c r="J225" s="12"/>
    </row>
    <row r="226" spans="3:10" x14ac:dyDescent="0.25">
      <c r="C226" s="12"/>
      <c r="D226" s="12"/>
      <c r="E226" s="12"/>
      <c r="F226" s="12"/>
      <c r="G226" s="12"/>
      <c r="H226" s="12"/>
      <c r="I226" s="12"/>
      <c r="J226" s="12"/>
    </row>
    <row r="227" spans="3:10" x14ac:dyDescent="0.25">
      <c r="C227" s="12"/>
      <c r="D227" s="12"/>
      <c r="E227" s="12"/>
      <c r="F227" s="12"/>
      <c r="G227" s="12"/>
      <c r="H227" s="12"/>
      <c r="I227" s="12"/>
      <c r="J227" s="12"/>
    </row>
    <row r="228" spans="3:10" x14ac:dyDescent="0.25">
      <c r="C228" s="12"/>
      <c r="D228" s="12"/>
      <c r="E228" s="12"/>
      <c r="F228" s="12"/>
      <c r="G228" s="12"/>
      <c r="H228" s="12"/>
      <c r="I228" s="12"/>
      <c r="J228" s="12"/>
    </row>
    <row r="229" spans="3:10" x14ac:dyDescent="0.25">
      <c r="C229" s="12"/>
      <c r="D229" s="12"/>
      <c r="E229" s="12"/>
      <c r="F229" s="12"/>
      <c r="G229" s="12"/>
      <c r="H229" s="12"/>
      <c r="I229" s="12"/>
      <c r="J229" s="12"/>
    </row>
    <row r="230" spans="3:10" x14ac:dyDescent="0.25">
      <c r="C230" s="12"/>
      <c r="D230" s="12"/>
      <c r="E230" s="12"/>
      <c r="F230" s="12"/>
      <c r="G230" s="12"/>
      <c r="H230" s="12"/>
      <c r="I230" s="12"/>
      <c r="J230" s="12"/>
    </row>
    <row r="231" spans="3:10" x14ac:dyDescent="0.25">
      <c r="C231" s="12"/>
      <c r="D231" s="12"/>
      <c r="E231" s="12"/>
      <c r="F231" s="12"/>
      <c r="G231" s="12"/>
      <c r="H231" s="12"/>
      <c r="I231" s="12"/>
      <c r="J231" s="12"/>
    </row>
    <row r="232" spans="3:10" x14ac:dyDescent="0.25">
      <c r="C232" s="12"/>
      <c r="D232" s="12"/>
      <c r="E232" s="12"/>
      <c r="F232" s="12"/>
      <c r="G232" s="12"/>
      <c r="H232" s="12"/>
      <c r="I232" s="12"/>
      <c r="J232" s="12"/>
    </row>
    <row r="233" spans="3:10" x14ac:dyDescent="0.25">
      <c r="C233" s="12"/>
      <c r="D233" s="12"/>
      <c r="E233" s="12"/>
      <c r="F233" s="12"/>
      <c r="G233" s="12"/>
      <c r="H233" s="12"/>
      <c r="I233" s="12"/>
      <c r="J233" s="12"/>
    </row>
    <row r="234" spans="3:10" x14ac:dyDescent="0.25">
      <c r="C234" s="12"/>
      <c r="D234" s="12"/>
      <c r="E234" s="12"/>
      <c r="F234" s="12"/>
      <c r="G234" s="12"/>
      <c r="H234" s="12"/>
      <c r="I234" s="12"/>
      <c r="J234" s="12"/>
    </row>
    <row r="235" spans="3:10" x14ac:dyDescent="0.25">
      <c r="C235" s="12"/>
      <c r="D235" s="12"/>
      <c r="E235" s="12"/>
      <c r="F235" s="12"/>
      <c r="G235" s="12"/>
      <c r="H235" s="12"/>
      <c r="I235" s="12"/>
      <c r="J235" s="12"/>
    </row>
    <row r="236" spans="3:10" x14ac:dyDescent="0.25">
      <c r="C236" s="12"/>
      <c r="D236" s="12"/>
      <c r="E236" s="12"/>
      <c r="F236" s="12"/>
      <c r="G236" s="12"/>
      <c r="H236" s="12"/>
      <c r="I236" s="12"/>
      <c r="J236" s="12"/>
    </row>
    <row r="237" spans="3:10" x14ac:dyDescent="0.25">
      <c r="C237" s="12"/>
      <c r="D237" s="12"/>
      <c r="E237" s="12"/>
      <c r="F237" s="12"/>
      <c r="G237" s="12"/>
      <c r="H237" s="12"/>
      <c r="I237" s="12"/>
      <c r="J237" s="12"/>
    </row>
    <row r="238" spans="3:10" x14ac:dyDescent="0.25">
      <c r="C238" s="12"/>
      <c r="D238" s="12"/>
      <c r="E238" s="12"/>
      <c r="F238" s="12"/>
      <c r="G238" s="12"/>
      <c r="H238" s="12"/>
      <c r="I238" s="12"/>
      <c r="J238" s="12"/>
    </row>
    <row r="239" spans="3:10" x14ac:dyDescent="0.25">
      <c r="C239" s="12"/>
      <c r="D239" s="12"/>
      <c r="E239" s="12"/>
      <c r="F239" s="12"/>
      <c r="G239" s="12"/>
      <c r="H239" s="12"/>
      <c r="I239" s="12"/>
      <c r="J239" s="12"/>
    </row>
    <row r="240" spans="3:10" x14ac:dyDescent="0.25">
      <c r="C240" s="12"/>
      <c r="D240" s="12"/>
      <c r="E240" s="12"/>
      <c r="F240" s="12"/>
      <c r="G240" s="12"/>
      <c r="H240" s="12"/>
      <c r="I240" s="12"/>
      <c r="J240" s="12"/>
    </row>
    <row r="241" spans="3:10" x14ac:dyDescent="0.25">
      <c r="C241" s="12"/>
      <c r="D241" s="12"/>
      <c r="E241" s="12"/>
      <c r="F241" s="12"/>
      <c r="G241" s="12"/>
      <c r="H241" s="12"/>
      <c r="I241" s="12"/>
      <c r="J241" s="12"/>
    </row>
    <row r="242" spans="3:10" x14ac:dyDescent="0.25">
      <c r="C242" s="12"/>
      <c r="D242" s="12"/>
      <c r="E242" s="12"/>
      <c r="F242" s="12"/>
      <c r="G242" s="12"/>
      <c r="H242" s="12"/>
      <c r="I242" s="12"/>
      <c r="J242" s="12"/>
    </row>
    <row r="243" spans="3:10" x14ac:dyDescent="0.25">
      <c r="C243" s="12"/>
      <c r="D243" s="12"/>
      <c r="E243" s="12"/>
      <c r="F243" s="12"/>
      <c r="G243" s="12"/>
      <c r="H243" s="12"/>
      <c r="I243" s="12"/>
      <c r="J243" s="12"/>
    </row>
    <row r="244" spans="3:10" x14ac:dyDescent="0.25">
      <c r="C244" s="12"/>
      <c r="D244" s="12"/>
      <c r="E244" s="12"/>
      <c r="F244" s="12"/>
      <c r="G244" s="12"/>
      <c r="H244" s="12"/>
      <c r="I244" s="12"/>
      <c r="J244" s="12"/>
    </row>
    <row r="245" spans="3:10" x14ac:dyDescent="0.25">
      <c r="C245" s="12"/>
      <c r="D245" s="12"/>
      <c r="E245" s="12"/>
      <c r="F245" s="12"/>
      <c r="G245" s="12"/>
      <c r="H245" s="12"/>
      <c r="I245" s="12"/>
      <c r="J245" s="12"/>
    </row>
    <row r="246" spans="3:10" x14ac:dyDescent="0.25">
      <c r="C246" s="12"/>
      <c r="D246" s="12"/>
      <c r="E246" s="12"/>
      <c r="F246" s="12"/>
      <c r="G246" s="12"/>
      <c r="H246" s="12"/>
      <c r="I246" s="12"/>
      <c r="J246" s="12"/>
    </row>
    <row r="247" spans="3:10" x14ac:dyDescent="0.25">
      <c r="C247" s="12"/>
      <c r="D247" s="12"/>
      <c r="E247" s="12"/>
      <c r="F247" s="12"/>
      <c r="G247" s="12"/>
      <c r="H247" s="12"/>
      <c r="I247" s="12"/>
      <c r="J247" s="12"/>
    </row>
    <row r="248" spans="3:10" x14ac:dyDescent="0.25">
      <c r="C248" s="12"/>
      <c r="D248" s="12"/>
      <c r="E248" s="12"/>
      <c r="F248" s="12"/>
      <c r="G248" s="12"/>
      <c r="H248" s="12"/>
      <c r="I248" s="12"/>
      <c r="J248" s="12"/>
    </row>
    <row r="249" spans="3:10" x14ac:dyDescent="0.25">
      <c r="C249" s="12"/>
      <c r="D249" s="12"/>
      <c r="E249" s="12"/>
      <c r="F249" s="12"/>
      <c r="G249" s="12"/>
      <c r="H249" s="12"/>
      <c r="I249" s="12"/>
      <c r="J249" s="12"/>
    </row>
    <row r="250" spans="3:10" x14ac:dyDescent="0.25">
      <c r="C250" s="12"/>
      <c r="D250" s="12"/>
      <c r="E250" s="12"/>
      <c r="F250" s="12"/>
      <c r="G250" s="12"/>
      <c r="H250" s="12"/>
      <c r="I250" s="12"/>
      <c r="J250" s="12"/>
    </row>
    <row r="251" spans="3:10" x14ac:dyDescent="0.25">
      <c r="C251" s="12"/>
      <c r="D251" s="12"/>
      <c r="E251" s="12"/>
      <c r="F251" s="12"/>
      <c r="G251" s="12"/>
      <c r="H251" s="12"/>
      <c r="I251" s="12"/>
      <c r="J251" s="12"/>
    </row>
    <row r="252" spans="3:10" x14ac:dyDescent="0.25">
      <c r="C252" s="12"/>
      <c r="D252" s="12"/>
      <c r="E252" s="12"/>
      <c r="F252" s="12"/>
      <c r="G252" s="12"/>
      <c r="H252" s="12"/>
      <c r="I252" s="12"/>
      <c r="J252" s="12"/>
    </row>
  </sheetData>
  <mergeCells count="9">
    <mergeCell ref="R6:R7"/>
    <mergeCell ref="M5:M7"/>
    <mergeCell ref="L2:U2"/>
    <mergeCell ref="N4:U4"/>
    <mergeCell ref="N5:N7"/>
    <mergeCell ref="O5:O7"/>
    <mergeCell ref="P5:P7"/>
    <mergeCell ref="U5:U7"/>
    <mergeCell ref="Q6:Q7"/>
  </mergeCells>
  <phoneticPr fontId="13" type="noConversion"/>
  <pageMargins left="0.75000000000000011" right="0.75000000000000011" top="0.98" bottom="0.98" header="0.51" footer="0.51"/>
  <pageSetup paperSize="9" scale="68" orientation="landscape" horizontalDpi="4294967292" verticalDpi="4294967292"/>
  <extLst>
    <ext xmlns:mx="http://schemas.microsoft.com/office/mac/excel/2008/main" uri="{64002731-A6B0-56B0-2670-7721B7C09600}">
      <mx:PLV Mode="0" OnePage="0" WScale="0"/>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AD252"/>
  <sheetViews>
    <sheetView zoomScale="70" zoomScaleNormal="70" zoomScalePageLayoutView="70" workbookViewId="0">
      <pane xSplit="1" ySplit="7" topLeftCell="B8" activePane="bottomRight" state="frozen"/>
      <selection pane="topRight" activeCell="B1" sqref="B1"/>
      <selection pane="bottomLeft" activeCell="A9" sqref="A9"/>
      <selection pane="bottomRight" activeCell="T13" sqref="T13"/>
    </sheetView>
  </sheetViews>
  <sheetFormatPr baseColWidth="10" defaultColWidth="9.26953125" defaultRowHeight="13.2" x14ac:dyDescent="0.25"/>
  <cols>
    <col min="1" max="1" width="7.453125" style="9" hidden="1" customWidth="1"/>
    <col min="2" max="4" width="10.7265625" style="9" hidden="1" customWidth="1"/>
    <col min="5" max="5" width="11" style="9" hidden="1" customWidth="1"/>
    <col min="6" max="6" width="9" style="9" hidden="1" customWidth="1"/>
    <col min="7" max="8" width="8.7265625" style="9" hidden="1" customWidth="1"/>
    <col min="9" max="9" width="10.7265625" style="9" hidden="1" customWidth="1"/>
    <col min="10" max="10" width="8.1796875" style="9" hidden="1" customWidth="1"/>
    <col min="11" max="11" width="2.1796875" style="9" customWidth="1"/>
    <col min="12" max="30" width="10.54296875" style="9" customWidth="1"/>
    <col min="31" max="31" width="2.7265625" style="9" customWidth="1"/>
    <col min="32" max="16384" width="9.26953125" style="9"/>
  </cols>
  <sheetData>
    <row r="1" spans="1:30" ht="13.8" thickBot="1" x14ac:dyDescent="0.3">
      <c r="A1" s="163"/>
      <c r="B1" s="162"/>
      <c r="C1" s="161"/>
      <c r="D1" s="161"/>
      <c r="E1" s="161"/>
      <c r="F1" s="161"/>
      <c r="G1" s="161"/>
      <c r="H1" s="161"/>
      <c r="I1" s="161"/>
      <c r="J1" s="161"/>
    </row>
    <row r="2" spans="1:30" customFormat="1" ht="49.95" customHeight="1" thickTop="1" x14ac:dyDescent="0.25">
      <c r="A2" s="9"/>
      <c r="B2" s="9"/>
      <c r="C2" s="9"/>
      <c r="D2" s="9"/>
      <c r="E2" s="9"/>
      <c r="F2" s="9"/>
      <c r="G2" s="9"/>
      <c r="H2" s="9"/>
      <c r="I2" s="9"/>
      <c r="J2" s="9"/>
      <c r="K2" s="13"/>
      <c r="L2" s="637" t="s">
        <v>916</v>
      </c>
      <c r="M2" s="638"/>
      <c r="N2" s="638"/>
      <c r="O2" s="638"/>
      <c r="P2" s="638"/>
      <c r="Q2" s="638"/>
      <c r="R2" s="638"/>
      <c r="S2" s="638"/>
      <c r="T2" s="638"/>
      <c r="U2" s="638"/>
      <c r="V2" s="638"/>
      <c r="W2" s="638"/>
      <c r="X2" s="638"/>
      <c r="Y2" s="638"/>
      <c r="Z2" s="638"/>
      <c r="AA2" s="638"/>
      <c r="AB2" s="638"/>
      <c r="AC2" s="638"/>
      <c r="AD2" s="639"/>
    </row>
    <row r="3" spans="1:30" x14ac:dyDescent="0.25">
      <c r="K3" s="10"/>
      <c r="L3" s="18"/>
      <c r="M3" s="11" t="s">
        <v>85</v>
      </c>
      <c r="N3" s="11" t="s">
        <v>86</v>
      </c>
      <c r="O3" s="11" t="s">
        <v>87</v>
      </c>
      <c r="P3" s="11" t="s">
        <v>88</v>
      </c>
      <c r="Q3" s="11" t="s">
        <v>89</v>
      </c>
      <c r="R3" s="11" t="s">
        <v>90</v>
      </c>
      <c r="S3" s="11" t="s">
        <v>91</v>
      </c>
      <c r="T3" s="11" t="s">
        <v>92</v>
      </c>
      <c r="U3" s="36" t="s">
        <v>93</v>
      </c>
      <c r="V3" s="11" t="s">
        <v>94</v>
      </c>
      <c r="W3" s="36" t="s">
        <v>95</v>
      </c>
      <c r="X3" s="36" t="s">
        <v>96</v>
      </c>
      <c r="Y3" s="36" t="s">
        <v>97</v>
      </c>
      <c r="Z3" s="36" t="s">
        <v>104</v>
      </c>
      <c r="AA3" s="36" t="s">
        <v>134</v>
      </c>
      <c r="AB3" s="36" t="s">
        <v>196</v>
      </c>
      <c r="AC3" s="36" t="s">
        <v>195</v>
      </c>
      <c r="AD3" s="105" t="s">
        <v>193</v>
      </c>
    </row>
    <row r="4" spans="1:30" ht="16.05" customHeight="1" thickBot="1" x14ac:dyDescent="0.3">
      <c r="K4" s="14"/>
      <c r="L4" s="18"/>
      <c r="N4" s="690" t="s">
        <v>140</v>
      </c>
      <c r="O4" s="773"/>
      <c r="P4" s="773"/>
      <c r="Q4" s="773"/>
      <c r="R4" s="773"/>
      <c r="S4" s="773"/>
      <c r="T4" s="773"/>
      <c r="U4" s="774"/>
      <c r="V4" s="775" t="s">
        <v>597</v>
      </c>
      <c r="W4" s="780" t="s">
        <v>608</v>
      </c>
      <c r="X4" s="780"/>
      <c r="Y4" s="780"/>
      <c r="Z4" s="780"/>
      <c r="AA4" s="780"/>
      <c r="AB4" s="780"/>
      <c r="AC4" s="780"/>
      <c r="AD4" s="214"/>
    </row>
    <row r="5" spans="1:30" ht="31.95" customHeight="1" x14ac:dyDescent="0.25">
      <c r="K5" s="10"/>
      <c r="L5" s="18"/>
      <c r="M5" s="735" t="s">
        <v>598</v>
      </c>
      <c r="N5" s="777" t="s">
        <v>582</v>
      </c>
      <c r="O5" s="752" t="s">
        <v>581</v>
      </c>
      <c r="P5" s="752" t="s">
        <v>580</v>
      </c>
      <c r="Q5" s="160"/>
      <c r="R5" s="160"/>
      <c r="S5" s="160"/>
      <c r="T5" s="160"/>
      <c r="U5" s="757" t="s">
        <v>579</v>
      </c>
      <c r="V5" s="776"/>
      <c r="W5" s="781" t="s">
        <v>584</v>
      </c>
      <c r="X5" s="782" t="s">
        <v>606</v>
      </c>
      <c r="Y5" s="783" t="s">
        <v>585</v>
      </c>
      <c r="Z5" s="781" t="s">
        <v>586</v>
      </c>
      <c r="AA5" s="781" t="s">
        <v>587</v>
      </c>
      <c r="AB5" s="781" t="s">
        <v>607</v>
      </c>
      <c r="AC5" s="781" t="s">
        <v>588</v>
      </c>
      <c r="AD5" s="770" t="s">
        <v>583</v>
      </c>
    </row>
    <row r="6" spans="1:30" ht="25.05" customHeight="1" thickBot="1" x14ac:dyDescent="0.3">
      <c r="K6" s="10"/>
      <c r="L6" s="18"/>
      <c r="M6" s="736"/>
      <c r="N6" s="778"/>
      <c r="O6" s="753"/>
      <c r="P6" s="753"/>
      <c r="Q6" s="738" t="s">
        <v>576</v>
      </c>
      <c r="R6" s="740" t="s">
        <v>575</v>
      </c>
      <c r="S6" s="159"/>
      <c r="T6" s="158"/>
      <c r="U6" s="758"/>
      <c r="V6" s="776"/>
      <c r="W6" s="753"/>
      <c r="X6" s="750"/>
      <c r="Y6" s="784"/>
      <c r="Z6" s="753"/>
      <c r="AA6" s="753"/>
      <c r="AB6" s="753"/>
      <c r="AC6" s="753"/>
      <c r="AD6" s="771"/>
    </row>
    <row r="7" spans="1:30" ht="40.200000000000003" thickBot="1" x14ac:dyDescent="0.3">
      <c r="K7" s="10"/>
      <c r="L7" s="19"/>
      <c r="M7" s="737"/>
      <c r="N7" s="779"/>
      <c r="O7" s="754"/>
      <c r="P7" s="754"/>
      <c r="Q7" s="739"/>
      <c r="R7" s="741"/>
      <c r="S7" s="157" t="s">
        <v>574</v>
      </c>
      <c r="T7" s="203" t="s">
        <v>589</v>
      </c>
      <c r="U7" s="759"/>
      <c r="V7" s="776"/>
      <c r="W7" s="754"/>
      <c r="X7" s="751"/>
      <c r="Y7" s="785"/>
      <c r="Z7" s="754"/>
      <c r="AA7" s="754"/>
      <c r="AB7" s="754"/>
      <c r="AC7" s="754"/>
      <c r="AD7" s="772"/>
    </row>
    <row r="8" spans="1:30" ht="15" hidden="1" thickBot="1" x14ac:dyDescent="0.3">
      <c r="K8" s="10"/>
      <c r="L8" s="16">
        <v>1970</v>
      </c>
      <c r="M8" s="170">
        <v>14</v>
      </c>
      <c r="N8" s="141">
        <v>2.4126398</v>
      </c>
      <c r="O8" s="34">
        <v>0.3445089000000004</v>
      </c>
      <c r="P8" s="34">
        <v>5.61498834</v>
      </c>
      <c r="Q8" s="139">
        <v>0.3620701300000001</v>
      </c>
      <c r="R8" s="139">
        <v>5.2529184999999998</v>
      </c>
      <c r="S8" s="138">
        <v>8.1139127999999996</v>
      </c>
      <c r="T8" s="198">
        <f t="shared" ref="T8:T13" si="0">R8-S8</f>
        <v>-2.8609942999999998</v>
      </c>
      <c r="U8" s="137">
        <f>N8-O8-P8</f>
        <v>-3.5468574400000006</v>
      </c>
      <c r="V8" s="215"/>
      <c r="AD8" s="164">
        <v>38.799999999999997</v>
      </c>
    </row>
    <row r="9" spans="1:30" ht="15" hidden="1" thickBot="1" x14ac:dyDescent="0.3">
      <c r="K9" s="10"/>
      <c r="L9" s="16">
        <f t="shared" ref="L9:L46" si="1">L8+1</f>
        <v>1971</v>
      </c>
      <c r="M9" s="170">
        <v>20</v>
      </c>
      <c r="N9" s="141">
        <v>0.62123574700000017</v>
      </c>
      <c r="O9" s="34">
        <v>2.5751309299999994</v>
      </c>
      <c r="P9" s="34">
        <v>4.9126059029999993</v>
      </c>
      <c r="Q9" s="139">
        <v>0.14082795448999996</v>
      </c>
      <c r="R9" s="139">
        <v>4.7717784720000003</v>
      </c>
      <c r="S9" s="138">
        <v>6.3092800800000006</v>
      </c>
      <c r="T9" s="198">
        <f t="shared" si="0"/>
        <v>-1.5375016080000004</v>
      </c>
      <c r="U9" s="137">
        <f t="shared" ref="U9:U30" si="2">N9-O9-P9</f>
        <v>-6.8665010859999986</v>
      </c>
      <c r="V9" s="215"/>
      <c r="AD9" s="164">
        <v>40.5</v>
      </c>
    </row>
    <row r="10" spans="1:30" ht="14.4" x14ac:dyDescent="0.25">
      <c r="K10" s="10"/>
      <c r="L10" s="16">
        <f t="shared" si="1"/>
        <v>1972</v>
      </c>
      <c r="M10" s="170">
        <v>23</v>
      </c>
      <c r="N10" s="141">
        <v>-0.83427635999999894</v>
      </c>
      <c r="O10" s="34">
        <v>1.0661059000000004</v>
      </c>
      <c r="P10" s="34">
        <v>5.9119252440000007</v>
      </c>
      <c r="Q10" s="139">
        <v>0.17956505000000009</v>
      </c>
      <c r="R10" s="139">
        <v>5.7323595339999995</v>
      </c>
      <c r="S10" s="138">
        <v>7.7857474599999987</v>
      </c>
      <c r="T10" s="198">
        <f t="shared" si="0"/>
        <v>-2.0533879259999992</v>
      </c>
      <c r="U10" s="137">
        <f t="shared" si="2"/>
        <v>-7.8123075039999996</v>
      </c>
      <c r="V10" s="215"/>
      <c r="AD10" s="164">
        <v>41.8</v>
      </c>
    </row>
    <row r="11" spans="1:30" ht="14.4" x14ac:dyDescent="0.25">
      <c r="K11" s="10"/>
      <c r="L11" s="16">
        <f t="shared" si="1"/>
        <v>1973</v>
      </c>
      <c r="M11" s="170">
        <v>23</v>
      </c>
      <c r="N11" s="141">
        <v>11.18155471</v>
      </c>
      <c r="O11" s="34">
        <v>12.094017570000004</v>
      </c>
      <c r="P11" s="34">
        <v>8.4966201810000026</v>
      </c>
      <c r="Q11" s="139">
        <v>-0.1815000170000001</v>
      </c>
      <c r="R11" s="139">
        <v>8.6781172510000033</v>
      </c>
      <c r="S11" s="138">
        <v>11.903125670000001</v>
      </c>
      <c r="T11" s="198">
        <f t="shared" si="0"/>
        <v>-3.2250084189999981</v>
      </c>
      <c r="U11" s="137">
        <f t="shared" si="2"/>
        <v>-9.4090830410000059</v>
      </c>
      <c r="V11" s="215"/>
      <c r="AD11" s="164">
        <v>44.4</v>
      </c>
    </row>
    <row r="12" spans="1:30" ht="15" thickBot="1" x14ac:dyDescent="0.3">
      <c r="K12" s="10"/>
      <c r="L12" s="16">
        <f t="shared" si="1"/>
        <v>1974</v>
      </c>
      <c r="M12" s="170">
        <v>37</v>
      </c>
      <c r="N12" s="141">
        <v>10.017000887000002</v>
      </c>
      <c r="O12" s="34">
        <v>13.730893719999996</v>
      </c>
      <c r="P12" s="34">
        <v>8.9314641462999997</v>
      </c>
      <c r="Q12" s="139">
        <v>-0.44591925859999998</v>
      </c>
      <c r="R12" s="139">
        <v>9.3773847249999989</v>
      </c>
      <c r="S12" s="138">
        <v>12.14380077</v>
      </c>
      <c r="T12" s="198">
        <f t="shared" si="0"/>
        <v>-2.7664160450000015</v>
      </c>
      <c r="U12" s="137">
        <f t="shared" si="2"/>
        <v>-12.645356979299994</v>
      </c>
      <c r="V12" s="215"/>
      <c r="AD12" s="164">
        <v>49.3</v>
      </c>
    </row>
    <row r="13" spans="1:30" ht="14.4" x14ac:dyDescent="0.3">
      <c r="K13" s="10"/>
      <c r="L13" s="16">
        <f t="shared" si="1"/>
        <v>1975</v>
      </c>
      <c r="M13" s="171">
        <v>62</v>
      </c>
      <c r="N13" s="141">
        <v>5.3043714593035274</v>
      </c>
      <c r="O13" s="34">
        <v>15.307229909528353</v>
      </c>
      <c r="P13" s="34">
        <v>1.9573139426676112</v>
      </c>
      <c r="Q13" s="139">
        <f t="shared" ref="Q13:Q30" si="3">P13-R13</f>
        <v>-0.3254156601349405</v>
      </c>
      <c r="R13" s="207">
        <v>2.2827296028025517</v>
      </c>
      <c r="S13" s="138">
        <v>6.8844322645910143</v>
      </c>
      <c r="T13" s="198">
        <f t="shared" si="0"/>
        <v>-4.6017026617884627</v>
      </c>
      <c r="U13" s="209">
        <f t="shared" si="2"/>
        <v>-11.960172392892435</v>
      </c>
      <c r="V13" s="613">
        <f>T13/'Table A20'!T13</f>
        <v>-8.3468789195953574E-2</v>
      </c>
      <c r="W13" s="117">
        <f>SUM($N$13:N13)/(AD13/AD$46)</f>
        <v>21.227641046513519</v>
      </c>
      <c r="X13" s="118">
        <f>SUM($T$13:T13)/(AD13/$AD$46)</f>
        <v>-18.415620598346493</v>
      </c>
      <c r="Y13" s="117">
        <f>(SUM($N$13:N13)-SUM($T$13:T13))/(AD13/$AD$46)</f>
        <v>39.643261644860011</v>
      </c>
      <c r="Z13" s="117">
        <f>SUM($O$13:O13)/(AD13/$AD$46)</f>
        <v>61.258225301323101</v>
      </c>
      <c r="AA13" s="117">
        <f>SUM($S$13:S13)/(AD13/$AD$46)</f>
        <v>27.550909291138275</v>
      </c>
      <c r="AB13" s="117">
        <f>Z13+AA13</f>
        <v>88.809134592461376</v>
      </c>
      <c r="AC13" s="117">
        <f>(SUM($Q$13:Q13)+SUM($U$13:U13))/(AD13/$AD$46)</f>
        <v>-49.165872947601358</v>
      </c>
      <c r="AD13" s="165">
        <v>53.8</v>
      </c>
    </row>
    <row r="14" spans="1:30" ht="16.95" customHeight="1" x14ac:dyDescent="0.3">
      <c r="K14" s="10"/>
      <c r="L14" s="16">
        <f t="shared" si="1"/>
        <v>1976</v>
      </c>
      <c r="M14" s="171">
        <v>89</v>
      </c>
      <c r="N14" s="141">
        <v>-8.997361419212055</v>
      </c>
      <c r="O14" s="34">
        <v>-2.3678854724604714</v>
      </c>
      <c r="P14" s="34">
        <v>1.1282518931736254</v>
      </c>
      <c r="Q14" s="139">
        <f t="shared" si="3"/>
        <v>-0.44633981724924632</v>
      </c>
      <c r="R14" s="207">
        <v>1.5745917104228717</v>
      </c>
      <c r="S14" s="138">
        <v>6.9470363308167569</v>
      </c>
      <c r="T14" s="198">
        <f t="shared" ref="T14:T31" si="4">R14-S14</f>
        <v>-5.3724446203938854</v>
      </c>
      <c r="U14" s="209">
        <f t="shared" si="2"/>
        <v>-7.7577278399252085</v>
      </c>
      <c r="V14" s="614">
        <f>T14/'Table A20'!T14</f>
        <v>-8.9965228645205148E-2</v>
      </c>
      <c r="W14" s="117">
        <f>SUM($N$13:N14)/(AD14/AD$46)</f>
        <v>-13.973845647419784</v>
      </c>
      <c r="X14" s="118">
        <f>SUM($T$13:T14)/(AD14/$AD$46)</f>
        <v>-37.741016384810294</v>
      </c>
      <c r="Y14" s="117">
        <f>(SUM($N$13:N14)-SUM($T$13:T14))/(AD14/$AD$46)</f>
        <v>23.767170737390511</v>
      </c>
      <c r="Z14" s="117">
        <f>SUM($O$13:O14)/(AD14/$AD$46)</f>
        <v>48.960978476872157</v>
      </c>
      <c r="AA14" s="117">
        <f>SUM($S$13:S14)/(AD14/$AD$46)</f>
        <v>52.336672811899454</v>
      </c>
      <c r="AB14" s="117">
        <f t="shared" ref="AB14:AB46" si="5">Z14+AA14</f>
        <v>101.29765128877162</v>
      </c>
      <c r="AC14" s="117">
        <f>(SUM($Q$13:Q14)+SUM($U$13:U14))/(AD14/$AD$46)</f>
        <v>-77.530480551381103</v>
      </c>
      <c r="AD14" s="164">
        <v>56.9</v>
      </c>
    </row>
    <row r="15" spans="1:30" ht="16.95" customHeight="1" x14ac:dyDescent="0.3">
      <c r="K15" s="10"/>
      <c r="L15" s="16">
        <f t="shared" si="1"/>
        <v>1977</v>
      </c>
      <c r="M15" s="171">
        <v>118</v>
      </c>
      <c r="N15" s="141">
        <v>-23.250558083315642</v>
      </c>
      <c r="O15" s="34">
        <v>-11.932350526732883</v>
      </c>
      <c r="P15" s="34">
        <v>-4.5868502969730525</v>
      </c>
      <c r="Q15" s="139">
        <f t="shared" si="3"/>
        <v>-0.39858771330575316</v>
      </c>
      <c r="R15" s="207">
        <v>-4.1882625836672993</v>
      </c>
      <c r="S15" s="138">
        <v>-0.75654937879859119</v>
      </c>
      <c r="T15" s="198">
        <f t="shared" si="4"/>
        <v>-3.431713204868708</v>
      </c>
      <c r="U15" s="209">
        <f t="shared" si="2"/>
        <v>-6.7313572596097071</v>
      </c>
      <c r="V15" s="614">
        <f>T15/'Table A20'!T15</f>
        <v>-4.5423439188070895E-2</v>
      </c>
      <c r="W15" s="117">
        <f>SUM($N$13:N15)/(AD15/AD$46)</f>
        <v>-95.726513603140148</v>
      </c>
      <c r="X15" s="118">
        <f>SUM($T$13:T15)/(AD15/$AD$46)</f>
        <v>-47.629075584877114</v>
      </c>
      <c r="Y15" s="117">
        <f>(SUM($N$13:N15)-SUM($T$13:T15))/(AD15/$AD$46)</f>
        <v>-48.097438018263034</v>
      </c>
      <c r="Z15" s="117">
        <f>SUM($O$13:O15)/(AD15/$AD$46)</f>
        <v>3.5777031332814535</v>
      </c>
      <c r="AA15" s="117">
        <f>SUM($S$13:S15)/(AD15/$AD$46)</f>
        <v>46.453289308475348</v>
      </c>
      <c r="AB15" s="117">
        <f t="shared" si="5"/>
        <v>50.030992441756801</v>
      </c>
      <c r="AC15" s="117">
        <f>(SUM($Q$13:Q15)+SUM($U$13:U15))/(AD15/$AD$46)</f>
        <v>-98.128430460019828</v>
      </c>
      <c r="AD15" s="164">
        <v>60.6</v>
      </c>
    </row>
    <row r="16" spans="1:30" ht="16.95" customHeight="1" x14ac:dyDescent="0.3">
      <c r="K16" s="10"/>
      <c r="L16" s="16">
        <f t="shared" si="1"/>
        <v>1978</v>
      </c>
      <c r="M16" s="171">
        <v>124</v>
      </c>
      <c r="N16" s="141">
        <v>-25.322395374924788</v>
      </c>
      <c r="O16" s="34">
        <v>-12.441851900611617</v>
      </c>
      <c r="P16" s="34">
        <v>-2.8903695700901744</v>
      </c>
      <c r="Q16" s="139">
        <f t="shared" si="3"/>
        <v>0.27633698137945562</v>
      </c>
      <c r="R16" s="207">
        <v>-3.16670655146963</v>
      </c>
      <c r="S16" s="138">
        <v>1.6415735823938158</v>
      </c>
      <c r="T16" s="198">
        <f t="shared" si="4"/>
        <v>-4.8082801338634455</v>
      </c>
      <c r="U16" s="209">
        <f t="shared" si="2"/>
        <v>-9.9901739042229973</v>
      </c>
      <c r="V16" s="614">
        <f>T16/'Table A20'!T16</f>
        <v>-4.5546271983158249E-2</v>
      </c>
      <c r="W16" s="117">
        <f>SUM($N$13:N16)/(AD16/AD$46)</f>
        <v>-172.5922456404559</v>
      </c>
      <c r="X16" s="118">
        <f>SUM($T$13:T16)/(AD16/$AD$46)</f>
        <v>-60.146612240870461</v>
      </c>
      <c r="Y16" s="117">
        <f>(SUM($N$13:N16)-SUM($T$13:T16))/(AD16/$AD$46)</f>
        <v>-112.44563339958543</v>
      </c>
      <c r="Z16" s="117">
        <f>SUM($O$13:O16)/(AD16/$AD$46)</f>
        <v>-37.760110887738144</v>
      </c>
      <c r="AA16" s="117">
        <f>SUM($S$13:S16)/(AD16/$AD$46)</f>
        <v>48.596703207112604</v>
      </c>
      <c r="AB16" s="117">
        <f t="shared" si="5"/>
        <v>10.836592319374461</v>
      </c>
      <c r="AC16" s="117">
        <f>(SUM($Q$13:Q16)+SUM($U$13:U16))/(AD16/$AD$46)</f>
        <v>-123.28222571895988</v>
      </c>
      <c r="AD16" s="164">
        <v>65.2</v>
      </c>
    </row>
    <row r="17" spans="11:30" ht="16.95" customHeight="1" x14ac:dyDescent="0.3">
      <c r="K17" s="10"/>
      <c r="L17" s="16">
        <f t="shared" si="1"/>
        <v>1979</v>
      </c>
      <c r="M17" s="171">
        <v>129</v>
      </c>
      <c r="N17" s="141">
        <v>-30.639624018813794</v>
      </c>
      <c r="O17" s="34">
        <v>-26.570926159833913</v>
      </c>
      <c r="P17" s="34">
        <v>4.0460346156485807</v>
      </c>
      <c r="Q17" s="139">
        <f t="shared" si="3"/>
        <v>1.5364064256882979</v>
      </c>
      <c r="R17" s="207">
        <v>2.5096281899602828</v>
      </c>
      <c r="S17" s="138">
        <v>15.021434863492996</v>
      </c>
      <c r="T17" s="198">
        <f t="shared" si="4"/>
        <v>-12.511806673532712</v>
      </c>
      <c r="U17" s="209">
        <f t="shared" si="2"/>
        <v>-8.114732474628461</v>
      </c>
      <c r="V17" s="615">
        <f>T17/'Table A20'!T17</f>
        <v>-7.5512429558334232E-2</v>
      </c>
      <c r="W17" s="117">
        <f>SUM($N$13:N17)/(AD17/AD$46)</f>
        <v>-245.86525324904122</v>
      </c>
      <c r="X17" s="118">
        <f>SUM($T$13:T17)/(AD17/$AD$46)</f>
        <v>-91.121055514275028</v>
      </c>
      <c r="Y17" s="117">
        <f>(SUM($N$13:N17)-SUM($T$13:T17))/(AD17/$AD$46)</f>
        <v>-154.74419773476617</v>
      </c>
      <c r="Z17" s="117">
        <f>SUM($O$13:O17)/(AD17/$AD$46)</f>
        <v>-112.71018381365354</v>
      </c>
      <c r="AA17" s="117">
        <f>SUM($S$13:S17)/(AD17/$AD$46)</f>
        <v>88.190978505762729</v>
      </c>
      <c r="AB17" s="117">
        <f t="shared" si="5"/>
        <v>-24.519205307890815</v>
      </c>
      <c r="AC17" s="117">
        <f>(SUM($Q$13:Q17)+SUM($U$13:U17))/(AD17/$AD$46)</f>
        <v>-130.22499242687533</v>
      </c>
      <c r="AD17" s="164">
        <v>72.599999999999994</v>
      </c>
    </row>
    <row r="18" spans="11:30" ht="16.95" customHeight="1" x14ac:dyDescent="0.3">
      <c r="K18" s="10"/>
      <c r="L18" s="186">
        <f t="shared" si="1"/>
        <v>1980</v>
      </c>
      <c r="M18" s="208">
        <v>135</v>
      </c>
      <c r="N18" s="210">
        <v>-58.429490915017688</v>
      </c>
      <c r="O18" s="125">
        <v>-37.342593624541593</v>
      </c>
      <c r="P18" s="125">
        <v>-13.169918208350103</v>
      </c>
      <c r="Q18" s="142">
        <f t="shared" si="3"/>
        <v>0.69392313140335382</v>
      </c>
      <c r="R18" s="197">
        <v>-13.863841339753456</v>
      </c>
      <c r="S18" s="190">
        <v>3.3926812666504862</v>
      </c>
      <c r="T18" s="199">
        <f t="shared" si="4"/>
        <v>-17.256522606403941</v>
      </c>
      <c r="U18" s="211">
        <f t="shared" si="2"/>
        <v>-7.9169790821259927</v>
      </c>
      <c r="V18" s="614">
        <f>T18/'Table A20'!T18</f>
        <v>-7.089679012561198E-2</v>
      </c>
      <c r="W18" s="216">
        <f>SUM($N$13:N18)/(AD18/AD$46)</f>
        <v>-369.2944425771413</v>
      </c>
      <c r="X18" s="219">
        <f>SUM($T$13:T18)/(AD18/$AD$46)</f>
        <v>-125.37341889639507</v>
      </c>
      <c r="Y18" s="216">
        <f>(SUM($N$13:N18)-SUM($T$13:T18))/(AD18/$AD$46)</f>
        <v>-243.9210236807462</v>
      </c>
      <c r="Z18" s="216">
        <f>SUM($O$13:O18)/(AD18/$AD$46)</f>
        <v>-196.87781286427091</v>
      </c>
      <c r="AA18" s="216">
        <f>SUM($S$13:S18)/(AD18/$AD$46)</f>
        <v>86.566984153786677</v>
      </c>
      <c r="AB18" s="216">
        <f t="shared" si="5"/>
        <v>-110.31082871048423</v>
      </c>
      <c r="AC18" s="216">
        <f>(SUM($Q$13:Q18)+SUM($U$13:U18))/(AD18/$AD$46)</f>
        <v>-133.61019497026194</v>
      </c>
      <c r="AD18" s="217">
        <v>82.4</v>
      </c>
    </row>
    <row r="19" spans="11:30" ht="16.95" customHeight="1" x14ac:dyDescent="0.3">
      <c r="K19" s="10"/>
      <c r="L19" s="16">
        <f t="shared" si="1"/>
        <v>1981</v>
      </c>
      <c r="M19" s="171">
        <v>138</v>
      </c>
      <c r="N19" s="141">
        <v>-76.505286687173765</v>
      </c>
      <c r="O19" s="34">
        <v>-35.566911919827355</v>
      </c>
      <c r="P19" s="34">
        <v>-32.132066756686825</v>
      </c>
      <c r="Q19" s="139">
        <f t="shared" si="3"/>
        <v>-1.4461073980483512</v>
      </c>
      <c r="R19" s="207">
        <v>-30.685959358638474</v>
      </c>
      <c r="S19" s="138">
        <v>-4.9094938097498817</v>
      </c>
      <c r="T19" s="198">
        <f t="shared" si="4"/>
        <v>-25.776465548888591</v>
      </c>
      <c r="U19" s="209">
        <f t="shared" si="2"/>
        <v>-8.8063080106595848</v>
      </c>
      <c r="V19" s="614">
        <f>T19/'Table A20'!T19</f>
        <v>-7.811616959535217E-2</v>
      </c>
      <c r="W19" s="117">
        <f>SUM($N$13:N19)/(AD19/AD$46)</f>
        <v>-515.97007489510474</v>
      </c>
      <c r="X19" s="118">
        <f>SUM($T$13:T19)/(AD19/$AD$46)</f>
        <v>-174.70319118960742</v>
      </c>
      <c r="Y19" s="117">
        <f>(SUM($N$13:N19)-SUM($T$13:T19))/(AD19/$AD$46)</f>
        <v>-341.26688370549732</v>
      </c>
      <c r="Z19" s="117">
        <f>SUM($O$13:O19)/(AD19/$AD$46)</f>
        <v>-262.71061184918057</v>
      </c>
      <c r="AA19" s="117">
        <f>SUM($S$13:S19)/(AD19/$AD$46)</f>
        <v>66.843682602326126</v>
      </c>
      <c r="AB19" s="117">
        <f t="shared" si="5"/>
        <v>-195.86692924685445</v>
      </c>
      <c r="AC19" s="117">
        <f>(SUM($Q$13:Q19)+SUM($U$13:U19))/(AD19/$AD$46)</f>
        <v>-145.39995445864281</v>
      </c>
      <c r="AD19" s="164">
        <v>90.9</v>
      </c>
    </row>
    <row r="20" spans="11:30" ht="16.95" customHeight="1" x14ac:dyDescent="0.3">
      <c r="K20" s="10"/>
      <c r="L20" s="16">
        <f t="shared" si="1"/>
        <v>1982</v>
      </c>
      <c r="M20" s="171">
        <v>142</v>
      </c>
      <c r="N20" s="141">
        <v>-88.423735795847321</v>
      </c>
      <c r="O20" s="34">
        <v>-37.529356972937173</v>
      </c>
      <c r="P20" s="34">
        <v>-38.682756445850615</v>
      </c>
      <c r="Q20" s="139">
        <f t="shared" si="3"/>
        <v>-2.0103434847971116</v>
      </c>
      <c r="R20" s="207">
        <v>-36.672412961053503</v>
      </c>
      <c r="S20" s="138">
        <v>-3.3047248923987325E-2</v>
      </c>
      <c r="T20" s="198">
        <f t="shared" si="4"/>
        <v>-36.639365712129518</v>
      </c>
      <c r="U20" s="209">
        <f t="shared" si="2"/>
        <v>-12.211622377059534</v>
      </c>
      <c r="V20" s="614">
        <f>T20/'Table A20'!T20</f>
        <v>-0.10367373122201122</v>
      </c>
      <c r="W20" s="117">
        <f>SUM($N$13:N20)/(AD20/AD$46)</f>
        <v>-683.31166213490508</v>
      </c>
      <c r="X20" s="118">
        <f>SUM($T$13:T20)/(AD20/$AD$46)</f>
        <v>-246.31176616636202</v>
      </c>
      <c r="Y20" s="117">
        <f>(SUM($N$13:N20)-SUM($T$13:T20))/(AD20/$AD$46)</f>
        <v>-436.999895968543</v>
      </c>
      <c r="Z20" s="117">
        <f>SUM($O$13:O20)/(AD20/$AD$46)</f>
        <v>-331.19769700968709</v>
      </c>
      <c r="AA20" s="117">
        <f>SUM($S$13:S20)/(AD20/$AD$46)</f>
        <v>62.890938618822418</v>
      </c>
      <c r="AB20" s="117">
        <f t="shared" si="5"/>
        <v>-268.30675839086467</v>
      </c>
      <c r="AC20" s="117">
        <f>(SUM($Q$13:Q20)+SUM($U$13:U20))/(AD20/$AD$46)</f>
        <v>-168.69313757767824</v>
      </c>
      <c r="AD20" s="164">
        <v>96.5</v>
      </c>
    </row>
    <row r="21" spans="11:30" ht="16.95" customHeight="1" x14ac:dyDescent="0.3">
      <c r="K21" s="10"/>
      <c r="L21" s="16">
        <f t="shared" si="1"/>
        <v>1983</v>
      </c>
      <c r="M21" s="171">
        <v>142</v>
      </c>
      <c r="N21" s="141">
        <v>-76.07653465981538</v>
      </c>
      <c r="O21" s="34">
        <v>-37.609389742328354</v>
      </c>
      <c r="P21" s="34">
        <v>-29.13690458542683</v>
      </c>
      <c r="Q21" s="139">
        <f t="shared" si="3"/>
        <v>-1.1769745009732056</v>
      </c>
      <c r="R21" s="207">
        <v>-27.959930084453624</v>
      </c>
      <c r="S21" s="138">
        <v>5.041069514518715</v>
      </c>
      <c r="T21" s="198">
        <f t="shared" si="4"/>
        <v>-33.000999598972342</v>
      </c>
      <c r="U21" s="209">
        <f t="shared" si="2"/>
        <v>-9.3302403320601961</v>
      </c>
      <c r="V21" s="614">
        <f>T21/'Table A20'!T21</f>
        <v>-0.10877830864948429</v>
      </c>
      <c r="W21" s="117">
        <f>SUM($N$13:N21)/(AD21/AD$46)</f>
        <v>-826.49680258916237</v>
      </c>
      <c r="X21" s="118">
        <f>SUM($T$13:T21)/(AD21/$AD$46)</f>
        <v>-309.98292823003493</v>
      </c>
      <c r="Y21" s="117">
        <f>(SUM($N$13:N21)-SUM($T$13:T21))/(AD21/$AD$46)</f>
        <v>-516.5138743591275</v>
      </c>
      <c r="Z21" s="117">
        <f>SUM($O$13:O21)/(AD21/$AD$46)</f>
        <v>-402.18867671814581</v>
      </c>
      <c r="AA21" s="117">
        <f>SUM($S$13:S21)/(AD21/$AD$46)</f>
        <v>71.83065227310027</v>
      </c>
      <c r="AB21" s="117">
        <f t="shared" si="5"/>
        <v>-330.35802444504554</v>
      </c>
      <c r="AC21" s="117">
        <f>(SUM($Q$13:Q21)+SUM($U$13:U21))/(AD21/$AD$46)</f>
        <v>-186.15584991408176</v>
      </c>
      <c r="AD21" s="164">
        <v>99.6</v>
      </c>
    </row>
    <row r="22" spans="11:30" ht="16.95" customHeight="1" x14ac:dyDescent="0.3">
      <c r="K22" s="10"/>
      <c r="L22" s="16">
        <f t="shared" si="1"/>
        <v>1984</v>
      </c>
      <c r="M22" s="171">
        <v>144</v>
      </c>
      <c r="N22" s="141">
        <v>-83.177398533984856</v>
      </c>
      <c r="O22" s="34">
        <v>-38.773357700495865</v>
      </c>
      <c r="P22" s="34">
        <v>-35.371266844947186</v>
      </c>
      <c r="Q22" s="139">
        <f t="shared" si="3"/>
        <v>-1.9935474882120516</v>
      </c>
      <c r="R22" s="207">
        <v>-33.377719356735135</v>
      </c>
      <c r="S22" s="138">
        <v>7.4218194368286996</v>
      </c>
      <c r="T22" s="198">
        <f t="shared" si="4"/>
        <v>-40.799538793563833</v>
      </c>
      <c r="U22" s="209">
        <f t="shared" si="2"/>
        <v>-9.0327739885418055</v>
      </c>
      <c r="V22" s="614">
        <f>T22/'Table A20'!T22</f>
        <v>-0.12028924710363582</v>
      </c>
      <c r="W22" s="117">
        <f>SUM($N$13:N22)/(AD22/AD$46)</f>
        <v>-964.65279089935609</v>
      </c>
      <c r="X22" s="118">
        <f>SUM($T$13:T22)/(AD22/$AD$46)</f>
        <v>-381.69935276787436</v>
      </c>
      <c r="Y22" s="117">
        <f>(SUM($N$13:N22)-SUM($T$13:T22))/(AD22/$AD$46)</f>
        <v>-582.95343813148168</v>
      </c>
      <c r="Z22" s="117">
        <f>SUM($O$13:O22)/(AD22/$AD$46)</f>
        <v>-465.89039878842328</v>
      </c>
      <c r="AA22" s="117">
        <f>SUM($S$13:S22)/(AD22/$AD$46)</f>
        <v>84.237468302293692</v>
      </c>
      <c r="AB22" s="117">
        <f t="shared" si="5"/>
        <v>-381.65293048612961</v>
      </c>
      <c r="AC22" s="117">
        <f>(SUM($Q$13:Q22)+SUM($U$13:U22))/(AD22/$AD$46)</f>
        <v>-201.30050764535204</v>
      </c>
      <c r="AD22" s="164">
        <v>103.9</v>
      </c>
    </row>
    <row r="23" spans="11:30" ht="16.95" customHeight="1" x14ac:dyDescent="0.3">
      <c r="K23" s="10"/>
      <c r="L23" s="16">
        <f t="shared" si="1"/>
        <v>1985</v>
      </c>
      <c r="M23" s="171">
        <v>146</v>
      </c>
      <c r="N23" s="141">
        <v>-87.128292100285293</v>
      </c>
      <c r="O23" s="34">
        <v>-31.639557200011215</v>
      </c>
      <c r="P23" s="34">
        <v>-47.015863866005368</v>
      </c>
      <c r="Q23" s="139">
        <f t="shared" si="3"/>
        <v>-3.2075803121220048</v>
      </c>
      <c r="R23" s="207">
        <v>-43.808283553883363</v>
      </c>
      <c r="S23" s="138">
        <v>3.9848660870392081</v>
      </c>
      <c r="T23" s="198">
        <f t="shared" si="4"/>
        <v>-47.793149640922572</v>
      </c>
      <c r="U23" s="209">
        <f t="shared" si="2"/>
        <v>-8.4728710342687137</v>
      </c>
      <c r="V23" s="614">
        <f>T23/'Table A20'!T23</f>
        <v>-0.14036855927475447</v>
      </c>
      <c r="W23" s="117">
        <f>SUM($N$13:N23)/(AD23/AD$46)</f>
        <v>-1105.8216324211044</v>
      </c>
      <c r="X23" s="118">
        <f>SUM($T$13:T23)/(AD23/$AD$46)</f>
        <v>-464.20605250670729</v>
      </c>
      <c r="Y23" s="117">
        <f>(SUM($N$13:N23)-SUM($T$13:T23))/(AD23/$AD$46)</f>
        <v>-641.61557991439724</v>
      </c>
      <c r="Z23" s="117">
        <f>SUM($O$13:O23)/(AD23/$AD$46)</f>
        <v>-513.17940537129368</v>
      </c>
      <c r="AA23" s="117">
        <f>SUM($S$13:S23)/(AD23/$AD$46)</f>
        <v>89.314373417714847</v>
      </c>
      <c r="AB23" s="117">
        <f t="shared" si="5"/>
        <v>-423.86503195357886</v>
      </c>
      <c r="AC23" s="117">
        <f>(SUM($Q$13:Q23)+SUM($U$13:U23))/(AD23/$AD$46)</f>
        <v>-217.75054796081821</v>
      </c>
      <c r="AD23" s="164">
        <v>107.6</v>
      </c>
    </row>
    <row r="24" spans="11:30" ht="16.95" customHeight="1" x14ac:dyDescent="0.3">
      <c r="K24" s="10"/>
      <c r="L24" s="16">
        <f t="shared" si="1"/>
        <v>1986</v>
      </c>
      <c r="M24" s="171">
        <v>148</v>
      </c>
      <c r="N24" s="141">
        <v>-77.95610200001552</v>
      </c>
      <c r="O24" s="34">
        <v>-20.946701267923356</v>
      </c>
      <c r="P24" s="34">
        <v>-44.430724659965868</v>
      </c>
      <c r="Q24" s="139">
        <f t="shared" si="3"/>
        <v>-3.5213933785952207</v>
      </c>
      <c r="R24" s="207">
        <v>-40.909331281370648</v>
      </c>
      <c r="S24" s="138">
        <v>13.536737301104271</v>
      </c>
      <c r="T24" s="198">
        <f t="shared" si="4"/>
        <v>-54.446068582474922</v>
      </c>
      <c r="U24" s="209">
        <f t="shared" si="2"/>
        <v>-12.578676072126292</v>
      </c>
      <c r="V24" s="614">
        <f>T24/'Table A20'!T24</f>
        <v>-0.14763706948195973</v>
      </c>
      <c r="W24" s="117">
        <f>SUM($N$13:N24)/(AD24/AD$46)</f>
        <v>-1238.7827580056587</v>
      </c>
      <c r="X24" s="118">
        <f>SUM($T$13:T24)/(AD24/$AD$46)</f>
        <v>-562.69136089173628</v>
      </c>
      <c r="Y24" s="117">
        <f>(SUM($N$13:N24)-SUM($T$13:T24))/(AD24/$AD$46)</f>
        <v>-676.09139711392231</v>
      </c>
      <c r="Z24" s="117">
        <f>SUM($O$13:O24)/(AD24/$AD$46)</f>
        <v>-544.96342738174178</v>
      </c>
      <c r="AA24" s="117">
        <f>SUM($S$13:S24)/(AD24/$AD$46)</f>
        <v>114.27670374895776</v>
      </c>
      <c r="AB24" s="117">
        <f t="shared" si="5"/>
        <v>-430.68672363278404</v>
      </c>
      <c r="AC24" s="117">
        <f>(SUM($Q$13:Q24)+SUM($U$13:U24))/(AD24/$AD$46)</f>
        <v>-245.40467348113805</v>
      </c>
      <c r="AD24" s="164">
        <v>109.6</v>
      </c>
    </row>
    <row r="25" spans="11:30" ht="16.95" customHeight="1" x14ac:dyDescent="0.3">
      <c r="K25" s="10"/>
      <c r="L25" s="16">
        <f t="shared" si="1"/>
        <v>1987</v>
      </c>
      <c r="M25" s="171">
        <v>149</v>
      </c>
      <c r="N25" s="141">
        <v>-78.194555602830476</v>
      </c>
      <c r="O25" s="34">
        <v>-11.213505444712265</v>
      </c>
      <c r="P25" s="34">
        <v>-53.469345138835351</v>
      </c>
      <c r="Q25" s="139">
        <f t="shared" si="3"/>
        <v>-4.7720176630122211</v>
      </c>
      <c r="R25" s="207">
        <v>-48.69732747582313</v>
      </c>
      <c r="S25" s="138">
        <v>20.994990783563001</v>
      </c>
      <c r="T25" s="198">
        <f t="shared" si="4"/>
        <v>-69.692318259386127</v>
      </c>
      <c r="U25" s="209">
        <f t="shared" si="2"/>
        <v>-13.511705019282857</v>
      </c>
      <c r="V25" s="614">
        <f>T25/'Table A20'!T25</f>
        <v>-0.16240633294961784</v>
      </c>
      <c r="W25" s="117">
        <f>SUM($N$13:N25)/(AD25/AD$46)</f>
        <v>-1343.3636679786657</v>
      </c>
      <c r="X25" s="118">
        <f>SUM($T$13:T25)/(AD25/$AD$46)</f>
        <v>-674.9642460557651</v>
      </c>
      <c r="Y25" s="117">
        <f>(SUM($N$13:N25)-SUM($T$13:T25))/(AD25/$AD$46)</f>
        <v>-668.3994219229005</v>
      </c>
      <c r="Z25" s="117">
        <f>SUM($O$13:O25)/(AD25/$AD$46)</f>
        <v>-547.02722714614254</v>
      </c>
      <c r="AA25" s="117">
        <f>SUM($S$13:S25)/(AD25/$AD$46)</f>
        <v>150.04411295386652</v>
      </c>
      <c r="AB25" s="117">
        <f t="shared" si="5"/>
        <v>-396.98311419227605</v>
      </c>
      <c r="AC25" s="117">
        <f>(SUM($Q$13:Q25)+SUM($U$13:U25))/(AD25/$AD$46)</f>
        <v>-271.41630773062423</v>
      </c>
      <c r="AD25" s="164">
        <v>113.6</v>
      </c>
    </row>
    <row r="26" spans="11:30" ht="16.95" customHeight="1" x14ac:dyDescent="0.3">
      <c r="K26" s="10"/>
      <c r="L26" s="16">
        <f t="shared" si="1"/>
        <v>1988</v>
      </c>
      <c r="M26" s="171">
        <v>148</v>
      </c>
      <c r="N26" s="141">
        <v>-66.52614353977981</v>
      </c>
      <c r="O26" s="34">
        <v>-2.7894038355406257</v>
      </c>
      <c r="P26" s="34">
        <v>-47.243305819127798</v>
      </c>
      <c r="Q26" s="139">
        <f t="shared" si="3"/>
        <v>-3.7959535923584866</v>
      </c>
      <c r="R26" s="207">
        <v>-43.447352226769311</v>
      </c>
      <c r="S26" s="138">
        <v>31.657233464769398</v>
      </c>
      <c r="T26" s="198">
        <f t="shared" si="4"/>
        <v>-75.104585691538716</v>
      </c>
      <c r="U26" s="209">
        <f t="shared" si="2"/>
        <v>-16.493433885111386</v>
      </c>
      <c r="V26" s="614">
        <f>T26/'Table A20'!T26</f>
        <v>-0.14212666005615138</v>
      </c>
      <c r="W26" s="117">
        <f>SUM($N$13:N26)/(AD26/AD$46)</f>
        <v>-1411.0683936172582</v>
      </c>
      <c r="X26" s="118">
        <f>SUM($T$13:T26)/(AD26/$AD$46)</f>
        <v>-784.83669454843857</v>
      </c>
      <c r="Y26" s="117">
        <f>(SUM($N$13:N26)-SUM($T$13:T26))/(AD26/$AD$46)</f>
        <v>-626.23169906881958</v>
      </c>
      <c r="Z26" s="117">
        <f>SUM($O$13:O26)/(AD26/$AD$46)</f>
        <v>-530.37075247510722</v>
      </c>
      <c r="AA26" s="117">
        <f>SUM($S$13:S26)/(AD26/$AD$46)</f>
        <v>201.69829728000406</v>
      </c>
      <c r="AB26" s="117">
        <f t="shared" si="5"/>
        <v>-328.67245519510317</v>
      </c>
      <c r="AC26" s="117">
        <f>(SUM($Q$13:Q26)+SUM($U$13:U26))/(AD26/$AD$46)</f>
        <v>-297.55924387371601</v>
      </c>
      <c r="AD26" s="164">
        <v>118.3</v>
      </c>
    </row>
    <row r="27" spans="11:30" ht="16.95" customHeight="1" x14ac:dyDescent="0.3">
      <c r="K27" s="10"/>
      <c r="L27" s="16">
        <f t="shared" si="1"/>
        <v>1989</v>
      </c>
      <c r="M27" s="171">
        <v>148</v>
      </c>
      <c r="N27" s="141">
        <v>-92.654791132361908</v>
      </c>
      <c r="O27" s="34">
        <v>-25.121217007477842</v>
      </c>
      <c r="P27" s="34">
        <v>-49.822667050547935</v>
      </c>
      <c r="Q27" s="139">
        <f t="shared" si="3"/>
        <v>-3.8285833327588747</v>
      </c>
      <c r="R27" s="207">
        <v>-45.99408371778906</v>
      </c>
      <c r="S27" s="138">
        <v>40.258393255343492</v>
      </c>
      <c r="T27" s="198">
        <f t="shared" si="4"/>
        <v>-86.252476973132559</v>
      </c>
      <c r="U27" s="209">
        <f t="shared" si="2"/>
        <v>-17.710907074336134</v>
      </c>
      <c r="V27" s="615">
        <f>T27/'Table A20'!T27</f>
        <v>-0.13000213958737156</v>
      </c>
      <c r="W27" s="117">
        <f>SUM($N$13:N27)/(AD27/AD$46)</f>
        <v>-1507.0826246781653</v>
      </c>
      <c r="X27" s="118">
        <f>SUM($T$13:T27)/(AD27/$AD$46)</f>
        <v>-898.52095173247278</v>
      </c>
      <c r="Y27" s="117">
        <f>(SUM($N$13:N27)-SUM($T$13:T27))/(AD27/$AD$46)</f>
        <v>-608.56167294569252</v>
      </c>
      <c r="Z27" s="117">
        <f>SUM($O$13:O27)/(AD27/$AD$46)</f>
        <v>-549.60914034811435</v>
      </c>
      <c r="AA27" s="117">
        <f>SUM($S$13:S27)/(AD27/$AD$46)</f>
        <v>262.32791460709433</v>
      </c>
      <c r="AB27" s="117">
        <f t="shared" si="5"/>
        <v>-287.28122574102002</v>
      </c>
      <c r="AC27" s="117">
        <f>(SUM($Q$13:Q27)+SUM($U$13:U27))/(AD27/$AD$46)</f>
        <v>-321.28044720467244</v>
      </c>
      <c r="AD27" s="164">
        <v>124</v>
      </c>
    </row>
    <row r="28" spans="11:30" ht="16.95" customHeight="1" x14ac:dyDescent="0.3">
      <c r="K28" s="10"/>
      <c r="L28" s="186">
        <f t="shared" si="1"/>
        <v>1990</v>
      </c>
      <c r="M28" s="208">
        <v>147</v>
      </c>
      <c r="N28" s="210">
        <v>-99.36502943565533</v>
      </c>
      <c r="O28" s="125">
        <v>-20.925114130767508</v>
      </c>
      <c r="P28" s="125">
        <v>-58.515937561341509</v>
      </c>
      <c r="Q28" s="142">
        <f t="shared" si="3"/>
        <v>-6.3274152337258087</v>
      </c>
      <c r="R28" s="197">
        <v>-52.188522327615701</v>
      </c>
      <c r="S28" s="190">
        <v>48.128307431501867</v>
      </c>
      <c r="T28" s="199">
        <f t="shared" si="4"/>
        <v>-100.31682975911757</v>
      </c>
      <c r="U28" s="211">
        <f t="shared" si="2"/>
        <v>-19.92397774354631</v>
      </c>
      <c r="V28" s="614">
        <f>T28/'Table A20'!T28</f>
        <v>-0.12206050738567088</v>
      </c>
      <c r="W28" s="216">
        <f>SUM($N$13:N28)/(AD28/AD$46)</f>
        <v>-1593.5105921398426</v>
      </c>
      <c r="X28" s="219">
        <f>SUM($T$13:T28)/(AD28/$AD$46)</f>
        <v>-1017.7131783661358</v>
      </c>
      <c r="Y28" s="216">
        <f>(SUM($N$13:N28)-SUM($T$13:T28))/(AD28/$AD$46)</f>
        <v>-575.79741377370692</v>
      </c>
      <c r="Z28" s="216">
        <f>SUM($O$13:O28)/(AD28/$AD$46)</f>
        <v>-555.90492158273014</v>
      </c>
      <c r="AA28" s="216">
        <f>SUM($S$13:S28)/(AD28/$AD$46)</f>
        <v>328.16243600768439</v>
      </c>
      <c r="AB28" s="216">
        <f t="shared" si="5"/>
        <v>-227.74248557504575</v>
      </c>
      <c r="AC28" s="216">
        <f>(SUM($Q$13:Q28)+SUM($U$13:U28))/(AD28/$AD$46)</f>
        <v>-348.05492819866117</v>
      </c>
      <c r="AD28" s="217">
        <v>130.69999999999999</v>
      </c>
    </row>
    <row r="29" spans="11:30" ht="16.95" customHeight="1" x14ac:dyDescent="0.3">
      <c r="K29" s="10"/>
      <c r="L29" s="16">
        <f t="shared" si="1"/>
        <v>1991</v>
      </c>
      <c r="M29" s="171">
        <v>147</v>
      </c>
      <c r="N29" s="141">
        <v>-124.27453797669014</v>
      </c>
      <c r="O29" s="34">
        <v>-27.06247488277354</v>
      </c>
      <c r="P29" s="34">
        <v>-69.05772785210317</v>
      </c>
      <c r="Q29" s="139">
        <f t="shared" si="3"/>
        <v>-6.8836939293137505</v>
      </c>
      <c r="R29" s="207">
        <v>-62.17403392278942</v>
      </c>
      <c r="S29" s="138">
        <v>50.831377320859765</v>
      </c>
      <c r="T29" s="198">
        <f t="shared" si="4"/>
        <v>-113.00541124364918</v>
      </c>
      <c r="U29" s="209">
        <f t="shared" si="2"/>
        <v>-28.154335241813428</v>
      </c>
      <c r="V29" s="614">
        <f>T29/'Table A20'!T29</f>
        <v>-0.13109402652341162</v>
      </c>
      <c r="W29" s="117">
        <f>SUM($N$13:N29)/(AD29/AD$46)</f>
        <v>-1725.6131809300496</v>
      </c>
      <c r="X29" s="118">
        <f>SUM($T$13:T29)/(AD29/$AD$46)</f>
        <v>-1155.2534248857955</v>
      </c>
      <c r="Y29" s="117">
        <f>(SUM($N$13:N29)-SUM($T$13:T29))/(AD29/$AD$46)</f>
        <v>-570.35975604425403</v>
      </c>
      <c r="Z29" s="117">
        <f>SUM($O$13:O29)/(AD29/$AD$46)</f>
        <v>-576.23645580432174</v>
      </c>
      <c r="AA29" s="117">
        <f>SUM($S$13:S29)/(AD29/$AD$46)</f>
        <v>395.2641587189238</v>
      </c>
      <c r="AB29" s="117">
        <f t="shared" si="5"/>
        <v>-180.97229708539794</v>
      </c>
      <c r="AC29" s="117">
        <f>(SUM($Q$13:Q29)+SUM($U$13:U29))/(AD29/$AD$46)</f>
        <v>-389.38745895885614</v>
      </c>
      <c r="AD29" s="164">
        <v>136.19999999999999</v>
      </c>
    </row>
    <row r="30" spans="11:30" ht="16.95" customHeight="1" x14ac:dyDescent="0.3">
      <c r="K30" s="10"/>
      <c r="L30" s="16">
        <f t="shared" si="1"/>
        <v>1992</v>
      </c>
      <c r="M30" s="171">
        <v>150</v>
      </c>
      <c r="N30" s="141">
        <v>-108.35793274686266</v>
      </c>
      <c r="O30" s="34">
        <v>1.1171106278638592</v>
      </c>
      <c r="P30" s="34">
        <v>-66.280115726872054</v>
      </c>
      <c r="Q30" s="139">
        <f t="shared" si="3"/>
        <v>-8.5777550496633381</v>
      </c>
      <c r="R30" s="207">
        <v>-57.702360677208716</v>
      </c>
      <c r="S30" s="138">
        <v>48.561582034619633</v>
      </c>
      <c r="T30" s="198">
        <f t="shared" si="4"/>
        <v>-106.26394271182835</v>
      </c>
      <c r="U30" s="209">
        <f t="shared" si="2"/>
        <v>-43.19492764785447</v>
      </c>
      <c r="V30" s="614">
        <f>T30/'Table A20'!T30</f>
        <v>-0.12227936385068935</v>
      </c>
      <c r="W30" s="117">
        <f>SUM($N$13:N30)/(AD30/AD$46)</f>
        <v>-1841.4704435985066</v>
      </c>
      <c r="X30" s="118">
        <f>SUM($T$13:T30)/(AD30/$AD$46)</f>
        <v>-1284.5649474492523</v>
      </c>
      <c r="Y30" s="117">
        <f>(SUM($N$13:N30)-SUM($T$13:T30))/(AD30/$AD$46)</f>
        <v>-556.90549614925419</v>
      </c>
      <c r="Z30" s="117">
        <f>SUM($O$13:O30)/(AD30/$AD$46)</f>
        <v>-557.68273707083131</v>
      </c>
      <c r="AA30" s="117">
        <f>SUM($S$13:S30)/(AD30/$AD$46)</f>
        <v>458.23544343775563</v>
      </c>
      <c r="AB30" s="117">
        <f t="shared" si="5"/>
        <v>-99.447293633075674</v>
      </c>
      <c r="AC30" s="117">
        <f>(SUM($Q$13:Q30)+SUM($U$13:U30))/(AD30/$AD$46)</f>
        <v>-457.45820251617869</v>
      </c>
      <c r="AD30" s="164">
        <v>140.30000000000001</v>
      </c>
    </row>
    <row r="31" spans="11:30" ht="16.95" customHeight="1" x14ac:dyDescent="0.3">
      <c r="K31" s="10"/>
      <c r="L31" s="16">
        <f t="shared" si="1"/>
        <v>1993</v>
      </c>
      <c r="M31" s="171">
        <v>156</v>
      </c>
      <c r="N31" s="141">
        <v>-75.150768058227285</v>
      </c>
      <c r="O31" s="34">
        <v>33.174296626297938</v>
      </c>
      <c r="P31" s="34">
        <v>-63.46153012453572</v>
      </c>
      <c r="Q31" s="139">
        <f>P31-R31</f>
        <v>-8.2535906989732908</v>
      </c>
      <c r="R31" s="207">
        <v>-55.207939425562429</v>
      </c>
      <c r="S31" s="138">
        <v>48.152725613098788</v>
      </c>
      <c r="T31" s="198">
        <f t="shared" si="4"/>
        <v>-103.36066503866121</v>
      </c>
      <c r="U31" s="209">
        <f>N31-O31-P31</f>
        <v>-44.863534559989496</v>
      </c>
      <c r="V31" s="614">
        <f>T31/'Table A20'!T31</f>
        <v>-0.12154590125892326</v>
      </c>
      <c r="W31" s="117">
        <f>SUM($N$13:N31)/(AD31/AD$46)</f>
        <v>-1899.9203394609756</v>
      </c>
      <c r="X31" s="118">
        <f>SUM($T$13:T31)/(AD31/$AD$46)</f>
        <v>-1401.234071916602</v>
      </c>
      <c r="Y31" s="117">
        <f>(SUM($N$13:N31)-SUM($T$13:T31))/(AD31/$AD$46)</f>
        <v>-498.68626754437366</v>
      </c>
      <c r="Z31" s="117">
        <f>SUM($O$13:O31)/(AD31/$AD$46)</f>
        <v>-492.04403061941747</v>
      </c>
      <c r="AA31" s="117">
        <f>SUM($S$13:S31)/(AD31/$AD$46)</f>
        <v>516.66338406224304</v>
      </c>
      <c r="AB31" s="117">
        <f t="shared" si="5"/>
        <v>24.61935344282557</v>
      </c>
      <c r="AC31" s="117">
        <f>(SUM($Q$13:Q31)+SUM($U$13:U31))/(AD31/$AD$46)</f>
        <v>-523.30562098719952</v>
      </c>
      <c r="AD31" s="164">
        <v>144.5</v>
      </c>
    </row>
    <row r="32" spans="11:30" ht="16.95" customHeight="1" x14ac:dyDescent="0.3">
      <c r="K32" s="10"/>
      <c r="L32" s="16">
        <f t="shared" si="1"/>
        <v>1994</v>
      </c>
      <c r="M32" s="171" t="s">
        <v>572</v>
      </c>
      <c r="N32" s="141">
        <v>-58.491800000000005</v>
      </c>
      <c r="O32" s="34">
        <v>74.644800000000004</v>
      </c>
      <c r="P32" s="34">
        <v>-79.224899999999991</v>
      </c>
      <c r="Q32" s="139">
        <v>-7.8785699999999999</v>
      </c>
      <c r="R32" s="207">
        <v>-71.346059999999994</v>
      </c>
      <c r="S32" s="138">
        <v>49.245940000000004</v>
      </c>
      <c r="T32" s="198">
        <v>-120.592</v>
      </c>
      <c r="U32" s="137">
        <v>-53.911800000000007</v>
      </c>
      <c r="V32" s="614">
        <f>T32/'Table A20'!T32</f>
        <v>-0.14436674938975264</v>
      </c>
      <c r="W32" s="117">
        <f>SUM($N$13:N32)/(AD32/AD$46)</f>
        <v>-1937.4625443151888</v>
      </c>
      <c r="X32" s="118">
        <f>SUM($T$13:T32)/(AD32/$AD$46)</f>
        <v>-1541.4449579483739</v>
      </c>
      <c r="Y32" s="117">
        <f>(SUM($N$13:N32)-SUM($T$13:T32))/(AD32/$AD$46)</f>
        <v>-396.01758636681495</v>
      </c>
      <c r="Z32" s="117">
        <f>SUM($O$13:O32)/(AD32/$AD$46)</f>
        <v>-371.31655229491111</v>
      </c>
      <c r="AA32" s="117">
        <f>SUM($S$13:S32)/(AD32/$AD$46)</f>
        <v>575.30808108511553</v>
      </c>
      <c r="AB32" s="117">
        <f t="shared" si="5"/>
        <v>203.99152879020443</v>
      </c>
      <c r="AC32" s="117">
        <f>(SUM($Q$13:Q32)+SUM($U$13:U32))/(AD32/$AD$46)</f>
        <v>-600.00886818326819</v>
      </c>
      <c r="AD32" s="164">
        <v>148.19999999999999</v>
      </c>
    </row>
    <row r="33" spans="3:30" ht="16.95" customHeight="1" x14ac:dyDescent="0.3">
      <c r="K33" s="10"/>
      <c r="L33" s="16">
        <f t="shared" si="1"/>
        <v>1995</v>
      </c>
      <c r="M33" s="171" t="s">
        <v>572</v>
      </c>
      <c r="N33" s="141">
        <v>-55.4846</v>
      </c>
      <c r="O33" s="34">
        <v>83.74130000000001</v>
      </c>
      <c r="P33" s="34">
        <v>-86.752700000000004</v>
      </c>
      <c r="Q33" s="139">
        <v>-7.47316</v>
      </c>
      <c r="R33" s="207">
        <v>-79.279100000000014</v>
      </c>
      <c r="S33" s="138">
        <v>38.785900000000005</v>
      </c>
      <c r="T33" s="198">
        <v>-118.065</v>
      </c>
      <c r="U33" s="137">
        <v>-52.473500000000001</v>
      </c>
      <c r="V33" s="614">
        <f>T33/'Table A20'!T33</f>
        <v>-0.12206507242331192</v>
      </c>
      <c r="W33" s="117">
        <f>SUM($N$13:N33)/(AD33/AD$46)</f>
        <v>-1962.4537395099144</v>
      </c>
      <c r="X33" s="118">
        <f>SUM($T$13:T33)/(AD33/$AD$46)</f>
        <v>-1665.760442670269</v>
      </c>
      <c r="Y33" s="117">
        <f>(SUM($N$13:N33)-SUM($T$13:T33))/(AD33/$AD$46)</f>
        <v>-296.69329683964543</v>
      </c>
      <c r="Z33" s="117">
        <f>SUM($O$13:O33)/(AD33/$AD$46)</f>
        <v>-242.77795233730856</v>
      </c>
      <c r="AA33" s="117">
        <f>SUM($S$13:S33)/(AD33/$AD$46)</f>
        <v>614.24788874353101</v>
      </c>
      <c r="AB33" s="117">
        <f t="shared" si="5"/>
        <v>371.46993640622247</v>
      </c>
      <c r="AC33" s="117">
        <f>(SUM($Q$13:Q33)+SUM($U$13:U33))/(AD33/$AD$46)</f>
        <v>-668.16279529357178</v>
      </c>
      <c r="AD33" s="164">
        <v>152.4</v>
      </c>
    </row>
    <row r="34" spans="3:30" ht="16.95" customHeight="1" x14ac:dyDescent="0.3">
      <c r="K34" s="10"/>
      <c r="L34" s="16">
        <f t="shared" si="1"/>
        <v>1996</v>
      </c>
      <c r="M34" s="171" t="s">
        <v>572</v>
      </c>
      <c r="N34" s="141">
        <v>-37.587300000000006</v>
      </c>
      <c r="O34" s="34">
        <v>85.2547</v>
      </c>
      <c r="P34" s="34">
        <v>-89.536199999999994</v>
      </c>
      <c r="Q34" s="139">
        <v>-8.0487099999999998</v>
      </c>
      <c r="R34" s="207">
        <v>-81.487100000000012</v>
      </c>
      <c r="S34" s="138">
        <v>50.868899999999996</v>
      </c>
      <c r="T34" s="198">
        <v>-132.35599999999999</v>
      </c>
      <c r="U34" s="137">
        <v>-33.306199999999997</v>
      </c>
      <c r="V34" s="614">
        <f>T34/'Table A20'!T34</f>
        <v>-0.14600466178866631</v>
      </c>
      <c r="W34" s="117">
        <f>SUM($N$13:N34)/(AD34/AD$46)</f>
        <v>-1957.747663181714</v>
      </c>
      <c r="X34" s="118">
        <f>SUM($T$13:T34)/(AD34/$AD$46)</f>
        <v>-1799.6082557740535</v>
      </c>
      <c r="Y34" s="117">
        <f>(SUM($N$13:N34)-SUM($T$13:T34))/(AD34/$AD$46)</f>
        <v>-158.1394074076606</v>
      </c>
      <c r="Z34" s="117">
        <f>SUM($O$13:O34)/(AD34/$AD$46)</f>
        <v>-118.82579516957186</v>
      </c>
      <c r="AA34" s="117">
        <f>SUM($S$13:S34)/(AD34/$AD$46)</f>
        <v>666.43470376809512</v>
      </c>
      <c r="AB34" s="117">
        <f>Z34+AA34</f>
        <v>547.60890859852327</v>
      </c>
      <c r="AC34" s="117">
        <f>(SUM($Q$13:Q34)+SUM($U$13:U34))/(AD34/$AD$46)</f>
        <v>-705.74790433696819</v>
      </c>
      <c r="AD34" s="164">
        <v>156.9</v>
      </c>
    </row>
    <row r="35" spans="3:30" ht="16.95" customHeight="1" x14ac:dyDescent="0.3">
      <c r="K35" s="10"/>
      <c r="L35" s="16">
        <f t="shared" si="1"/>
        <v>1997</v>
      </c>
      <c r="M35" s="171" t="s">
        <v>572</v>
      </c>
      <c r="N35" s="141">
        <v>9.2822700000000005</v>
      </c>
      <c r="O35" s="34">
        <v>110.32611</v>
      </c>
      <c r="P35" s="34">
        <v>-71.463200000000001</v>
      </c>
      <c r="Q35" s="139">
        <v>1.1600299999999999</v>
      </c>
      <c r="R35" s="207">
        <v>-72.62281200000001</v>
      </c>
      <c r="S35" s="138">
        <v>55.414188000000003</v>
      </c>
      <c r="T35" s="198">
        <v>-128.03700000000001</v>
      </c>
      <c r="U35" s="137">
        <v>-29.580200000000001</v>
      </c>
      <c r="V35" s="614">
        <f>T35/'Table A20'!T35</f>
        <v>-0.13895979578813017</v>
      </c>
      <c r="W35" s="117">
        <f>SUM($N$13:N35)/(AD35/AD$46)</f>
        <v>-1901.3838490679188</v>
      </c>
      <c r="X35" s="118">
        <f>SUM($T$13:T35)/(AD35/$AD$46)</f>
        <v>-1930.9986638127664</v>
      </c>
      <c r="Y35" s="117">
        <f>(SUM($N$13:N35)-SUM($T$13:T35))/(AD35/$AD$46)</f>
        <v>29.614814744847617</v>
      </c>
      <c r="Z35" s="117">
        <f>SUM($O$13:O35)/(AD35/$AD$46)</f>
        <v>31.83660560264282</v>
      </c>
      <c r="AA35" s="117">
        <f>SUM($S$13:S35)/(AD35/$AD$46)</f>
        <v>725.82209308522204</v>
      </c>
      <c r="AB35" s="117">
        <f t="shared" si="5"/>
        <v>757.6586986878649</v>
      </c>
      <c r="AC35" s="117">
        <f>(SUM($Q$13:Q35)+SUM($U$13:U35))/(AD35/$AD$46)</f>
        <v>-728.04233054193355</v>
      </c>
      <c r="AD35" s="164">
        <v>160.5</v>
      </c>
    </row>
    <row r="36" spans="3:30" ht="16.95" customHeight="1" x14ac:dyDescent="0.3">
      <c r="K36" s="10"/>
      <c r="L36" s="16">
        <f t="shared" si="1"/>
        <v>1998</v>
      </c>
      <c r="M36" s="171" t="s">
        <v>572</v>
      </c>
      <c r="N36" s="141">
        <v>-68.280799999999999</v>
      </c>
      <c r="O36" s="34">
        <v>63.563259999999993</v>
      </c>
      <c r="P36" s="34">
        <v>-98.391600000000011</v>
      </c>
      <c r="Q36" s="139">
        <v>-0.44051899999999999</v>
      </c>
      <c r="R36" s="207">
        <v>-97.950760000000017</v>
      </c>
      <c r="S36" s="138">
        <v>33.86524</v>
      </c>
      <c r="T36" s="198">
        <v>-131.816</v>
      </c>
      <c r="U36" s="137">
        <v>-33.452500000000001</v>
      </c>
      <c r="V36" s="614">
        <f>T36/'Table A20'!T36</f>
        <v>-0.12956824999901703</v>
      </c>
      <c r="W36" s="117">
        <f>SUM($N$13:N36)/(AD36/AD$46)</f>
        <v>-1962.4120788822147</v>
      </c>
      <c r="X36" s="118">
        <f>SUM($T$13:T36)/(AD36/$AD$46)</f>
        <v>-2075.4948821469266</v>
      </c>
      <c r="Y36" s="117">
        <f>(SUM($N$13:N36)-SUM($T$13:T36))/(AD36/$AD$46)</f>
        <v>113.08280326471197</v>
      </c>
      <c r="Z36" s="117">
        <f>SUM($O$13:O36)/(AD36/$AD$46)</f>
        <v>115.30758139266365</v>
      </c>
      <c r="AA36" s="117">
        <f>SUM($S$13:S36)/(AD36/$AD$46)</f>
        <v>759.42167918955909</v>
      </c>
      <c r="AB36" s="117">
        <f t="shared" si="5"/>
        <v>874.72926058222276</v>
      </c>
      <c r="AC36" s="117">
        <f>(SUM($Q$13:Q36)+SUM($U$13:U36))/(AD36/$AD$46)</f>
        <v>-761.64455657507563</v>
      </c>
      <c r="AD36" s="164">
        <v>163</v>
      </c>
    </row>
    <row r="37" spans="3:30" ht="16.95" customHeight="1" x14ac:dyDescent="0.3">
      <c r="K37" s="10"/>
      <c r="L37" s="16">
        <f t="shared" si="1"/>
        <v>1999</v>
      </c>
      <c r="M37" s="171" t="s">
        <v>572</v>
      </c>
      <c r="N37" s="141">
        <v>-101.744</v>
      </c>
      <c r="O37" s="34">
        <v>16.565239999999999</v>
      </c>
      <c r="P37" s="34">
        <v>-91.555600000000013</v>
      </c>
      <c r="Q37" s="139">
        <v>-6.0325600000000001</v>
      </c>
      <c r="R37" s="207">
        <v>-85.522799999999989</v>
      </c>
      <c r="S37" s="138">
        <v>42.458200000000005</v>
      </c>
      <c r="T37" s="198">
        <v>-127.98100000000001</v>
      </c>
      <c r="U37" s="137">
        <v>-26.7531</v>
      </c>
      <c r="V37" s="615">
        <f>T37/'Table A20'!T37</f>
        <v>-0.12732160142621365</v>
      </c>
      <c r="W37" s="117">
        <f>SUM($N$13:N37)/(AD37/AD$46)</f>
        <v>-2051.4943414753957</v>
      </c>
      <c r="X37" s="118">
        <f>SUM($T$13:T37)/(AD37/$AD$46)</f>
        <v>-2196.0405704258642</v>
      </c>
      <c r="Y37" s="117">
        <f>(SUM($N$13:N37)-SUM($T$13:T37))/(AD37/$AD$46)</f>
        <v>144.54622895046859</v>
      </c>
      <c r="Z37" s="117">
        <f>SUM($O$13:O37)/(AD37/$AD$46)</f>
        <v>134.22377932007308</v>
      </c>
      <c r="AA37" s="117">
        <f>SUM($S$13:S37)/(AD37/$AD$46)</f>
        <v>797.88182198378229</v>
      </c>
      <c r="AB37" s="117">
        <f t="shared" si="5"/>
        <v>932.10560130385534</v>
      </c>
      <c r="AC37" s="117">
        <f>(SUM($Q$13:Q37)+SUM($U$13:U37))/(AD37/$AD$46)</f>
        <v>-787.55650466216878</v>
      </c>
      <c r="AD37" s="164">
        <v>166.6</v>
      </c>
    </row>
    <row r="38" spans="3:30" ht="16.95" customHeight="1" x14ac:dyDescent="0.3">
      <c r="K38" s="10"/>
      <c r="L38" s="186">
        <f t="shared" si="1"/>
        <v>2000</v>
      </c>
      <c r="M38" s="208" t="s">
        <v>572</v>
      </c>
      <c r="N38" s="210">
        <v>-149.76599999999999</v>
      </c>
      <c r="O38" s="125">
        <v>-22.484349999999999</v>
      </c>
      <c r="P38" s="125">
        <v>-90.921500000000009</v>
      </c>
      <c r="Q38" s="142">
        <v>-6.4284799999999995</v>
      </c>
      <c r="R38" s="197">
        <v>-84.493499999999997</v>
      </c>
      <c r="S38" s="190">
        <v>28.270500000000002</v>
      </c>
      <c r="T38" s="199">
        <v>-112.764</v>
      </c>
      <c r="U38" s="218">
        <v>-36.360100000000003</v>
      </c>
      <c r="V38" s="614">
        <f>T38/'Table A20'!T38</f>
        <v>-0.10136144554487485</v>
      </c>
      <c r="W38" s="216">
        <f>SUM($N$13:N38)/(AD38/AD$46)</f>
        <v>-2172.0326735644658</v>
      </c>
      <c r="X38" s="219">
        <f>SUM($T$13:T38)/(AD38/$AD$46)</f>
        <v>-2265.6143236059756</v>
      </c>
      <c r="Y38" s="216">
        <f>(SUM($N$13:N38)-SUM($T$13:T38))/(AD38/$AD$46)</f>
        <v>93.581650041510031</v>
      </c>
      <c r="Z38" s="216">
        <f>SUM($O$13:O38)/(AD38/$AD$46)</f>
        <v>101.74642059624956</v>
      </c>
      <c r="AA38" s="216">
        <f>SUM($S$13:S38)/(AD38/$AD$46)</f>
        <v>807.28127180022148</v>
      </c>
      <c r="AB38" s="216">
        <f t="shared" si="5"/>
        <v>909.02769239647102</v>
      </c>
      <c r="AC38" s="216">
        <f>(SUM($Q$13:Q38)+SUM($U$13:U38))/(AD38/$AD$46)</f>
        <v>-815.44380555433986</v>
      </c>
      <c r="AD38" s="217">
        <v>172.2</v>
      </c>
    </row>
    <row r="39" spans="3:30" ht="16.95" customHeight="1" x14ac:dyDescent="0.3">
      <c r="K39" s="10"/>
      <c r="L39" s="16">
        <f t="shared" si="1"/>
        <v>2001</v>
      </c>
      <c r="M39" s="171" t="s">
        <v>572</v>
      </c>
      <c r="N39" s="141">
        <v>-148.64600000000002</v>
      </c>
      <c r="O39" s="34">
        <v>-43.724900000000005</v>
      </c>
      <c r="P39" s="34">
        <v>-73.588200000000001</v>
      </c>
      <c r="Q39" s="139">
        <v>-7.5117900000000004</v>
      </c>
      <c r="R39" s="207">
        <v>-66.0762</v>
      </c>
      <c r="S39" s="138">
        <v>59.542800000000007</v>
      </c>
      <c r="T39" s="198">
        <v>-125.619</v>
      </c>
      <c r="U39" s="137">
        <v>-31.332799999999999</v>
      </c>
      <c r="V39" s="614">
        <f>T39/'Table A20'!T39</f>
        <v>-0.11785063940250508</v>
      </c>
      <c r="W39" s="117">
        <f>SUM($N$13:N39)/(AD39/AD$46)</f>
        <v>-2292.6479736070069</v>
      </c>
      <c r="X39" s="118">
        <f>SUM($T$13:T39)/(AD39/$AD$46)</f>
        <v>-2355.6461551775774</v>
      </c>
      <c r="Y39" s="117">
        <f>(SUM($N$13:N39)-SUM($T$13:T39))/(AD39/$AD$46)</f>
        <v>62.998181570570402</v>
      </c>
      <c r="Z39" s="117">
        <f>SUM($O$13:O39)/(AD39/$AD$46)</f>
        <v>45.774316668403017</v>
      </c>
      <c r="AA39" s="117">
        <f>SUM($S$13:S39)/(AD39/$AD$46)</f>
        <v>857.33245890682178</v>
      </c>
      <c r="AB39" s="117">
        <f t="shared" si="5"/>
        <v>903.10677557522479</v>
      </c>
      <c r="AC39" s="117">
        <f>(SUM($Q$13:Q39)+SUM($U$13:U39))/(AD39/$AD$46)</f>
        <v>-840.10604222036886</v>
      </c>
      <c r="AD39" s="164">
        <v>177.1</v>
      </c>
    </row>
    <row r="40" spans="3:30" ht="16.95" customHeight="1" x14ac:dyDescent="0.3">
      <c r="K40" s="10"/>
      <c r="L40" s="16">
        <f t="shared" si="1"/>
        <v>2002</v>
      </c>
      <c r="M40" s="171" t="s">
        <v>572</v>
      </c>
      <c r="N40" s="141">
        <v>-97.793399999999991</v>
      </c>
      <c r="O40" s="34">
        <v>14.607950000000001</v>
      </c>
      <c r="P40" s="34">
        <v>-94.678200000000004</v>
      </c>
      <c r="Q40" s="139">
        <v>-7.8372600000000006</v>
      </c>
      <c r="R40" s="207">
        <v>-86.84129999999999</v>
      </c>
      <c r="S40" s="138">
        <v>37.233700000000006</v>
      </c>
      <c r="T40" s="198">
        <v>-124.075</v>
      </c>
      <c r="U40" s="137">
        <v>-17.723099999999999</v>
      </c>
      <c r="V40" s="614">
        <f>T40/'Table A20'!T40</f>
        <v>-0.12820287620815002</v>
      </c>
      <c r="W40" s="117">
        <f>SUM($N$13:N40)/(AD40/AD$46)</f>
        <v>-2374.0031602334684</v>
      </c>
      <c r="X40" s="118">
        <f>SUM($T$13:T40)/(AD40/$AD$46)</f>
        <v>-2467.4744514004942</v>
      </c>
      <c r="Y40" s="117">
        <f>(SUM($N$13:N40)-SUM($T$13:T40))/(AD40/$AD$46)</f>
        <v>93.471291167025981</v>
      </c>
      <c r="Z40" s="117">
        <f>SUM($O$13:O40)/(AD40/$AD$46)</f>
        <v>62.544563317532926</v>
      </c>
      <c r="AA40" s="117">
        <f>SUM($S$13:S40)/(AD40/$AD$46)</f>
        <v>888.54978200943935</v>
      </c>
      <c r="AB40" s="117">
        <f t="shared" si="5"/>
        <v>951.0943453269723</v>
      </c>
      <c r="AC40" s="117">
        <f>(SUM($Q$13:Q40)+SUM($U$13:U40))/(AD40/$AD$46)</f>
        <v>-857.62091309787274</v>
      </c>
      <c r="AD40" s="164">
        <v>179.9</v>
      </c>
    </row>
    <row r="41" spans="3:30" ht="16.95" customHeight="1" x14ac:dyDescent="0.3">
      <c r="K41" s="10"/>
      <c r="L41" s="16">
        <f t="shared" si="1"/>
        <v>2003</v>
      </c>
      <c r="M41" s="171" t="s">
        <v>572</v>
      </c>
      <c r="N41" s="141">
        <v>-20.044499999999999</v>
      </c>
      <c r="O41" s="34">
        <v>65.995100000000008</v>
      </c>
      <c r="P41" s="34">
        <v>-76.640799999999999</v>
      </c>
      <c r="Q41" s="139">
        <v>-7.8426099999999996</v>
      </c>
      <c r="R41" s="207">
        <v>-68.797800000000009</v>
      </c>
      <c r="S41" s="138">
        <v>49.418199999999999</v>
      </c>
      <c r="T41" s="198">
        <v>-118.21600000000001</v>
      </c>
      <c r="U41" s="137">
        <v>-9.3987499999999997</v>
      </c>
      <c r="V41" s="614">
        <f>T41/'Table A20'!T41</f>
        <v>-0.11454927762327885</v>
      </c>
      <c r="W41" s="117">
        <f>SUM($N$13:N41)/(AD41/AD$46)</f>
        <v>-2344.5587473342443</v>
      </c>
      <c r="X41" s="118">
        <f>SUM($T$13:T41)/(AD41/$AD$46)</f>
        <v>-2550.8201807334181</v>
      </c>
      <c r="Y41" s="117">
        <f>(SUM($N$13:N41)-SUM($T$13:T41))/(AD41/$AD$46)</f>
        <v>206.26143339917371</v>
      </c>
      <c r="Z41" s="117">
        <f>SUM($O$13:O41)/(AD41/$AD$46)</f>
        <v>138.37342367458791</v>
      </c>
      <c r="AA41" s="117">
        <f>SUM($S$13:S41)/(AD41/$AD$46)</f>
        <v>926.57604618531605</v>
      </c>
      <c r="AB41" s="117">
        <f t="shared" si="5"/>
        <v>1064.949469859904</v>
      </c>
      <c r="AC41" s="117">
        <f>(SUM($Q$13:Q41)+SUM($U$13:U41))/(AD41/$AD$46)</f>
        <v>-858.685428252105</v>
      </c>
      <c r="AD41" s="164">
        <v>184</v>
      </c>
    </row>
    <row r="42" spans="3:30" ht="16.95" customHeight="1" x14ac:dyDescent="0.3">
      <c r="K42" s="10"/>
      <c r="L42" s="16">
        <f t="shared" si="1"/>
        <v>2004</v>
      </c>
      <c r="M42" s="171" t="s">
        <v>572</v>
      </c>
      <c r="N42" s="141">
        <v>54.959199999999996</v>
      </c>
      <c r="O42" s="34">
        <v>89.435600000000008</v>
      </c>
      <c r="P42" s="34">
        <v>-16.214500000000001</v>
      </c>
      <c r="Q42" s="139">
        <v>-6.0152299999999999</v>
      </c>
      <c r="R42" s="207">
        <v>-10.199600000000006</v>
      </c>
      <c r="S42" s="138">
        <v>110.55539999999999</v>
      </c>
      <c r="T42" s="198">
        <v>-120.755</v>
      </c>
      <c r="U42" s="137">
        <v>-18.262</v>
      </c>
      <c r="V42" s="614">
        <f>T42/'Table A20'!T42</f>
        <v>-0.1000774895057661</v>
      </c>
      <c r="W42" s="117">
        <f>SUM($N$13:N42)/(AD42/AD$46)</f>
        <v>-2221.1007351609369</v>
      </c>
      <c r="X42" s="118">
        <f>SUM($T$13:T42)/(AD42/$AD$46)</f>
        <v>-2622.2860085756956</v>
      </c>
      <c r="Y42" s="117">
        <f>(SUM($N$13:N42)-SUM($T$13:T42))/(AD42/$AD$46)</f>
        <v>401.18527341475902</v>
      </c>
      <c r="Z42" s="117">
        <f>SUM($O$13:O42)/(AD42/$AD$46)</f>
        <v>236.72029085719524</v>
      </c>
      <c r="AA42" s="117">
        <f>SUM($S$13:S42)/(AD42/$AD$46)</f>
        <v>1028.5489771535104</v>
      </c>
      <c r="AB42" s="117">
        <f t="shared" si="5"/>
        <v>1265.2692680107057</v>
      </c>
      <c r="AC42" s="117">
        <f>(SUM($Q$13:Q42)+SUM($U$13:U42))/(AD42/$AD$46)</f>
        <v>-864.0819441454596</v>
      </c>
      <c r="AD42" s="164">
        <v>188.9</v>
      </c>
    </row>
    <row r="43" spans="3:30" ht="16.95" customHeight="1" x14ac:dyDescent="0.3">
      <c r="K43" s="10"/>
      <c r="L43" s="16">
        <f t="shared" si="1"/>
        <v>2005</v>
      </c>
      <c r="M43" s="171" t="s">
        <v>572</v>
      </c>
      <c r="N43" s="141">
        <v>103.407</v>
      </c>
      <c r="O43" s="34">
        <v>137.31420000000003</v>
      </c>
      <c r="P43" s="34">
        <v>-12.4085</v>
      </c>
      <c r="Q43" s="139">
        <v>-8.0538799999999995</v>
      </c>
      <c r="R43" s="207">
        <v>-4.3549000000000087</v>
      </c>
      <c r="S43" s="138">
        <v>123.47409999999999</v>
      </c>
      <c r="T43" s="198">
        <v>-127.82900000000001</v>
      </c>
      <c r="U43" s="137">
        <v>-21.4986</v>
      </c>
      <c r="V43" s="614">
        <f>T43/'Table A20'!T43</f>
        <v>-8.3579558122671926E-2</v>
      </c>
      <c r="W43" s="117">
        <f>SUM($N$13:N43)/(AD43/AD$46)</f>
        <v>-2034.3169050225342</v>
      </c>
      <c r="X43" s="118">
        <f>SUM($T$13:T43)/(AD43/$AD$46)</f>
        <v>-2677.2749319352224</v>
      </c>
      <c r="Y43" s="117">
        <f>(SUM($N$13:N43)-SUM($T$13:T43))/(AD43/$AD$46)</f>
        <v>642.95802691268807</v>
      </c>
      <c r="Z43" s="117">
        <f>SUM($O$13:O43)/(AD43/$AD$46)</f>
        <v>380.34112721722568</v>
      </c>
      <c r="AA43" s="117">
        <f>SUM($S$13:S43)/(AD43/$AD$46)</f>
        <v>1130.9638808837587</v>
      </c>
      <c r="AB43" s="117">
        <f t="shared" si="5"/>
        <v>1511.3050081009844</v>
      </c>
      <c r="AC43" s="117">
        <f>(SUM($Q$13:Q43)+SUM($U$13:U43))/(AD43/$AD$46)</f>
        <v>-868.3451963672162</v>
      </c>
      <c r="AD43" s="164">
        <v>195.3</v>
      </c>
    </row>
    <row r="44" spans="3:30" ht="16.95" customHeight="1" x14ac:dyDescent="0.3">
      <c r="K44" s="10"/>
      <c r="L44" s="16">
        <f t="shared" si="1"/>
        <v>2006</v>
      </c>
      <c r="M44" s="171" t="s">
        <v>572</v>
      </c>
      <c r="N44" s="141">
        <v>253.58500000000001</v>
      </c>
      <c r="O44" s="34">
        <v>261.22300000000001</v>
      </c>
      <c r="P44" s="34">
        <v>-23.7638</v>
      </c>
      <c r="Q44" s="139">
        <v>-9.8279300000000003</v>
      </c>
      <c r="R44" s="207">
        <v>-13.936300000000003</v>
      </c>
      <c r="S44" s="138">
        <v>106.7377</v>
      </c>
      <c r="T44" s="198">
        <v>-120.67400000000001</v>
      </c>
      <c r="U44" s="137">
        <v>16.126999999999999</v>
      </c>
      <c r="V44" s="614">
        <f>T44/'Table A20'!T44</f>
        <v>-5.9176431819162587E-2</v>
      </c>
      <c r="W44" s="117">
        <f>SUM($N$13:N44)/(AD44/AD$46)</f>
        <v>-1699.9230173407786</v>
      </c>
      <c r="X44" s="118">
        <f>SUM($T$13:T44)/(AD44/$AD$46)</f>
        <v>-2722.4864505404216</v>
      </c>
      <c r="Y44" s="117">
        <f>(SUM($N$13:N44)-SUM($T$13:T44))/(AD44/$AD$46)</f>
        <v>1022.563433199643</v>
      </c>
      <c r="Z44" s="117">
        <f>SUM($O$13:O44)/(AD44/$AD$46)</f>
        <v>647.43411564744133</v>
      </c>
      <c r="AA44" s="117">
        <f>SUM($S$13:S44)/(AD44/$AD$46)</f>
        <v>1209.6140523794547</v>
      </c>
      <c r="AB44" s="117">
        <f t="shared" si="5"/>
        <v>1857.0481680268961</v>
      </c>
      <c r="AC44" s="117">
        <f>(SUM($Q$13:Q44)+SUM($U$13:U44))/(AD44/$AD$46)</f>
        <v>-834.48218344398492</v>
      </c>
      <c r="AD44" s="164">
        <v>201.6</v>
      </c>
    </row>
    <row r="45" spans="3:30" ht="16.95" customHeight="1" x14ac:dyDescent="0.3">
      <c r="K45" s="10"/>
      <c r="L45" s="16">
        <f t="shared" si="1"/>
        <v>2007</v>
      </c>
      <c r="M45" s="171" t="s">
        <v>572</v>
      </c>
      <c r="N45" s="141">
        <v>403.27800000000002</v>
      </c>
      <c r="O45" s="34">
        <v>404.35399999999998</v>
      </c>
      <c r="P45" s="34">
        <v>-19.454799999999999</v>
      </c>
      <c r="Q45" s="139">
        <v>-8.7462400000000002</v>
      </c>
      <c r="R45" s="207">
        <v>-10.708</v>
      </c>
      <c r="S45" s="138">
        <v>94.962000000000003</v>
      </c>
      <c r="T45" s="198">
        <v>-105.67</v>
      </c>
      <c r="U45" s="137">
        <v>18.379000000000001</v>
      </c>
      <c r="V45" s="614">
        <f>T45/'Table A20'!T45</f>
        <v>-3.9258009867443378E-2</v>
      </c>
      <c r="W45" s="117">
        <f>SUM($N$13:N45)/(AD45/AD$46)</f>
        <v>-1234.0843488627531</v>
      </c>
      <c r="X45" s="118">
        <f>SUM($T$13:T45)/(AD45/$AD$46)</f>
        <v>-2756.8188617788437</v>
      </c>
      <c r="Y45" s="117">
        <f>(SUM($N$13:N45)-SUM($T$13:T45))/(AD45/$AD$46)</f>
        <v>1522.7345129160904</v>
      </c>
      <c r="Z45" s="117">
        <f>SUM($O$13:O45)/(AD45/$AD$46)</f>
        <v>1049.3838536163641</v>
      </c>
      <c r="AA45" s="117">
        <f>SUM($S$13:S45)/(AD45/$AD$46)</f>
        <v>1274.7238689975889</v>
      </c>
      <c r="AB45" s="117">
        <f t="shared" si="5"/>
        <v>2324.1077226139532</v>
      </c>
      <c r="AC45" s="117">
        <f>(SUM($Q$13:Q45)+SUM($U$13:U45))/(AD45/$AD$46)</f>
        <v>-801.36993979042995</v>
      </c>
      <c r="AD45" s="164">
        <v>207.34200000000001</v>
      </c>
    </row>
    <row r="46" spans="3:30" ht="16.95" customHeight="1" thickBot="1" x14ac:dyDescent="0.35">
      <c r="K46" s="10"/>
      <c r="L46" s="103">
        <f t="shared" si="1"/>
        <v>2008</v>
      </c>
      <c r="M46" s="172" t="s">
        <v>572</v>
      </c>
      <c r="N46" s="136">
        <v>298.12299999999999</v>
      </c>
      <c r="O46" s="92">
        <v>366.34000000000003</v>
      </c>
      <c r="P46" s="92">
        <v>-99.319299999999998</v>
      </c>
      <c r="Q46" s="135">
        <v>-16.187899999999999</v>
      </c>
      <c r="R46" s="212">
        <v>-83.132000000000005</v>
      </c>
      <c r="S46" s="134">
        <v>72.677000000000007</v>
      </c>
      <c r="T46" s="200">
        <v>-155.809</v>
      </c>
      <c r="U46" s="168">
        <v>31.101900000000001</v>
      </c>
      <c r="V46" s="616">
        <f>T46/'Table A20'!T46</f>
        <v>-5.5927727458892074E-2</v>
      </c>
      <c r="W46" s="120">
        <f>SUM($N$13:N46)/(AD46/AD$46)</f>
        <v>-890.33009662150994</v>
      </c>
      <c r="X46" s="121">
        <f>SUM($T$13:T46)/(AD46/$AD$46)</f>
        <v>-2810.6922874551169</v>
      </c>
      <c r="Y46" s="120">
        <f>(SUM($N$13:N46)-SUM($T$13:T46))/(AD46/$AD$46)</f>
        <v>1920.362190833607</v>
      </c>
      <c r="Z46" s="120">
        <f>SUM($O$13:O46)/(AD46/$AD$46)</f>
        <v>1376.9220493747148</v>
      </c>
      <c r="AA46" s="120">
        <f>SUM($S$13:S46)/(AD46/$AD$46)</f>
        <v>1300.2669381137191</v>
      </c>
      <c r="AB46" s="120">
        <f t="shared" si="5"/>
        <v>2677.1889874884337</v>
      </c>
      <c r="AC46" s="120">
        <f>(SUM($Q$13:Q46)+SUM($U$13:U46))/(AD46/$AD$46)</f>
        <v>-756.82464765482757</v>
      </c>
      <c r="AD46" s="169">
        <v>215.303</v>
      </c>
    </row>
    <row r="47" spans="3:30" ht="13.8" thickTop="1" x14ac:dyDescent="0.25">
      <c r="C47" s="12"/>
      <c r="D47" s="12"/>
      <c r="E47" s="12"/>
      <c r="F47" s="12"/>
      <c r="G47" s="12"/>
      <c r="H47" s="12"/>
      <c r="I47" s="12"/>
      <c r="J47" s="12"/>
    </row>
    <row r="48" spans="3:30" x14ac:dyDescent="0.25">
      <c r="C48" s="12"/>
      <c r="D48" s="12"/>
      <c r="E48" s="12"/>
      <c r="F48" s="12"/>
      <c r="G48" s="12"/>
      <c r="H48" s="12"/>
      <c r="I48" s="12"/>
      <c r="J48" s="12"/>
    </row>
    <row r="49" spans="3:10" x14ac:dyDescent="0.25">
      <c r="C49" s="12"/>
      <c r="D49" s="12"/>
      <c r="E49" s="12"/>
      <c r="F49" s="12"/>
      <c r="G49" s="12"/>
      <c r="H49" s="12"/>
      <c r="I49" s="12"/>
      <c r="J49" s="12"/>
    </row>
    <row r="50" spans="3:10" x14ac:dyDescent="0.25">
      <c r="C50" s="131"/>
      <c r="D50" s="12"/>
      <c r="E50" s="12"/>
      <c r="F50" s="12"/>
      <c r="G50" s="12"/>
      <c r="H50" s="12"/>
      <c r="I50" s="12"/>
      <c r="J50" s="12"/>
    </row>
    <row r="51" spans="3:10" x14ac:dyDescent="0.25">
      <c r="C51" s="12"/>
      <c r="D51" s="12"/>
      <c r="E51" s="12"/>
      <c r="F51" s="12"/>
      <c r="G51" s="12"/>
      <c r="H51" s="12"/>
      <c r="I51" s="12"/>
      <c r="J51" s="12"/>
    </row>
    <row r="52" spans="3:10" x14ac:dyDescent="0.25">
      <c r="C52" s="12"/>
      <c r="D52" s="12"/>
      <c r="E52" s="12"/>
      <c r="F52" s="12"/>
      <c r="G52" s="12"/>
      <c r="H52" s="12"/>
      <c r="I52" s="12"/>
      <c r="J52" s="12"/>
    </row>
    <row r="53" spans="3:10" x14ac:dyDescent="0.25">
      <c r="C53" s="12"/>
      <c r="D53" s="12"/>
      <c r="E53" s="12"/>
      <c r="F53" s="12"/>
      <c r="G53" s="12"/>
      <c r="H53" s="12"/>
      <c r="I53" s="12"/>
      <c r="J53" s="12"/>
    </row>
    <row r="54" spans="3:10" x14ac:dyDescent="0.25">
      <c r="C54" s="12"/>
      <c r="D54" s="12"/>
      <c r="E54" s="12"/>
      <c r="F54" s="12"/>
      <c r="G54" s="12"/>
      <c r="H54" s="12"/>
      <c r="I54" s="12"/>
      <c r="J54" s="12"/>
    </row>
    <row r="55" spans="3:10" x14ac:dyDescent="0.25">
      <c r="C55" s="12"/>
      <c r="D55" s="12"/>
      <c r="E55" s="12"/>
      <c r="F55" s="12"/>
      <c r="G55" s="12"/>
      <c r="H55" s="12"/>
      <c r="I55" s="12"/>
      <c r="J55" s="12"/>
    </row>
    <row r="56" spans="3:10" x14ac:dyDescent="0.25">
      <c r="C56" s="12"/>
      <c r="D56" s="12"/>
      <c r="E56" s="12"/>
      <c r="F56" s="12"/>
      <c r="G56" s="12"/>
      <c r="H56" s="12"/>
      <c r="I56" s="12"/>
      <c r="J56" s="12"/>
    </row>
    <row r="57" spans="3:10" x14ac:dyDescent="0.25">
      <c r="C57" s="12"/>
      <c r="D57" s="12"/>
      <c r="E57" s="12"/>
      <c r="F57" s="12"/>
      <c r="G57" s="12"/>
      <c r="H57" s="12"/>
      <c r="I57" s="12"/>
      <c r="J57" s="12"/>
    </row>
    <row r="58" spans="3:10" x14ac:dyDescent="0.25">
      <c r="C58" s="12"/>
      <c r="D58" s="12"/>
      <c r="E58" s="12"/>
      <c r="F58" s="12"/>
      <c r="G58" s="12"/>
      <c r="H58" s="12"/>
      <c r="I58" s="12"/>
      <c r="J58" s="12"/>
    </row>
    <row r="59" spans="3:10" x14ac:dyDescent="0.25">
      <c r="C59" s="12"/>
      <c r="D59" s="12"/>
      <c r="E59" s="12"/>
      <c r="F59" s="12"/>
      <c r="G59" s="12"/>
      <c r="H59" s="12"/>
      <c r="I59" s="12"/>
      <c r="J59" s="12"/>
    </row>
    <row r="60" spans="3:10" x14ac:dyDescent="0.25">
      <c r="C60" s="12"/>
      <c r="D60" s="12"/>
      <c r="E60" s="12"/>
      <c r="F60" s="12"/>
      <c r="G60" s="12"/>
      <c r="H60" s="12"/>
      <c r="I60" s="12"/>
      <c r="J60" s="12"/>
    </row>
    <row r="61" spans="3:10" x14ac:dyDescent="0.25">
      <c r="C61" s="12"/>
      <c r="D61" s="12"/>
      <c r="E61" s="12"/>
      <c r="F61" s="12"/>
      <c r="G61" s="12"/>
      <c r="H61" s="12"/>
      <c r="I61" s="12"/>
      <c r="J61" s="12"/>
    </row>
    <row r="62" spans="3:10" x14ac:dyDescent="0.25">
      <c r="C62" s="12"/>
      <c r="D62" s="12"/>
      <c r="E62" s="12"/>
      <c r="F62" s="12"/>
      <c r="G62" s="12"/>
      <c r="H62" s="12"/>
      <c r="I62" s="12"/>
      <c r="J62" s="12"/>
    </row>
    <row r="63" spans="3:10" x14ac:dyDescent="0.25">
      <c r="C63" s="12"/>
      <c r="D63" s="12"/>
      <c r="E63" s="12"/>
      <c r="F63" s="12"/>
      <c r="G63" s="12"/>
      <c r="H63" s="12"/>
      <c r="I63" s="12"/>
      <c r="J63" s="12"/>
    </row>
    <row r="64" spans="3:10" x14ac:dyDescent="0.25">
      <c r="C64" s="12"/>
      <c r="D64" s="12"/>
      <c r="E64" s="12"/>
      <c r="F64" s="12"/>
      <c r="G64" s="12"/>
      <c r="H64" s="12"/>
      <c r="I64" s="12"/>
      <c r="J64" s="12"/>
    </row>
    <row r="65" spans="3:10" x14ac:dyDescent="0.25">
      <c r="C65" s="12"/>
      <c r="D65" s="12"/>
      <c r="E65" s="12"/>
      <c r="F65" s="12"/>
      <c r="G65" s="12"/>
      <c r="H65" s="12"/>
      <c r="I65" s="12"/>
      <c r="J65" s="12"/>
    </row>
    <row r="66" spans="3:10" x14ac:dyDescent="0.25">
      <c r="C66" s="12"/>
      <c r="D66" s="12"/>
      <c r="E66" s="12"/>
      <c r="F66" s="12"/>
      <c r="G66" s="12"/>
      <c r="H66" s="12"/>
      <c r="I66" s="12"/>
      <c r="J66" s="12"/>
    </row>
    <row r="67" spans="3:10" x14ac:dyDescent="0.25">
      <c r="C67" s="12"/>
      <c r="D67" s="12"/>
      <c r="E67" s="12"/>
      <c r="F67" s="12"/>
      <c r="G67" s="12"/>
      <c r="H67" s="12"/>
      <c r="I67" s="12"/>
      <c r="J67" s="12"/>
    </row>
    <row r="68" spans="3:10" x14ac:dyDescent="0.25">
      <c r="C68" s="12"/>
      <c r="D68" s="12"/>
      <c r="E68" s="12"/>
      <c r="F68" s="12"/>
      <c r="G68" s="12"/>
      <c r="H68" s="12"/>
      <c r="I68" s="12"/>
      <c r="J68" s="12"/>
    </row>
    <row r="69" spans="3:10" x14ac:dyDescent="0.25">
      <c r="C69" s="12"/>
      <c r="D69" s="12"/>
      <c r="E69" s="12"/>
      <c r="F69" s="12"/>
      <c r="G69" s="12"/>
      <c r="H69" s="12"/>
      <c r="I69" s="12"/>
      <c r="J69" s="12"/>
    </row>
    <row r="70" spans="3:10" x14ac:dyDescent="0.25">
      <c r="C70" s="12"/>
      <c r="D70" s="12"/>
      <c r="E70" s="12"/>
      <c r="F70" s="12"/>
      <c r="G70" s="12"/>
      <c r="H70" s="12"/>
      <c r="I70" s="12"/>
      <c r="J70" s="12"/>
    </row>
    <row r="71" spans="3:10" x14ac:dyDescent="0.25">
      <c r="C71" s="12"/>
      <c r="D71" s="12"/>
      <c r="E71" s="12"/>
      <c r="F71" s="12"/>
      <c r="G71" s="12"/>
      <c r="H71" s="12"/>
      <c r="I71" s="12"/>
      <c r="J71" s="12"/>
    </row>
    <row r="72" spans="3:10" x14ac:dyDescent="0.25">
      <c r="C72" s="12"/>
      <c r="D72" s="12"/>
      <c r="E72" s="12"/>
      <c r="F72" s="12"/>
      <c r="G72" s="12"/>
      <c r="H72" s="12"/>
      <c r="I72" s="12"/>
      <c r="J72" s="12"/>
    </row>
    <row r="73" spans="3:10" x14ac:dyDescent="0.25">
      <c r="C73" s="12"/>
      <c r="D73" s="12"/>
      <c r="E73" s="12"/>
      <c r="F73" s="12"/>
      <c r="G73" s="12"/>
      <c r="H73" s="12"/>
      <c r="I73" s="12"/>
      <c r="J73" s="12"/>
    </row>
    <row r="74" spans="3:10" x14ac:dyDescent="0.25">
      <c r="C74" s="12"/>
      <c r="D74" s="12"/>
      <c r="E74" s="12"/>
      <c r="F74" s="12"/>
      <c r="G74" s="12"/>
      <c r="H74" s="12"/>
      <c r="I74" s="12"/>
      <c r="J74" s="12"/>
    </row>
    <row r="75" spans="3:10" x14ac:dyDescent="0.25">
      <c r="C75" s="12"/>
      <c r="D75" s="12"/>
      <c r="E75" s="12"/>
      <c r="F75" s="12"/>
      <c r="G75" s="12"/>
      <c r="H75" s="12"/>
      <c r="I75" s="12"/>
      <c r="J75" s="12"/>
    </row>
    <row r="76" spans="3:10" x14ac:dyDescent="0.25">
      <c r="C76" s="12"/>
      <c r="D76" s="12"/>
      <c r="E76" s="12"/>
      <c r="F76" s="12"/>
      <c r="G76" s="12"/>
      <c r="H76" s="12"/>
      <c r="I76" s="12"/>
      <c r="J76" s="12"/>
    </row>
    <row r="77" spans="3:10" x14ac:dyDescent="0.25">
      <c r="C77" s="12"/>
      <c r="D77" s="12"/>
      <c r="E77" s="12"/>
      <c r="F77" s="12"/>
      <c r="G77" s="12"/>
      <c r="H77" s="12"/>
      <c r="I77" s="12"/>
      <c r="J77" s="12"/>
    </row>
    <row r="78" spans="3:10" x14ac:dyDescent="0.25">
      <c r="C78" s="12"/>
      <c r="D78" s="12"/>
      <c r="E78" s="12"/>
      <c r="F78" s="12"/>
      <c r="G78" s="12"/>
      <c r="H78" s="12"/>
      <c r="I78" s="12"/>
      <c r="J78" s="12"/>
    </row>
    <row r="79" spans="3:10" x14ac:dyDescent="0.25">
      <c r="C79" s="12"/>
      <c r="D79" s="12"/>
      <c r="E79" s="12"/>
      <c r="F79" s="12"/>
      <c r="G79" s="12"/>
      <c r="H79" s="12"/>
      <c r="I79" s="12"/>
      <c r="J79" s="12"/>
    </row>
    <row r="80" spans="3:10" x14ac:dyDescent="0.25">
      <c r="C80" s="12"/>
      <c r="D80" s="12"/>
      <c r="E80" s="12"/>
      <c r="F80" s="12"/>
      <c r="G80" s="12"/>
      <c r="H80" s="12"/>
      <c r="I80" s="12"/>
      <c r="J80" s="12"/>
    </row>
    <row r="81" spans="3:10" x14ac:dyDescent="0.25">
      <c r="C81" s="12"/>
      <c r="D81" s="12"/>
      <c r="E81" s="12"/>
      <c r="F81" s="12"/>
      <c r="G81" s="12"/>
      <c r="H81" s="12"/>
      <c r="I81" s="12"/>
      <c r="J81" s="12"/>
    </row>
    <row r="82" spans="3:10" x14ac:dyDescent="0.25">
      <c r="C82" s="12"/>
      <c r="D82" s="12"/>
      <c r="E82" s="12"/>
      <c r="F82" s="12"/>
      <c r="G82" s="12"/>
      <c r="H82" s="12"/>
      <c r="I82" s="12"/>
      <c r="J82" s="12"/>
    </row>
    <row r="83" spans="3:10" x14ac:dyDescent="0.25">
      <c r="C83" s="12"/>
      <c r="D83" s="12"/>
      <c r="E83" s="12"/>
      <c r="F83" s="12"/>
      <c r="G83" s="12"/>
      <c r="H83" s="12"/>
      <c r="I83" s="12"/>
      <c r="J83" s="12"/>
    </row>
    <row r="84" spans="3:10" x14ac:dyDescent="0.25">
      <c r="C84" s="12"/>
      <c r="D84" s="12"/>
      <c r="E84" s="12"/>
      <c r="F84" s="12"/>
      <c r="G84" s="12"/>
      <c r="H84" s="12"/>
      <c r="I84" s="12"/>
      <c r="J84" s="12"/>
    </row>
    <row r="85" spans="3:10" x14ac:dyDescent="0.25">
      <c r="C85" s="12"/>
      <c r="D85" s="12"/>
      <c r="E85" s="12"/>
      <c r="F85" s="12"/>
      <c r="G85" s="12"/>
      <c r="H85" s="12"/>
      <c r="I85" s="12"/>
      <c r="J85" s="12"/>
    </row>
    <row r="86" spans="3:10" x14ac:dyDescent="0.25">
      <c r="C86" s="12"/>
      <c r="D86" s="12"/>
      <c r="E86" s="12"/>
      <c r="F86" s="12"/>
      <c r="G86" s="12"/>
      <c r="H86" s="12"/>
      <c r="I86" s="12"/>
      <c r="J86" s="12"/>
    </row>
    <row r="87" spans="3:10" x14ac:dyDescent="0.25">
      <c r="C87" s="12"/>
      <c r="D87" s="12"/>
      <c r="E87" s="12"/>
      <c r="F87" s="12"/>
      <c r="G87" s="12"/>
      <c r="H87" s="12"/>
      <c r="I87" s="12"/>
      <c r="J87" s="12"/>
    </row>
    <row r="88" spans="3:10" x14ac:dyDescent="0.25">
      <c r="C88" s="12"/>
      <c r="D88" s="12"/>
      <c r="E88" s="12"/>
      <c r="F88" s="12"/>
      <c r="G88" s="12"/>
      <c r="H88" s="12"/>
      <c r="I88" s="12"/>
      <c r="J88" s="12"/>
    </row>
    <row r="89" spans="3:10" x14ac:dyDescent="0.25">
      <c r="C89" s="12"/>
      <c r="D89" s="12"/>
      <c r="E89" s="12"/>
      <c r="F89" s="12"/>
      <c r="G89" s="12"/>
      <c r="H89" s="12"/>
      <c r="I89" s="12"/>
      <c r="J89" s="12"/>
    </row>
    <row r="90" spans="3:10" x14ac:dyDescent="0.25">
      <c r="C90" s="12"/>
      <c r="D90" s="12"/>
      <c r="E90" s="12"/>
      <c r="F90" s="12"/>
      <c r="G90" s="12"/>
      <c r="H90" s="12"/>
      <c r="I90" s="12"/>
      <c r="J90" s="12"/>
    </row>
    <row r="91" spans="3:10" x14ac:dyDescent="0.25">
      <c r="C91" s="12"/>
      <c r="D91" s="12"/>
      <c r="E91" s="12"/>
      <c r="F91" s="12"/>
      <c r="G91" s="12"/>
      <c r="H91" s="12"/>
      <c r="I91" s="12"/>
      <c r="J91" s="12"/>
    </row>
    <row r="92" spans="3:10" x14ac:dyDescent="0.25">
      <c r="C92" s="12"/>
      <c r="D92" s="12"/>
      <c r="E92" s="12"/>
      <c r="F92" s="12"/>
      <c r="G92" s="12"/>
      <c r="H92" s="12"/>
      <c r="I92" s="12"/>
      <c r="J92" s="12"/>
    </row>
    <row r="93" spans="3:10" x14ac:dyDescent="0.25">
      <c r="C93" s="12"/>
      <c r="D93" s="12"/>
      <c r="E93" s="12"/>
      <c r="F93" s="12"/>
      <c r="G93" s="12"/>
      <c r="H93" s="12"/>
      <c r="I93" s="12"/>
      <c r="J93" s="12"/>
    </row>
    <row r="94" spans="3:10" x14ac:dyDescent="0.25">
      <c r="C94" s="12"/>
      <c r="D94" s="12"/>
      <c r="E94" s="12"/>
      <c r="F94" s="12"/>
      <c r="G94" s="12"/>
      <c r="H94" s="12"/>
      <c r="I94" s="12"/>
      <c r="J94" s="12"/>
    </row>
    <row r="95" spans="3:10" x14ac:dyDescent="0.25">
      <c r="C95" s="12"/>
      <c r="D95" s="12"/>
      <c r="E95" s="12"/>
      <c r="F95" s="12"/>
      <c r="G95" s="12"/>
      <c r="H95" s="12"/>
      <c r="I95" s="12"/>
      <c r="J95" s="12"/>
    </row>
    <row r="96" spans="3:10" x14ac:dyDescent="0.25">
      <c r="C96" s="12"/>
      <c r="D96" s="12"/>
      <c r="E96" s="12"/>
      <c r="F96" s="12"/>
      <c r="G96" s="12"/>
      <c r="H96" s="12"/>
      <c r="I96" s="12"/>
      <c r="J96" s="12"/>
    </row>
    <row r="97" spans="3:10" x14ac:dyDescent="0.25">
      <c r="C97" s="12"/>
      <c r="D97" s="12"/>
      <c r="E97" s="12"/>
      <c r="F97" s="12"/>
      <c r="G97" s="12"/>
      <c r="H97" s="12"/>
      <c r="I97" s="12"/>
      <c r="J97" s="12"/>
    </row>
    <row r="98" spans="3:10" x14ac:dyDescent="0.25">
      <c r="C98" s="12"/>
      <c r="D98" s="12"/>
      <c r="E98" s="12"/>
      <c r="F98" s="12"/>
      <c r="G98" s="12"/>
      <c r="H98" s="12"/>
      <c r="I98" s="12"/>
      <c r="J98" s="12"/>
    </row>
    <row r="99" spans="3:10" x14ac:dyDescent="0.25">
      <c r="C99" s="12"/>
      <c r="D99" s="12"/>
      <c r="E99" s="12"/>
      <c r="F99" s="12"/>
      <c r="G99" s="12"/>
      <c r="H99" s="12"/>
      <c r="I99" s="12"/>
      <c r="J99" s="12"/>
    </row>
    <row r="100" spans="3:10" x14ac:dyDescent="0.25">
      <c r="C100" s="12"/>
      <c r="D100" s="12"/>
      <c r="E100" s="12"/>
      <c r="F100" s="12"/>
      <c r="G100" s="12"/>
      <c r="H100" s="12"/>
      <c r="I100" s="12"/>
      <c r="J100" s="12"/>
    </row>
    <row r="101" spans="3:10" x14ac:dyDescent="0.25">
      <c r="C101" s="12"/>
      <c r="D101" s="12"/>
      <c r="E101" s="12"/>
      <c r="F101" s="12"/>
      <c r="G101" s="12"/>
      <c r="H101" s="12"/>
      <c r="I101" s="12"/>
      <c r="J101" s="12"/>
    </row>
    <row r="102" spans="3:10" x14ac:dyDescent="0.25">
      <c r="C102" s="12"/>
      <c r="D102" s="12"/>
      <c r="E102" s="12"/>
      <c r="F102" s="12"/>
      <c r="G102" s="12"/>
      <c r="H102" s="12"/>
      <c r="I102" s="12"/>
      <c r="J102" s="12"/>
    </row>
    <row r="103" spans="3:10" x14ac:dyDescent="0.25">
      <c r="C103" s="12"/>
      <c r="D103" s="12"/>
      <c r="E103" s="12"/>
      <c r="F103" s="12"/>
      <c r="G103" s="12"/>
      <c r="H103" s="12"/>
      <c r="I103" s="12"/>
      <c r="J103" s="12"/>
    </row>
    <row r="104" spans="3:10" x14ac:dyDescent="0.25">
      <c r="C104" s="12"/>
      <c r="D104" s="12"/>
      <c r="E104" s="12"/>
      <c r="F104" s="12"/>
      <c r="G104" s="12"/>
      <c r="H104" s="12"/>
      <c r="I104" s="12"/>
      <c r="J104" s="12"/>
    </row>
    <row r="105" spans="3:10" x14ac:dyDescent="0.25">
      <c r="C105" s="12"/>
      <c r="D105" s="12"/>
      <c r="E105" s="12"/>
      <c r="F105" s="12"/>
      <c r="G105" s="12"/>
      <c r="H105" s="12"/>
      <c r="I105" s="12"/>
      <c r="J105" s="12"/>
    </row>
    <row r="106" spans="3:10" x14ac:dyDescent="0.25">
      <c r="C106" s="12"/>
      <c r="D106" s="12"/>
      <c r="E106" s="12"/>
      <c r="F106" s="12"/>
      <c r="G106" s="12"/>
      <c r="H106" s="12"/>
      <c r="I106" s="12"/>
      <c r="J106" s="12"/>
    </row>
    <row r="107" spans="3:10" x14ac:dyDescent="0.25">
      <c r="C107" s="12"/>
      <c r="D107" s="12"/>
      <c r="E107" s="12"/>
      <c r="F107" s="12"/>
      <c r="G107" s="12"/>
      <c r="H107" s="12"/>
      <c r="I107" s="12"/>
      <c r="J107" s="12"/>
    </row>
    <row r="108" spans="3:10" x14ac:dyDescent="0.25">
      <c r="C108" s="12"/>
      <c r="D108" s="12"/>
      <c r="E108" s="12"/>
      <c r="F108" s="12"/>
      <c r="G108" s="12"/>
      <c r="H108" s="12"/>
      <c r="I108" s="12"/>
      <c r="J108" s="12"/>
    </row>
    <row r="109" spans="3:10" x14ac:dyDescent="0.25">
      <c r="C109" s="12"/>
      <c r="D109" s="12"/>
      <c r="E109" s="12"/>
      <c r="F109" s="12"/>
      <c r="G109" s="12"/>
      <c r="H109" s="12"/>
      <c r="I109" s="12"/>
      <c r="J109" s="12"/>
    </row>
    <row r="110" spans="3:10" x14ac:dyDescent="0.25">
      <c r="C110" s="12"/>
      <c r="D110" s="12"/>
      <c r="E110" s="12"/>
      <c r="F110" s="12"/>
      <c r="G110" s="12"/>
      <c r="H110" s="12"/>
      <c r="I110" s="12"/>
      <c r="J110" s="12"/>
    </row>
    <row r="111" spans="3:10" x14ac:dyDescent="0.25">
      <c r="C111" s="12"/>
      <c r="D111" s="12"/>
      <c r="E111" s="12"/>
      <c r="F111" s="12"/>
      <c r="G111" s="12"/>
      <c r="H111" s="12"/>
      <c r="I111" s="12"/>
      <c r="J111" s="12"/>
    </row>
    <row r="112" spans="3:10" x14ac:dyDescent="0.25">
      <c r="C112" s="12"/>
      <c r="D112" s="12"/>
      <c r="E112" s="12"/>
      <c r="F112" s="12"/>
      <c r="G112" s="12"/>
      <c r="H112" s="12"/>
      <c r="I112" s="12"/>
      <c r="J112" s="12"/>
    </row>
    <row r="113" spans="3:10" x14ac:dyDescent="0.25">
      <c r="C113" s="12"/>
      <c r="D113" s="12"/>
      <c r="E113" s="12"/>
      <c r="F113" s="12"/>
      <c r="G113" s="12"/>
      <c r="H113" s="12"/>
      <c r="I113" s="12"/>
      <c r="J113" s="12"/>
    </row>
    <row r="114" spans="3:10" x14ac:dyDescent="0.25">
      <c r="C114" s="12"/>
      <c r="D114" s="12"/>
      <c r="E114" s="12"/>
      <c r="F114" s="12"/>
      <c r="G114" s="12"/>
      <c r="H114" s="12"/>
      <c r="I114" s="12"/>
      <c r="J114" s="12"/>
    </row>
    <row r="115" spans="3:10" x14ac:dyDescent="0.25">
      <c r="C115" s="12"/>
      <c r="D115" s="12"/>
      <c r="E115" s="12"/>
      <c r="F115" s="12"/>
      <c r="G115" s="12"/>
      <c r="H115" s="12"/>
      <c r="I115" s="12"/>
      <c r="J115" s="12"/>
    </row>
    <row r="116" spans="3:10" x14ac:dyDescent="0.25">
      <c r="C116" s="12"/>
      <c r="D116" s="12"/>
      <c r="E116" s="12"/>
      <c r="F116" s="12"/>
      <c r="G116" s="12"/>
      <c r="H116" s="12"/>
      <c r="I116" s="12"/>
      <c r="J116" s="12"/>
    </row>
    <row r="117" spans="3:10" x14ac:dyDescent="0.25">
      <c r="C117" s="12"/>
      <c r="D117" s="12"/>
      <c r="E117" s="12"/>
      <c r="F117" s="12"/>
      <c r="G117" s="12"/>
      <c r="H117" s="12"/>
      <c r="I117" s="12"/>
      <c r="J117" s="12"/>
    </row>
    <row r="118" spans="3:10" x14ac:dyDescent="0.25">
      <c r="C118" s="12"/>
      <c r="D118" s="12"/>
      <c r="E118" s="12"/>
      <c r="F118" s="12"/>
      <c r="G118" s="12"/>
      <c r="H118" s="12"/>
      <c r="I118" s="12"/>
      <c r="J118" s="12"/>
    </row>
    <row r="119" spans="3:10" x14ac:dyDescent="0.25">
      <c r="C119" s="12"/>
      <c r="D119" s="12"/>
      <c r="E119" s="12"/>
      <c r="F119" s="12"/>
      <c r="G119" s="12"/>
      <c r="H119" s="12"/>
      <c r="I119" s="12"/>
      <c r="J119" s="12"/>
    </row>
    <row r="120" spans="3:10" x14ac:dyDescent="0.25">
      <c r="C120" s="12"/>
      <c r="D120" s="12"/>
      <c r="E120" s="12"/>
      <c r="F120" s="12"/>
      <c r="G120" s="12"/>
      <c r="H120" s="12"/>
      <c r="I120" s="12"/>
      <c r="J120" s="12"/>
    </row>
    <row r="121" spans="3:10" x14ac:dyDescent="0.25">
      <c r="C121" s="12"/>
      <c r="D121" s="12"/>
      <c r="E121" s="12"/>
      <c r="F121" s="12"/>
      <c r="G121" s="12"/>
      <c r="H121" s="12"/>
      <c r="I121" s="12"/>
      <c r="J121" s="12"/>
    </row>
    <row r="122" spans="3:10" x14ac:dyDescent="0.25">
      <c r="C122" s="12"/>
      <c r="D122" s="12"/>
      <c r="E122" s="12"/>
      <c r="F122" s="12"/>
      <c r="G122" s="12"/>
      <c r="H122" s="12"/>
      <c r="I122" s="12"/>
      <c r="J122" s="12"/>
    </row>
    <row r="123" spans="3:10" x14ac:dyDescent="0.25">
      <c r="C123" s="12"/>
      <c r="D123" s="12"/>
      <c r="E123" s="12"/>
      <c r="F123" s="12"/>
      <c r="G123" s="12"/>
      <c r="H123" s="12"/>
      <c r="I123" s="12"/>
      <c r="J123" s="12"/>
    </row>
    <row r="124" spans="3:10" x14ac:dyDescent="0.25">
      <c r="C124" s="12"/>
      <c r="D124" s="12"/>
      <c r="E124" s="12"/>
      <c r="F124" s="12"/>
      <c r="G124" s="12"/>
      <c r="H124" s="12"/>
      <c r="I124" s="12"/>
      <c r="J124" s="12"/>
    </row>
    <row r="125" spans="3:10" x14ac:dyDescent="0.25">
      <c r="C125" s="12"/>
      <c r="D125" s="12"/>
      <c r="E125" s="12"/>
      <c r="F125" s="12"/>
      <c r="G125" s="12"/>
      <c r="H125" s="12"/>
      <c r="I125" s="12"/>
      <c r="J125" s="12"/>
    </row>
    <row r="126" spans="3:10" x14ac:dyDescent="0.25">
      <c r="C126" s="12"/>
      <c r="D126" s="12"/>
      <c r="E126" s="12"/>
      <c r="F126" s="12"/>
      <c r="G126" s="12"/>
      <c r="H126" s="12"/>
      <c r="I126" s="12"/>
      <c r="J126" s="12"/>
    </row>
    <row r="127" spans="3:10" x14ac:dyDescent="0.25">
      <c r="C127" s="12"/>
      <c r="D127" s="12"/>
      <c r="E127" s="12"/>
      <c r="F127" s="12"/>
      <c r="G127" s="12"/>
      <c r="H127" s="12"/>
      <c r="I127" s="12"/>
      <c r="J127" s="12"/>
    </row>
    <row r="128" spans="3:10" x14ac:dyDescent="0.25">
      <c r="C128" s="12"/>
      <c r="D128" s="12"/>
      <c r="E128" s="12"/>
      <c r="F128" s="12"/>
      <c r="G128" s="12"/>
      <c r="H128" s="12"/>
      <c r="I128" s="12"/>
      <c r="J128" s="12"/>
    </row>
    <row r="129" spans="3:10" x14ac:dyDescent="0.25">
      <c r="C129" s="12"/>
      <c r="D129" s="12"/>
      <c r="E129" s="12"/>
      <c r="F129" s="12"/>
      <c r="G129" s="12"/>
      <c r="H129" s="12"/>
      <c r="I129" s="12"/>
      <c r="J129" s="12"/>
    </row>
    <row r="130" spans="3:10" x14ac:dyDescent="0.25">
      <c r="C130" s="12"/>
      <c r="D130" s="12"/>
      <c r="E130" s="12"/>
      <c r="F130" s="12"/>
      <c r="G130" s="12"/>
      <c r="H130" s="12"/>
      <c r="I130" s="12"/>
      <c r="J130" s="12"/>
    </row>
    <row r="131" spans="3:10" x14ac:dyDescent="0.25">
      <c r="C131" s="12"/>
      <c r="D131" s="12"/>
      <c r="E131" s="12"/>
      <c r="F131" s="12"/>
      <c r="G131" s="12"/>
      <c r="H131" s="12"/>
      <c r="I131" s="12"/>
      <c r="J131" s="12"/>
    </row>
    <row r="132" spans="3:10" x14ac:dyDescent="0.25">
      <c r="C132" s="12"/>
      <c r="D132" s="12"/>
      <c r="E132" s="12"/>
      <c r="F132" s="12"/>
      <c r="G132" s="12"/>
      <c r="H132" s="12"/>
      <c r="I132" s="12"/>
      <c r="J132" s="12"/>
    </row>
    <row r="133" spans="3:10" x14ac:dyDescent="0.25">
      <c r="C133" s="12"/>
      <c r="D133" s="12"/>
      <c r="E133" s="12"/>
      <c r="F133" s="12"/>
      <c r="G133" s="12"/>
      <c r="H133" s="12"/>
      <c r="I133" s="12"/>
      <c r="J133" s="12"/>
    </row>
    <row r="134" spans="3:10" x14ac:dyDescent="0.25">
      <c r="C134" s="12"/>
      <c r="D134" s="12"/>
      <c r="E134" s="12"/>
      <c r="F134" s="12"/>
      <c r="G134" s="12"/>
      <c r="H134" s="12"/>
      <c r="I134" s="12"/>
      <c r="J134" s="12"/>
    </row>
    <row r="135" spans="3:10" x14ac:dyDescent="0.25">
      <c r="C135" s="12"/>
      <c r="D135" s="12"/>
      <c r="E135" s="12"/>
      <c r="F135" s="12"/>
      <c r="G135" s="12"/>
      <c r="H135" s="12"/>
      <c r="I135" s="12"/>
      <c r="J135" s="12"/>
    </row>
    <row r="136" spans="3:10" x14ac:dyDescent="0.25">
      <c r="C136" s="12"/>
      <c r="D136" s="12"/>
      <c r="E136" s="12"/>
      <c r="F136" s="12"/>
      <c r="G136" s="12"/>
      <c r="H136" s="12"/>
      <c r="I136" s="12"/>
      <c r="J136" s="12"/>
    </row>
    <row r="137" spans="3:10" x14ac:dyDescent="0.25">
      <c r="C137" s="12"/>
      <c r="D137" s="12"/>
      <c r="E137" s="12"/>
      <c r="F137" s="12"/>
      <c r="G137" s="12"/>
      <c r="H137" s="12"/>
      <c r="I137" s="12"/>
      <c r="J137" s="12"/>
    </row>
    <row r="138" spans="3:10" x14ac:dyDescent="0.25">
      <c r="C138" s="12"/>
      <c r="D138" s="12"/>
      <c r="E138" s="12"/>
      <c r="F138" s="12"/>
      <c r="G138" s="12"/>
      <c r="H138" s="12"/>
      <c r="I138" s="12"/>
      <c r="J138" s="12"/>
    </row>
    <row r="139" spans="3:10" x14ac:dyDescent="0.25">
      <c r="C139" s="12"/>
      <c r="D139" s="12"/>
      <c r="E139" s="12"/>
      <c r="F139" s="12"/>
      <c r="G139" s="12"/>
      <c r="H139" s="12"/>
      <c r="I139" s="12"/>
      <c r="J139" s="12"/>
    </row>
    <row r="140" spans="3:10" x14ac:dyDescent="0.25">
      <c r="C140" s="12"/>
      <c r="D140" s="12"/>
      <c r="E140" s="12"/>
      <c r="F140" s="12"/>
      <c r="G140" s="12"/>
      <c r="H140" s="12"/>
      <c r="I140" s="12"/>
      <c r="J140" s="12"/>
    </row>
    <row r="141" spans="3:10" x14ac:dyDescent="0.25">
      <c r="C141" s="12"/>
      <c r="D141" s="12"/>
      <c r="E141" s="12"/>
      <c r="F141" s="12"/>
      <c r="G141" s="12"/>
      <c r="H141" s="12"/>
      <c r="I141" s="12"/>
      <c r="J141" s="12"/>
    </row>
    <row r="142" spans="3:10" x14ac:dyDescent="0.25">
      <c r="C142" s="12"/>
      <c r="D142" s="12"/>
      <c r="E142" s="12"/>
      <c r="F142" s="12"/>
      <c r="G142" s="12"/>
      <c r="H142" s="12"/>
      <c r="I142" s="12"/>
      <c r="J142" s="12"/>
    </row>
    <row r="143" spans="3:10" x14ac:dyDescent="0.25">
      <c r="C143" s="12"/>
      <c r="D143" s="12"/>
      <c r="E143" s="12"/>
      <c r="F143" s="12"/>
      <c r="G143" s="12"/>
      <c r="H143" s="12"/>
      <c r="I143" s="12"/>
      <c r="J143" s="12"/>
    </row>
    <row r="144" spans="3:10" x14ac:dyDescent="0.25">
      <c r="C144" s="12"/>
      <c r="D144" s="12"/>
      <c r="E144" s="12"/>
      <c r="F144" s="12"/>
      <c r="G144" s="12"/>
      <c r="H144" s="12"/>
      <c r="I144" s="12"/>
      <c r="J144" s="12"/>
    </row>
    <row r="145" spans="3:10" x14ac:dyDescent="0.25">
      <c r="C145" s="12"/>
      <c r="D145" s="12"/>
      <c r="E145" s="12"/>
      <c r="F145" s="12"/>
      <c r="G145" s="12"/>
      <c r="H145" s="12"/>
      <c r="I145" s="12"/>
      <c r="J145" s="12"/>
    </row>
    <row r="146" spans="3:10" x14ac:dyDescent="0.25">
      <c r="C146" s="12"/>
      <c r="D146" s="12"/>
      <c r="E146" s="12"/>
      <c r="F146" s="12"/>
      <c r="G146" s="12"/>
      <c r="H146" s="12"/>
      <c r="I146" s="12"/>
      <c r="J146" s="12"/>
    </row>
    <row r="147" spans="3:10" x14ac:dyDescent="0.25">
      <c r="C147" s="12"/>
      <c r="D147" s="12"/>
      <c r="E147" s="12"/>
      <c r="F147" s="12"/>
      <c r="G147" s="12"/>
      <c r="H147" s="12"/>
      <c r="I147" s="12"/>
      <c r="J147" s="12"/>
    </row>
    <row r="148" spans="3:10" x14ac:dyDescent="0.25">
      <c r="C148" s="12"/>
      <c r="D148" s="12"/>
      <c r="E148" s="12"/>
      <c r="F148" s="12"/>
      <c r="G148" s="12"/>
      <c r="H148" s="12"/>
      <c r="I148" s="12"/>
      <c r="J148" s="12"/>
    </row>
    <row r="149" spans="3:10" x14ac:dyDescent="0.25">
      <c r="C149" s="12"/>
      <c r="D149" s="12"/>
      <c r="E149" s="12"/>
      <c r="F149" s="12"/>
      <c r="G149" s="12"/>
      <c r="H149" s="12"/>
      <c r="I149" s="12"/>
      <c r="J149" s="12"/>
    </row>
    <row r="150" spans="3:10" x14ac:dyDescent="0.25">
      <c r="C150" s="12"/>
      <c r="D150" s="12"/>
      <c r="E150" s="12"/>
      <c r="F150" s="12"/>
      <c r="G150" s="12"/>
      <c r="H150" s="12"/>
      <c r="I150" s="12"/>
      <c r="J150" s="12"/>
    </row>
    <row r="151" spans="3:10" x14ac:dyDescent="0.25">
      <c r="C151" s="12"/>
      <c r="D151" s="12"/>
      <c r="E151" s="12"/>
      <c r="F151" s="12"/>
      <c r="G151" s="12"/>
      <c r="H151" s="12"/>
      <c r="I151" s="12"/>
      <c r="J151" s="12"/>
    </row>
    <row r="152" spans="3:10" x14ac:dyDescent="0.25">
      <c r="C152" s="12"/>
      <c r="D152" s="12"/>
      <c r="E152" s="12"/>
      <c r="F152" s="12"/>
      <c r="G152" s="12"/>
      <c r="H152" s="12"/>
      <c r="I152" s="12"/>
      <c r="J152" s="12"/>
    </row>
    <row r="153" spans="3:10" x14ac:dyDescent="0.25">
      <c r="C153" s="12"/>
      <c r="D153" s="12"/>
      <c r="E153" s="12"/>
      <c r="F153" s="12"/>
      <c r="G153" s="12"/>
      <c r="H153" s="12"/>
      <c r="I153" s="12"/>
      <c r="J153" s="12"/>
    </row>
    <row r="154" spans="3:10" x14ac:dyDescent="0.25">
      <c r="C154" s="12"/>
      <c r="D154" s="12"/>
      <c r="E154" s="12"/>
      <c r="F154" s="12"/>
      <c r="G154" s="12"/>
      <c r="H154" s="12"/>
      <c r="I154" s="12"/>
      <c r="J154" s="12"/>
    </row>
    <row r="155" spans="3:10" x14ac:dyDescent="0.25">
      <c r="C155" s="12"/>
      <c r="D155" s="12"/>
      <c r="E155" s="12"/>
      <c r="F155" s="12"/>
      <c r="G155" s="12"/>
      <c r="H155" s="12"/>
      <c r="I155" s="12"/>
      <c r="J155" s="12"/>
    </row>
    <row r="156" spans="3:10" x14ac:dyDescent="0.25">
      <c r="C156" s="12"/>
      <c r="D156" s="12"/>
      <c r="E156" s="12"/>
      <c r="F156" s="12"/>
      <c r="G156" s="12"/>
      <c r="H156" s="12"/>
      <c r="I156" s="12"/>
      <c r="J156" s="12"/>
    </row>
    <row r="157" spans="3:10" x14ac:dyDescent="0.25">
      <c r="C157" s="12"/>
      <c r="D157" s="12"/>
      <c r="E157" s="12"/>
      <c r="F157" s="12"/>
      <c r="G157" s="12"/>
      <c r="H157" s="12"/>
      <c r="I157" s="12"/>
      <c r="J157" s="12"/>
    </row>
    <row r="158" spans="3:10" x14ac:dyDescent="0.25">
      <c r="C158" s="12"/>
      <c r="D158" s="12"/>
      <c r="E158" s="12"/>
      <c r="F158" s="12"/>
      <c r="G158" s="12"/>
      <c r="H158" s="12"/>
      <c r="I158" s="12"/>
      <c r="J158" s="12"/>
    </row>
    <row r="159" spans="3:10" x14ac:dyDescent="0.25">
      <c r="C159" s="12"/>
      <c r="D159" s="12"/>
      <c r="E159" s="12"/>
      <c r="F159" s="12"/>
      <c r="G159" s="12"/>
      <c r="H159" s="12"/>
      <c r="I159" s="12"/>
      <c r="J159" s="12"/>
    </row>
    <row r="160" spans="3:10" x14ac:dyDescent="0.25">
      <c r="C160" s="12"/>
      <c r="D160" s="12"/>
      <c r="E160" s="12"/>
      <c r="F160" s="12"/>
      <c r="G160" s="12"/>
      <c r="H160" s="12"/>
      <c r="I160" s="12"/>
      <c r="J160" s="12"/>
    </row>
    <row r="161" spans="3:10" x14ac:dyDescent="0.25">
      <c r="C161" s="12"/>
      <c r="D161" s="12"/>
      <c r="E161" s="12"/>
      <c r="F161" s="12"/>
      <c r="G161" s="12"/>
      <c r="H161" s="12"/>
      <c r="I161" s="12"/>
      <c r="J161" s="12"/>
    </row>
    <row r="162" spans="3:10" x14ac:dyDescent="0.25">
      <c r="C162" s="12"/>
      <c r="D162" s="12"/>
      <c r="E162" s="12"/>
      <c r="F162" s="12"/>
      <c r="G162" s="12"/>
      <c r="H162" s="12"/>
      <c r="I162" s="12"/>
      <c r="J162" s="12"/>
    </row>
    <row r="163" spans="3:10" x14ac:dyDescent="0.25">
      <c r="C163" s="12"/>
      <c r="D163" s="12"/>
      <c r="E163" s="12"/>
      <c r="F163" s="12"/>
      <c r="G163" s="12"/>
      <c r="H163" s="12"/>
      <c r="I163" s="12"/>
      <c r="J163" s="12"/>
    </row>
    <row r="164" spans="3:10" x14ac:dyDescent="0.25">
      <c r="C164" s="12"/>
      <c r="D164" s="12"/>
      <c r="E164" s="12"/>
      <c r="F164" s="12"/>
      <c r="G164" s="12"/>
      <c r="H164" s="12"/>
      <c r="I164" s="12"/>
      <c r="J164" s="12"/>
    </row>
    <row r="165" spans="3:10" x14ac:dyDescent="0.25">
      <c r="C165" s="12"/>
      <c r="D165" s="12"/>
      <c r="E165" s="12"/>
      <c r="F165" s="12"/>
      <c r="G165" s="12"/>
      <c r="H165" s="12"/>
      <c r="I165" s="12"/>
      <c r="J165" s="12"/>
    </row>
    <row r="166" spans="3:10" x14ac:dyDescent="0.25">
      <c r="C166" s="12"/>
      <c r="D166" s="12"/>
      <c r="E166" s="12"/>
      <c r="F166" s="12"/>
      <c r="G166" s="12"/>
      <c r="H166" s="12"/>
      <c r="I166" s="12"/>
      <c r="J166" s="12"/>
    </row>
    <row r="167" spans="3:10" x14ac:dyDescent="0.25">
      <c r="C167" s="12"/>
      <c r="D167" s="12"/>
      <c r="E167" s="12"/>
      <c r="F167" s="12"/>
      <c r="G167" s="12"/>
      <c r="H167" s="12"/>
      <c r="I167" s="12"/>
      <c r="J167" s="12"/>
    </row>
    <row r="168" spans="3:10" x14ac:dyDescent="0.25">
      <c r="C168" s="12"/>
      <c r="D168" s="12"/>
      <c r="E168" s="12"/>
      <c r="F168" s="12"/>
      <c r="G168" s="12"/>
      <c r="H168" s="12"/>
      <c r="I168" s="12"/>
      <c r="J168" s="12"/>
    </row>
    <row r="169" spans="3:10" x14ac:dyDescent="0.25">
      <c r="C169" s="12"/>
      <c r="D169" s="12"/>
      <c r="E169" s="12"/>
      <c r="F169" s="12"/>
      <c r="G169" s="12"/>
      <c r="H169" s="12"/>
      <c r="I169" s="12"/>
      <c r="J169" s="12"/>
    </row>
    <row r="170" spans="3:10" x14ac:dyDescent="0.25">
      <c r="C170" s="12"/>
      <c r="D170" s="12"/>
      <c r="E170" s="12"/>
      <c r="F170" s="12"/>
      <c r="G170" s="12"/>
      <c r="H170" s="12"/>
      <c r="I170" s="12"/>
      <c r="J170" s="12"/>
    </row>
    <row r="171" spans="3:10" x14ac:dyDescent="0.25">
      <c r="C171" s="12"/>
      <c r="D171" s="12"/>
      <c r="E171" s="12"/>
      <c r="F171" s="12"/>
      <c r="G171" s="12"/>
      <c r="H171" s="12"/>
      <c r="I171" s="12"/>
      <c r="J171" s="12"/>
    </row>
    <row r="172" spans="3:10" x14ac:dyDescent="0.25">
      <c r="C172" s="12"/>
      <c r="D172" s="12"/>
      <c r="E172" s="12"/>
      <c r="F172" s="12"/>
      <c r="G172" s="12"/>
      <c r="H172" s="12"/>
      <c r="I172" s="12"/>
      <c r="J172" s="12"/>
    </row>
    <row r="173" spans="3:10" x14ac:dyDescent="0.25">
      <c r="C173" s="12"/>
      <c r="D173" s="12"/>
      <c r="E173" s="12"/>
      <c r="F173" s="12"/>
      <c r="G173" s="12"/>
      <c r="H173" s="12"/>
      <c r="I173" s="12"/>
      <c r="J173" s="12"/>
    </row>
    <row r="174" spans="3:10" x14ac:dyDescent="0.25">
      <c r="C174" s="12"/>
      <c r="D174" s="12"/>
      <c r="E174" s="12"/>
      <c r="F174" s="12"/>
      <c r="G174" s="12"/>
      <c r="H174" s="12"/>
      <c r="I174" s="12"/>
      <c r="J174" s="12"/>
    </row>
    <row r="175" spans="3:10" x14ac:dyDescent="0.25">
      <c r="C175" s="12"/>
      <c r="D175" s="12"/>
      <c r="E175" s="12"/>
      <c r="F175" s="12"/>
      <c r="G175" s="12"/>
      <c r="H175" s="12"/>
      <c r="I175" s="12"/>
      <c r="J175" s="12"/>
    </row>
    <row r="176" spans="3:10" x14ac:dyDescent="0.25">
      <c r="C176" s="12"/>
      <c r="D176" s="12"/>
      <c r="E176" s="12"/>
      <c r="F176" s="12"/>
      <c r="G176" s="12"/>
      <c r="H176" s="12"/>
      <c r="I176" s="12"/>
      <c r="J176" s="12"/>
    </row>
    <row r="177" spans="3:10" x14ac:dyDescent="0.25">
      <c r="C177" s="12"/>
      <c r="D177" s="12"/>
      <c r="E177" s="12"/>
      <c r="F177" s="12"/>
      <c r="G177" s="12"/>
      <c r="H177" s="12"/>
      <c r="I177" s="12"/>
      <c r="J177" s="12"/>
    </row>
    <row r="178" spans="3:10" x14ac:dyDescent="0.25">
      <c r="C178" s="12"/>
      <c r="D178" s="12"/>
      <c r="E178" s="12"/>
      <c r="F178" s="12"/>
      <c r="G178" s="12"/>
      <c r="H178" s="12"/>
      <c r="I178" s="12"/>
      <c r="J178" s="12"/>
    </row>
    <row r="179" spans="3:10" x14ac:dyDescent="0.25">
      <c r="C179" s="12"/>
      <c r="D179" s="12"/>
      <c r="E179" s="12"/>
      <c r="F179" s="12"/>
      <c r="G179" s="12"/>
      <c r="H179" s="12"/>
      <c r="I179" s="12"/>
      <c r="J179" s="12"/>
    </row>
    <row r="180" spans="3:10" x14ac:dyDescent="0.25">
      <c r="C180" s="12"/>
      <c r="D180" s="12"/>
      <c r="E180" s="12"/>
      <c r="F180" s="12"/>
      <c r="G180" s="12"/>
      <c r="H180" s="12"/>
      <c r="I180" s="12"/>
      <c r="J180" s="12"/>
    </row>
    <row r="181" spans="3:10" x14ac:dyDescent="0.25">
      <c r="C181" s="12"/>
      <c r="D181" s="12"/>
      <c r="E181" s="12"/>
      <c r="F181" s="12"/>
      <c r="G181" s="12"/>
      <c r="H181" s="12"/>
      <c r="I181" s="12"/>
      <c r="J181" s="12"/>
    </row>
    <row r="182" spans="3:10" x14ac:dyDescent="0.25">
      <c r="C182" s="12"/>
      <c r="D182" s="12"/>
      <c r="E182" s="12"/>
      <c r="F182" s="12"/>
      <c r="G182" s="12"/>
      <c r="H182" s="12"/>
      <c r="I182" s="12"/>
      <c r="J182" s="12"/>
    </row>
    <row r="183" spans="3:10" x14ac:dyDescent="0.25">
      <c r="C183" s="12"/>
      <c r="D183" s="12"/>
      <c r="E183" s="12"/>
      <c r="F183" s="12"/>
      <c r="G183" s="12"/>
      <c r="H183" s="12"/>
      <c r="I183" s="12"/>
      <c r="J183" s="12"/>
    </row>
    <row r="184" spans="3:10" x14ac:dyDescent="0.25">
      <c r="C184" s="12"/>
      <c r="D184" s="12"/>
      <c r="E184" s="12"/>
      <c r="F184" s="12"/>
      <c r="G184" s="12"/>
      <c r="H184" s="12"/>
      <c r="I184" s="12"/>
      <c r="J184" s="12"/>
    </row>
    <row r="185" spans="3:10" x14ac:dyDescent="0.25">
      <c r="C185" s="12"/>
      <c r="D185" s="12"/>
      <c r="E185" s="12"/>
      <c r="F185" s="12"/>
      <c r="G185" s="12"/>
      <c r="H185" s="12"/>
      <c r="I185" s="12"/>
      <c r="J185" s="12"/>
    </row>
    <row r="186" spans="3:10" x14ac:dyDescent="0.25">
      <c r="C186" s="12"/>
      <c r="D186" s="12"/>
      <c r="E186" s="12"/>
      <c r="F186" s="12"/>
      <c r="G186" s="12"/>
      <c r="H186" s="12"/>
      <c r="I186" s="12"/>
      <c r="J186" s="12"/>
    </row>
    <row r="187" spans="3:10" x14ac:dyDescent="0.25">
      <c r="C187" s="12"/>
      <c r="D187" s="12"/>
      <c r="E187" s="12"/>
      <c r="F187" s="12"/>
      <c r="G187" s="12"/>
      <c r="H187" s="12"/>
      <c r="I187" s="12"/>
      <c r="J187" s="12"/>
    </row>
    <row r="188" spans="3:10" x14ac:dyDescent="0.25">
      <c r="C188" s="12"/>
      <c r="D188" s="12"/>
      <c r="E188" s="12"/>
      <c r="F188" s="12"/>
      <c r="G188" s="12"/>
      <c r="H188" s="12"/>
      <c r="I188" s="12"/>
      <c r="J188" s="12"/>
    </row>
    <row r="189" spans="3:10" x14ac:dyDescent="0.25">
      <c r="C189" s="12"/>
      <c r="D189" s="12"/>
      <c r="E189" s="12"/>
      <c r="F189" s="12"/>
      <c r="G189" s="12"/>
      <c r="H189" s="12"/>
      <c r="I189" s="12"/>
      <c r="J189" s="12"/>
    </row>
    <row r="190" spans="3:10" x14ac:dyDescent="0.25">
      <c r="C190" s="12"/>
      <c r="D190" s="12"/>
      <c r="E190" s="12"/>
      <c r="F190" s="12"/>
      <c r="G190" s="12"/>
      <c r="H190" s="12"/>
      <c r="I190" s="12"/>
      <c r="J190" s="12"/>
    </row>
    <row r="191" spans="3:10" x14ac:dyDescent="0.25">
      <c r="C191" s="12"/>
      <c r="D191" s="12"/>
      <c r="E191" s="12"/>
      <c r="F191" s="12"/>
      <c r="G191" s="12"/>
      <c r="H191" s="12"/>
      <c r="I191" s="12"/>
      <c r="J191" s="12"/>
    </row>
    <row r="192" spans="3:10" x14ac:dyDescent="0.25">
      <c r="C192" s="12"/>
      <c r="D192" s="12"/>
      <c r="E192" s="12"/>
      <c r="F192" s="12"/>
      <c r="G192" s="12"/>
      <c r="H192" s="12"/>
      <c r="I192" s="12"/>
      <c r="J192" s="12"/>
    </row>
    <row r="193" spans="3:10" x14ac:dyDescent="0.25">
      <c r="C193" s="12"/>
      <c r="D193" s="12"/>
      <c r="E193" s="12"/>
      <c r="F193" s="12"/>
      <c r="G193" s="12"/>
      <c r="H193" s="12"/>
      <c r="I193" s="12"/>
      <c r="J193" s="12"/>
    </row>
    <row r="194" spans="3:10" x14ac:dyDescent="0.25">
      <c r="C194" s="12"/>
      <c r="D194" s="12"/>
      <c r="E194" s="12"/>
      <c r="F194" s="12"/>
      <c r="G194" s="12"/>
      <c r="H194" s="12"/>
      <c r="I194" s="12"/>
      <c r="J194" s="12"/>
    </row>
    <row r="195" spans="3:10" x14ac:dyDescent="0.25">
      <c r="C195" s="12"/>
      <c r="D195" s="12"/>
      <c r="E195" s="12"/>
      <c r="F195" s="12"/>
      <c r="G195" s="12"/>
      <c r="H195" s="12"/>
      <c r="I195" s="12"/>
      <c r="J195" s="12"/>
    </row>
    <row r="196" spans="3:10" x14ac:dyDescent="0.25">
      <c r="C196" s="12"/>
      <c r="D196" s="12"/>
      <c r="E196" s="12"/>
      <c r="F196" s="12"/>
      <c r="G196" s="12"/>
      <c r="H196" s="12"/>
      <c r="I196" s="12"/>
      <c r="J196" s="12"/>
    </row>
    <row r="197" spans="3:10" x14ac:dyDescent="0.25">
      <c r="C197" s="12"/>
      <c r="D197" s="12"/>
      <c r="E197" s="12"/>
      <c r="F197" s="12"/>
      <c r="G197" s="12"/>
      <c r="H197" s="12"/>
      <c r="I197" s="12"/>
      <c r="J197" s="12"/>
    </row>
    <row r="198" spans="3:10" x14ac:dyDescent="0.25">
      <c r="C198" s="12"/>
      <c r="D198" s="12"/>
      <c r="E198" s="12"/>
      <c r="F198" s="12"/>
      <c r="G198" s="12"/>
      <c r="H198" s="12"/>
      <c r="I198" s="12"/>
      <c r="J198" s="12"/>
    </row>
    <row r="199" spans="3:10" x14ac:dyDescent="0.25">
      <c r="C199" s="12"/>
      <c r="D199" s="12"/>
      <c r="E199" s="12"/>
      <c r="F199" s="12"/>
      <c r="G199" s="12"/>
      <c r="H199" s="12"/>
      <c r="I199" s="12"/>
      <c r="J199" s="12"/>
    </row>
    <row r="200" spans="3:10" x14ac:dyDescent="0.25">
      <c r="C200" s="12"/>
      <c r="D200" s="12"/>
      <c r="E200" s="12"/>
      <c r="F200" s="12"/>
      <c r="G200" s="12"/>
      <c r="H200" s="12"/>
      <c r="I200" s="12"/>
      <c r="J200" s="12"/>
    </row>
    <row r="201" spans="3:10" x14ac:dyDescent="0.25">
      <c r="C201" s="12"/>
      <c r="D201" s="12"/>
      <c r="E201" s="12"/>
      <c r="F201" s="12"/>
      <c r="G201" s="12"/>
      <c r="H201" s="12"/>
      <c r="I201" s="12"/>
      <c r="J201" s="12"/>
    </row>
    <row r="202" spans="3:10" x14ac:dyDescent="0.25">
      <c r="C202" s="12"/>
      <c r="D202" s="12"/>
      <c r="E202" s="12"/>
      <c r="F202" s="12"/>
      <c r="G202" s="12"/>
      <c r="H202" s="12"/>
      <c r="I202" s="12"/>
      <c r="J202" s="12"/>
    </row>
    <row r="203" spans="3:10" x14ac:dyDescent="0.25">
      <c r="C203" s="12"/>
      <c r="D203" s="12"/>
      <c r="E203" s="12"/>
      <c r="F203" s="12"/>
      <c r="G203" s="12"/>
      <c r="H203" s="12"/>
      <c r="I203" s="12"/>
      <c r="J203" s="12"/>
    </row>
    <row r="204" spans="3:10" x14ac:dyDescent="0.25">
      <c r="C204" s="12"/>
      <c r="D204" s="12"/>
      <c r="E204" s="12"/>
      <c r="F204" s="12"/>
      <c r="G204" s="12"/>
      <c r="H204" s="12"/>
      <c r="I204" s="12"/>
      <c r="J204" s="12"/>
    </row>
    <row r="205" spans="3:10" x14ac:dyDescent="0.25">
      <c r="C205" s="12"/>
      <c r="D205" s="12"/>
      <c r="E205" s="12"/>
      <c r="F205" s="12"/>
      <c r="G205" s="12"/>
      <c r="H205" s="12"/>
      <c r="I205" s="12"/>
      <c r="J205" s="12"/>
    </row>
    <row r="206" spans="3:10" x14ac:dyDescent="0.25">
      <c r="C206" s="12"/>
      <c r="D206" s="12"/>
      <c r="E206" s="12"/>
      <c r="F206" s="12"/>
      <c r="G206" s="12"/>
      <c r="H206" s="12"/>
      <c r="I206" s="12"/>
      <c r="J206" s="12"/>
    </row>
    <row r="207" spans="3:10" x14ac:dyDescent="0.25">
      <c r="C207" s="12"/>
      <c r="D207" s="12"/>
      <c r="E207" s="12"/>
      <c r="F207" s="12"/>
      <c r="G207" s="12"/>
      <c r="H207" s="12"/>
      <c r="I207" s="12"/>
      <c r="J207" s="12"/>
    </row>
    <row r="208" spans="3:10" x14ac:dyDescent="0.25">
      <c r="C208" s="12"/>
      <c r="D208" s="12"/>
      <c r="E208" s="12"/>
      <c r="F208" s="12"/>
      <c r="G208" s="12"/>
      <c r="H208" s="12"/>
      <c r="I208" s="12"/>
      <c r="J208" s="12"/>
    </row>
    <row r="209" spans="3:10" x14ac:dyDescent="0.25">
      <c r="C209" s="12"/>
      <c r="D209" s="12"/>
      <c r="E209" s="12"/>
      <c r="F209" s="12"/>
      <c r="G209" s="12"/>
      <c r="H209" s="12"/>
      <c r="I209" s="12"/>
      <c r="J209" s="12"/>
    </row>
    <row r="210" spans="3:10" x14ac:dyDescent="0.25">
      <c r="C210" s="12"/>
      <c r="D210" s="12"/>
      <c r="E210" s="12"/>
      <c r="F210" s="12"/>
      <c r="G210" s="12"/>
      <c r="H210" s="12"/>
      <c r="I210" s="12"/>
      <c r="J210" s="12"/>
    </row>
    <row r="211" spans="3:10" x14ac:dyDescent="0.25">
      <c r="C211" s="12"/>
      <c r="D211" s="12"/>
      <c r="E211" s="12"/>
      <c r="F211" s="12"/>
      <c r="G211" s="12"/>
      <c r="H211" s="12"/>
      <c r="I211" s="12"/>
      <c r="J211" s="12"/>
    </row>
    <row r="212" spans="3:10" x14ac:dyDescent="0.25">
      <c r="C212" s="12"/>
      <c r="D212" s="12"/>
      <c r="E212" s="12"/>
      <c r="F212" s="12"/>
      <c r="G212" s="12"/>
      <c r="H212" s="12"/>
      <c r="I212" s="12"/>
      <c r="J212" s="12"/>
    </row>
    <row r="213" spans="3:10" x14ac:dyDescent="0.25">
      <c r="C213" s="12"/>
      <c r="D213" s="12"/>
      <c r="E213" s="12"/>
      <c r="F213" s="12"/>
      <c r="G213" s="12"/>
      <c r="H213" s="12"/>
      <c r="I213" s="12"/>
      <c r="J213" s="12"/>
    </row>
    <row r="214" spans="3:10" x14ac:dyDescent="0.25">
      <c r="C214" s="12"/>
      <c r="D214" s="12"/>
      <c r="E214" s="12"/>
      <c r="F214" s="12"/>
      <c r="G214" s="12"/>
      <c r="H214" s="12"/>
      <c r="I214" s="12"/>
      <c r="J214" s="12"/>
    </row>
    <row r="215" spans="3:10" x14ac:dyDescent="0.25">
      <c r="C215" s="12"/>
      <c r="D215" s="12"/>
      <c r="E215" s="12"/>
      <c r="F215" s="12"/>
      <c r="G215" s="12"/>
      <c r="H215" s="12"/>
      <c r="I215" s="12"/>
      <c r="J215" s="12"/>
    </row>
    <row r="216" spans="3:10" x14ac:dyDescent="0.25">
      <c r="C216" s="12"/>
      <c r="D216" s="12"/>
      <c r="E216" s="12"/>
      <c r="F216" s="12"/>
      <c r="G216" s="12"/>
      <c r="H216" s="12"/>
      <c r="I216" s="12"/>
      <c r="J216" s="12"/>
    </row>
    <row r="217" spans="3:10" x14ac:dyDescent="0.25">
      <c r="C217" s="12"/>
      <c r="D217" s="12"/>
      <c r="E217" s="12"/>
      <c r="F217" s="12"/>
      <c r="G217" s="12"/>
      <c r="H217" s="12"/>
      <c r="I217" s="12"/>
      <c r="J217" s="12"/>
    </row>
    <row r="218" spans="3:10" x14ac:dyDescent="0.25">
      <c r="C218" s="12"/>
      <c r="D218" s="12"/>
      <c r="E218" s="12"/>
      <c r="F218" s="12"/>
      <c r="G218" s="12"/>
      <c r="H218" s="12"/>
      <c r="I218" s="12"/>
      <c r="J218" s="12"/>
    </row>
    <row r="219" spans="3:10" x14ac:dyDescent="0.25">
      <c r="C219" s="12"/>
      <c r="D219" s="12"/>
      <c r="E219" s="12"/>
      <c r="F219" s="12"/>
      <c r="G219" s="12"/>
      <c r="H219" s="12"/>
      <c r="I219" s="12"/>
      <c r="J219" s="12"/>
    </row>
    <row r="220" spans="3:10" x14ac:dyDescent="0.25">
      <c r="C220" s="12"/>
      <c r="D220" s="12"/>
      <c r="E220" s="12"/>
      <c r="F220" s="12"/>
      <c r="G220" s="12"/>
      <c r="H220" s="12"/>
      <c r="I220" s="12"/>
      <c r="J220" s="12"/>
    </row>
    <row r="221" spans="3:10" x14ac:dyDescent="0.25">
      <c r="C221" s="12"/>
      <c r="D221" s="12"/>
      <c r="E221" s="12"/>
      <c r="F221" s="12"/>
      <c r="G221" s="12"/>
      <c r="H221" s="12"/>
      <c r="I221" s="12"/>
      <c r="J221" s="12"/>
    </row>
    <row r="222" spans="3:10" x14ac:dyDescent="0.25">
      <c r="C222" s="12"/>
      <c r="D222" s="12"/>
      <c r="E222" s="12"/>
      <c r="F222" s="12"/>
      <c r="G222" s="12"/>
      <c r="H222" s="12"/>
      <c r="I222" s="12"/>
      <c r="J222" s="12"/>
    </row>
    <row r="223" spans="3:10" x14ac:dyDescent="0.25">
      <c r="C223" s="12"/>
      <c r="D223" s="12"/>
      <c r="E223" s="12"/>
      <c r="F223" s="12"/>
      <c r="G223" s="12"/>
      <c r="H223" s="12"/>
      <c r="I223" s="12"/>
      <c r="J223" s="12"/>
    </row>
    <row r="224" spans="3:10" x14ac:dyDescent="0.25">
      <c r="C224" s="12"/>
      <c r="D224" s="12"/>
      <c r="E224" s="12"/>
      <c r="F224" s="12"/>
      <c r="G224" s="12"/>
      <c r="H224" s="12"/>
      <c r="I224" s="12"/>
      <c r="J224" s="12"/>
    </row>
    <row r="225" spans="3:10" x14ac:dyDescent="0.25">
      <c r="C225" s="12"/>
      <c r="D225" s="12"/>
      <c r="E225" s="12"/>
      <c r="F225" s="12"/>
      <c r="G225" s="12"/>
      <c r="H225" s="12"/>
      <c r="I225" s="12"/>
      <c r="J225" s="12"/>
    </row>
    <row r="226" spans="3:10" x14ac:dyDescent="0.25">
      <c r="C226" s="12"/>
      <c r="D226" s="12"/>
      <c r="E226" s="12"/>
      <c r="F226" s="12"/>
      <c r="G226" s="12"/>
      <c r="H226" s="12"/>
      <c r="I226" s="12"/>
      <c r="J226" s="12"/>
    </row>
    <row r="227" spans="3:10" x14ac:dyDescent="0.25">
      <c r="C227" s="12"/>
      <c r="D227" s="12"/>
      <c r="E227" s="12"/>
      <c r="F227" s="12"/>
      <c r="G227" s="12"/>
      <c r="H227" s="12"/>
      <c r="I227" s="12"/>
      <c r="J227" s="12"/>
    </row>
    <row r="228" spans="3:10" x14ac:dyDescent="0.25">
      <c r="C228" s="12"/>
      <c r="D228" s="12"/>
      <c r="E228" s="12"/>
      <c r="F228" s="12"/>
      <c r="G228" s="12"/>
      <c r="H228" s="12"/>
      <c r="I228" s="12"/>
      <c r="J228" s="12"/>
    </row>
    <row r="229" spans="3:10" x14ac:dyDescent="0.25">
      <c r="C229" s="12"/>
      <c r="D229" s="12"/>
      <c r="E229" s="12"/>
      <c r="F229" s="12"/>
      <c r="G229" s="12"/>
      <c r="H229" s="12"/>
      <c r="I229" s="12"/>
      <c r="J229" s="12"/>
    </row>
    <row r="230" spans="3:10" x14ac:dyDescent="0.25">
      <c r="C230" s="12"/>
      <c r="D230" s="12"/>
      <c r="E230" s="12"/>
      <c r="F230" s="12"/>
      <c r="G230" s="12"/>
      <c r="H230" s="12"/>
      <c r="I230" s="12"/>
      <c r="J230" s="12"/>
    </row>
    <row r="231" spans="3:10" x14ac:dyDescent="0.25">
      <c r="C231" s="12"/>
      <c r="D231" s="12"/>
      <c r="E231" s="12"/>
      <c r="F231" s="12"/>
      <c r="G231" s="12"/>
      <c r="H231" s="12"/>
      <c r="I231" s="12"/>
      <c r="J231" s="12"/>
    </row>
    <row r="232" spans="3:10" x14ac:dyDescent="0.25">
      <c r="C232" s="12"/>
      <c r="D232" s="12"/>
      <c r="E232" s="12"/>
      <c r="F232" s="12"/>
      <c r="G232" s="12"/>
      <c r="H232" s="12"/>
      <c r="I232" s="12"/>
      <c r="J232" s="12"/>
    </row>
    <row r="233" spans="3:10" x14ac:dyDescent="0.25">
      <c r="C233" s="12"/>
      <c r="D233" s="12"/>
      <c r="E233" s="12"/>
      <c r="F233" s="12"/>
      <c r="G233" s="12"/>
      <c r="H233" s="12"/>
      <c r="I233" s="12"/>
      <c r="J233" s="12"/>
    </row>
    <row r="234" spans="3:10" x14ac:dyDescent="0.25">
      <c r="C234" s="12"/>
      <c r="D234" s="12"/>
      <c r="E234" s="12"/>
      <c r="F234" s="12"/>
      <c r="G234" s="12"/>
      <c r="H234" s="12"/>
      <c r="I234" s="12"/>
      <c r="J234" s="12"/>
    </row>
    <row r="235" spans="3:10" x14ac:dyDescent="0.25">
      <c r="C235" s="12"/>
      <c r="D235" s="12"/>
      <c r="E235" s="12"/>
      <c r="F235" s="12"/>
      <c r="G235" s="12"/>
      <c r="H235" s="12"/>
      <c r="I235" s="12"/>
      <c r="J235" s="12"/>
    </row>
    <row r="236" spans="3:10" x14ac:dyDescent="0.25">
      <c r="C236" s="12"/>
      <c r="D236" s="12"/>
      <c r="E236" s="12"/>
      <c r="F236" s="12"/>
      <c r="G236" s="12"/>
      <c r="H236" s="12"/>
      <c r="I236" s="12"/>
      <c r="J236" s="12"/>
    </row>
    <row r="237" spans="3:10" x14ac:dyDescent="0.25">
      <c r="C237" s="12"/>
      <c r="D237" s="12"/>
      <c r="E237" s="12"/>
      <c r="F237" s="12"/>
      <c r="G237" s="12"/>
      <c r="H237" s="12"/>
      <c r="I237" s="12"/>
      <c r="J237" s="12"/>
    </row>
    <row r="238" spans="3:10" x14ac:dyDescent="0.25">
      <c r="C238" s="12"/>
      <c r="D238" s="12"/>
      <c r="E238" s="12"/>
      <c r="F238" s="12"/>
      <c r="G238" s="12"/>
      <c r="H238" s="12"/>
      <c r="I238" s="12"/>
      <c r="J238" s="12"/>
    </row>
    <row r="239" spans="3:10" x14ac:dyDescent="0.25">
      <c r="C239" s="12"/>
      <c r="D239" s="12"/>
      <c r="E239" s="12"/>
      <c r="F239" s="12"/>
      <c r="G239" s="12"/>
      <c r="H239" s="12"/>
      <c r="I239" s="12"/>
      <c r="J239" s="12"/>
    </row>
    <row r="240" spans="3:10" x14ac:dyDescent="0.25">
      <c r="C240" s="12"/>
      <c r="D240" s="12"/>
      <c r="E240" s="12"/>
      <c r="F240" s="12"/>
      <c r="G240" s="12"/>
      <c r="H240" s="12"/>
      <c r="I240" s="12"/>
      <c r="J240" s="12"/>
    </row>
    <row r="241" spans="3:10" x14ac:dyDescent="0.25">
      <c r="C241" s="12"/>
      <c r="D241" s="12"/>
      <c r="E241" s="12"/>
      <c r="F241" s="12"/>
      <c r="G241" s="12"/>
      <c r="H241" s="12"/>
      <c r="I241" s="12"/>
      <c r="J241" s="12"/>
    </row>
    <row r="242" spans="3:10" x14ac:dyDescent="0.25">
      <c r="C242" s="12"/>
      <c r="D242" s="12"/>
      <c r="E242" s="12"/>
      <c r="F242" s="12"/>
      <c r="G242" s="12"/>
      <c r="H242" s="12"/>
      <c r="I242" s="12"/>
      <c r="J242" s="12"/>
    </row>
    <row r="243" spans="3:10" x14ac:dyDescent="0.25">
      <c r="C243" s="12"/>
      <c r="D243" s="12"/>
      <c r="E243" s="12"/>
      <c r="F243" s="12"/>
      <c r="G243" s="12"/>
      <c r="H243" s="12"/>
      <c r="I243" s="12"/>
      <c r="J243" s="12"/>
    </row>
    <row r="244" spans="3:10" x14ac:dyDescent="0.25">
      <c r="C244" s="12"/>
      <c r="D244" s="12"/>
      <c r="E244" s="12"/>
      <c r="F244" s="12"/>
      <c r="G244" s="12"/>
      <c r="H244" s="12"/>
      <c r="I244" s="12"/>
      <c r="J244" s="12"/>
    </row>
    <row r="245" spans="3:10" x14ac:dyDescent="0.25">
      <c r="C245" s="12"/>
      <c r="D245" s="12"/>
      <c r="E245" s="12"/>
      <c r="F245" s="12"/>
      <c r="G245" s="12"/>
      <c r="H245" s="12"/>
      <c r="I245" s="12"/>
      <c r="J245" s="12"/>
    </row>
    <row r="246" spans="3:10" x14ac:dyDescent="0.25">
      <c r="C246" s="12"/>
      <c r="D246" s="12"/>
      <c r="E246" s="12"/>
      <c r="F246" s="12"/>
      <c r="G246" s="12"/>
      <c r="H246" s="12"/>
      <c r="I246" s="12"/>
      <c r="J246" s="12"/>
    </row>
    <row r="247" spans="3:10" x14ac:dyDescent="0.25">
      <c r="C247" s="12"/>
      <c r="D247" s="12"/>
      <c r="E247" s="12"/>
      <c r="F247" s="12"/>
      <c r="G247" s="12"/>
      <c r="H247" s="12"/>
      <c r="I247" s="12"/>
      <c r="J247" s="12"/>
    </row>
    <row r="248" spans="3:10" x14ac:dyDescent="0.25">
      <c r="C248" s="12"/>
      <c r="D248" s="12"/>
      <c r="E248" s="12"/>
      <c r="F248" s="12"/>
      <c r="G248" s="12"/>
      <c r="H248" s="12"/>
      <c r="I248" s="12"/>
      <c r="J248" s="12"/>
    </row>
    <row r="249" spans="3:10" x14ac:dyDescent="0.25">
      <c r="C249" s="12"/>
      <c r="D249" s="12"/>
      <c r="E249" s="12"/>
      <c r="F249" s="12"/>
      <c r="G249" s="12"/>
      <c r="H249" s="12"/>
      <c r="I249" s="12"/>
      <c r="J249" s="12"/>
    </row>
    <row r="250" spans="3:10" x14ac:dyDescent="0.25">
      <c r="C250" s="12"/>
      <c r="D250" s="12"/>
      <c r="E250" s="12"/>
      <c r="F250" s="12"/>
      <c r="G250" s="12"/>
      <c r="H250" s="12"/>
      <c r="I250" s="12"/>
      <c r="J250" s="12"/>
    </row>
    <row r="251" spans="3:10" x14ac:dyDescent="0.25">
      <c r="C251" s="12"/>
      <c r="D251" s="12"/>
      <c r="E251" s="12"/>
      <c r="F251" s="12"/>
      <c r="G251" s="12"/>
      <c r="H251" s="12"/>
      <c r="I251" s="12"/>
      <c r="J251" s="12"/>
    </row>
    <row r="252" spans="3:10" x14ac:dyDescent="0.25">
      <c r="C252" s="12"/>
      <c r="D252" s="12"/>
      <c r="E252" s="12"/>
      <c r="F252" s="12"/>
      <c r="G252" s="12"/>
      <c r="H252" s="12"/>
      <c r="I252" s="12"/>
      <c r="J252" s="12"/>
    </row>
  </sheetData>
  <mergeCells count="19">
    <mergeCell ref="AB5:AB7"/>
    <mergeCell ref="AC5:AC7"/>
    <mergeCell ref="Q6:Q7"/>
    <mergeCell ref="R6:R7"/>
    <mergeCell ref="M5:M7"/>
    <mergeCell ref="AD5:AD7"/>
    <mergeCell ref="L2:AD2"/>
    <mergeCell ref="N4:U4"/>
    <mergeCell ref="V4:V7"/>
    <mergeCell ref="N5:N7"/>
    <mergeCell ref="O5:O7"/>
    <mergeCell ref="P5:P7"/>
    <mergeCell ref="U5:U7"/>
    <mergeCell ref="W4:AC4"/>
    <mergeCell ref="W5:W7"/>
    <mergeCell ref="X5:X7"/>
    <mergeCell ref="Y5:Y7"/>
    <mergeCell ref="Z5:Z7"/>
    <mergeCell ref="AA5:AA7"/>
  </mergeCells>
  <phoneticPr fontId="13" type="noConversion"/>
  <pageMargins left="0.75000000000000011" right="0.75000000000000011" top="0.98" bottom="0.98" header="0.51" footer="0.51"/>
  <pageSetup paperSize="9" scale="50" orientation="landscape" horizontalDpi="4294967292" verticalDpi="4294967292"/>
  <ignoredErrors>
    <ignoredError sqref="W14:AA46" formulaRange="1"/>
  </ignoredErrors>
  <extLst>
    <ext xmlns:mx="http://schemas.microsoft.com/office/mac/excel/2008/main" uri="{64002731-A6B0-56B0-2670-7721B7C09600}">
      <mx:PLV Mode="0" OnePage="0" WScale="0"/>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Y252"/>
  <sheetViews>
    <sheetView workbookViewId="0">
      <pane xSplit="1" ySplit="7" topLeftCell="B25" activePane="bottomRight" state="frozen"/>
      <selection pane="topRight" activeCell="B1" sqref="B1"/>
      <selection pane="bottomLeft" activeCell="A9" sqref="A9"/>
      <selection pane="bottomRight" activeCell="R36" sqref="R36"/>
    </sheetView>
  </sheetViews>
  <sheetFormatPr baseColWidth="10" defaultColWidth="9.26953125" defaultRowHeight="13.2" x14ac:dyDescent="0.25"/>
  <cols>
    <col min="1" max="1" width="7.453125" style="9" hidden="1" customWidth="1"/>
    <col min="2" max="4" width="10.7265625" style="9" hidden="1" customWidth="1"/>
    <col min="5" max="5" width="11" style="9" hidden="1" customWidth="1"/>
    <col min="6" max="6" width="9" style="9" hidden="1" customWidth="1"/>
    <col min="7" max="8" width="8.7265625" style="9" hidden="1" customWidth="1"/>
    <col min="9" max="9" width="10.7265625" style="9" hidden="1" customWidth="1"/>
    <col min="10" max="10" width="8.1796875" style="9" hidden="1" customWidth="1"/>
    <col min="11" max="11" width="2.26953125" style="9" customWidth="1"/>
    <col min="12" max="23" width="13" style="9" customWidth="1"/>
    <col min="24" max="24" width="2.54296875" style="9" customWidth="1"/>
    <col min="25" max="16384" width="9.26953125" style="9"/>
  </cols>
  <sheetData>
    <row r="1" spans="1:25" ht="13.8" thickBot="1" x14ac:dyDescent="0.3">
      <c r="A1" s="163"/>
      <c r="B1" s="162"/>
      <c r="C1" s="161"/>
      <c r="D1" s="161"/>
      <c r="E1" s="161"/>
      <c r="F1" s="161"/>
      <c r="G1" s="161"/>
      <c r="H1" s="161"/>
      <c r="I1" s="161"/>
      <c r="J1" s="161"/>
      <c r="L1" s="15"/>
      <c r="M1" s="15"/>
      <c r="N1" s="15"/>
      <c r="O1" s="15"/>
      <c r="P1" s="15"/>
      <c r="Q1" s="15"/>
      <c r="R1" s="15"/>
      <c r="S1" s="15"/>
      <c r="T1" s="15"/>
      <c r="U1" s="15"/>
      <c r="V1" s="15"/>
      <c r="W1" s="15"/>
    </row>
    <row r="2" spans="1:25" customFormat="1" ht="49.95" customHeight="1" thickTop="1" x14ac:dyDescent="0.25">
      <c r="A2" s="9"/>
      <c r="B2" s="9"/>
      <c r="C2" s="9"/>
      <c r="D2" s="9"/>
      <c r="E2" s="9"/>
      <c r="F2" s="9"/>
      <c r="G2" s="9"/>
      <c r="H2" s="9"/>
      <c r="I2" s="9"/>
      <c r="J2" s="9"/>
      <c r="K2" s="13"/>
      <c r="L2" s="637" t="s">
        <v>918</v>
      </c>
      <c r="M2" s="638"/>
      <c r="N2" s="638"/>
      <c r="O2" s="638"/>
      <c r="P2" s="638"/>
      <c r="Q2" s="638"/>
      <c r="R2" s="638"/>
      <c r="S2" s="638"/>
      <c r="T2" s="638"/>
      <c r="U2" s="638"/>
      <c r="V2" s="638"/>
      <c r="W2" s="639"/>
    </row>
    <row r="3" spans="1:25" x14ac:dyDescent="0.25">
      <c r="K3" s="10"/>
      <c r="L3" s="18"/>
      <c r="M3" s="11" t="s">
        <v>85</v>
      </c>
      <c r="N3" s="11" t="s">
        <v>86</v>
      </c>
      <c r="O3" s="11" t="s">
        <v>87</v>
      </c>
      <c r="P3" s="36" t="s">
        <v>88</v>
      </c>
      <c r="Q3" s="36" t="s">
        <v>89</v>
      </c>
      <c r="R3" s="11" t="s">
        <v>90</v>
      </c>
      <c r="S3" s="11" t="s">
        <v>91</v>
      </c>
      <c r="T3" s="11" t="s">
        <v>92</v>
      </c>
      <c r="U3" s="11" t="s">
        <v>93</v>
      </c>
      <c r="V3" s="11" t="s">
        <v>94</v>
      </c>
      <c r="W3" s="105" t="s">
        <v>95</v>
      </c>
    </row>
    <row r="4" spans="1:25" ht="16.05" customHeight="1" thickBot="1" x14ac:dyDescent="0.3">
      <c r="K4" s="14"/>
      <c r="L4" s="18"/>
      <c r="M4" s="690" t="s">
        <v>140</v>
      </c>
      <c r="N4" s="691"/>
      <c r="O4" s="773"/>
      <c r="P4" s="773"/>
      <c r="Q4" s="773"/>
      <c r="R4" s="773"/>
      <c r="S4" s="773"/>
      <c r="T4" s="773"/>
      <c r="U4" s="773"/>
      <c r="V4" s="773"/>
      <c r="W4" s="786"/>
    </row>
    <row r="5" spans="1:25" ht="25.95" customHeight="1" thickBot="1" x14ac:dyDescent="0.3">
      <c r="K5" s="10"/>
      <c r="L5" s="18"/>
      <c r="M5" s="789" t="s">
        <v>706</v>
      </c>
      <c r="N5" s="790"/>
      <c r="O5" s="790"/>
      <c r="P5" s="790"/>
      <c r="Q5" s="790"/>
      <c r="R5" s="790"/>
      <c r="S5" s="791"/>
      <c r="T5" s="789" t="s">
        <v>707</v>
      </c>
      <c r="U5" s="790"/>
      <c r="V5" s="790"/>
      <c r="W5" s="796"/>
    </row>
    <row r="6" spans="1:25" ht="25.05" customHeight="1" x14ac:dyDescent="0.25">
      <c r="K6" s="10"/>
      <c r="L6" s="18"/>
      <c r="M6" s="792" t="s">
        <v>599</v>
      </c>
      <c r="N6" s="752" t="s">
        <v>600</v>
      </c>
      <c r="O6" s="752" t="s">
        <v>601</v>
      </c>
      <c r="P6" s="794" t="s">
        <v>602</v>
      </c>
      <c r="Q6" s="752" t="s">
        <v>603</v>
      </c>
      <c r="R6" s="752" t="s">
        <v>604</v>
      </c>
      <c r="S6" s="787" t="s">
        <v>590</v>
      </c>
      <c r="T6" s="752" t="s">
        <v>605</v>
      </c>
      <c r="U6" s="247"/>
      <c r="V6" s="247"/>
      <c r="W6" s="767" t="s">
        <v>643</v>
      </c>
    </row>
    <row r="7" spans="1:25" ht="61.05" customHeight="1" thickBot="1" x14ac:dyDescent="0.3">
      <c r="K7" s="10"/>
      <c r="L7" s="19"/>
      <c r="M7" s="793"/>
      <c r="N7" s="754"/>
      <c r="O7" s="754"/>
      <c r="P7" s="795"/>
      <c r="Q7" s="754"/>
      <c r="R7" s="754"/>
      <c r="S7" s="788"/>
      <c r="T7" s="754"/>
      <c r="U7" s="238" t="s">
        <v>642</v>
      </c>
      <c r="V7" s="239" t="s">
        <v>590</v>
      </c>
      <c r="W7" s="769"/>
    </row>
    <row r="8" spans="1:25" ht="13.95" hidden="1" customHeight="1" thickBot="1" x14ac:dyDescent="0.3">
      <c r="K8" s="10"/>
      <c r="L8" s="16">
        <v>1970</v>
      </c>
      <c r="M8" s="173">
        <v>2.4126398</v>
      </c>
      <c r="N8" s="34"/>
      <c r="O8" s="34">
        <v>0.3445089000000004</v>
      </c>
      <c r="P8" s="17"/>
      <c r="Q8" s="34">
        <v>5.61498834</v>
      </c>
      <c r="R8" s="34"/>
      <c r="S8" s="140"/>
      <c r="T8" s="17"/>
      <c r="U8" s="17"/>
      <c r="V8" s="17"/>
      <c r="W8" s="249"/>
    </row>
    <row r="9" spans="1:25" ht="14.4" hidden="1" x14ac:dyDescent="0.25">
      <c r="K9" s="10"/>
      <c r="L9" s="16">
        <f t="shared" ref="L9:L46" si="0">L8+1</f>
        <v>1971</v>
      </c>
      <c r="M9" s="173">
        <v>0.62123574700000017</v>
      </c>
      <c r="N9" s="34"/>
      <c r="O9" s="34">
        <v>2.5751309299999994</v>
      </c>
      <c r="P9" s="17"/>
      <c r="Q9" s="34">
        <v>4.9126059029999993</v>
      </c>
      <c r="R9" s="34"/>
      <c r="S9" s="140"/>
      <c r="T9" s="17"/>
      <c r="U9" s="17"/>
      <c r="V9" s="17"/>
      <c r="W9" s="249"/>
    </row>
    <row r="10" spans="1:25" ht="14.4" hidden="1" x14ac:dyDescent="0.25">
      <c r="K10" s="10"/>
      <c r="L10" s="16">
        <f t="shared" si="0"/>
        <v>1972</v>
      </c>
      <c r="M10" s="173">
        <v>-0.83427635999999894</v>
      </c>
      <c r="N10" s="34"/>
      <c r="O10" s="34">
        <v>1.0661059000000004</v>
      </c>
      <c r="P10" s="17"/>
      <c r="Q10" s="34">
        <v>5.9119252440000007</v>
      </c>
      <c r="R10" s="34"/>
      <c r="S10" s="140"/>
      <c r="T10" s="17"/>
      <c r="U10" s="17"/>
      <c r="V10" s="17"/>
      <c r="W10" s="249"/>
    </row>
    <row r="11" spans="1:25" ht="14.4" hidden="1" x14ac:dyDescent="0.25">
      <c r="K11" s="10"/>
      <c r="L11" s="16">
        <f t="shared" si="0"/>
        <v>1973</v>
      </c>
      <c r="M11" s="173">
        <v>11.18155471</v>
      </c>
      <c r="N11" s="34"/>
      <c r="O11" s="34">
        <v>12.094017570000004</v>
      </c>
      <c r="P11" s="17"/>
      <c r="Q11" s="34">
        <v>8.4966201810000026</v>
      </c>
      <c r="R11" s="34"/>
      <c r="S11" s="140"/>
      <c r="T11" s="17"/>
      <c r="U11" s="17"/>
      <c r="V11" s="17"/>
      <c r="W11" s="249"/>
    </row>
    <row r="12" spans="1:25" ht="14.4" hidden="1" x14ac:dyDescent="0.25">
      <c r="K12" s="10"/>
      <c r="L12" s="16">
        <f t="shared" si="0"/>
        <v>1974</v>
      </c>
      <c r="M12" s="173">
        <v>10.017000887000002</v>
      </c>
      <c r="N12" s="34"/>
      <c r="O12" s="34">
        <v>13.730893719999996</v>
      </c>
      <c r="P12" s="17"/>
      <c r="Q12" s="34">
        <v>8.9314641462999997</v>
      </c>
      <c r="R12" s="34"/>
      <c r="S12" s="140"/>
      <c r="T12" s="17"/>
      <c r="U12" s="17"/>
      <c r="V12" s="17"/>
      <c r="W12" s="249"/>
    </row>
    <row r="13" spans="1:25" ht="14.4" x14ac:dyDescent="0.25">
      <c r="K13" s="10"/>
      <c r="L13" s="16">
        <f t="shared" si="0"/>
        <v>1975</v>
      </c>
      <c r="M13" s="173"/>
      <c r="N13" s="34"/>
      <c r="O13" s="34"/>
      <c r="P13" s="30">
        <v>1055.3810000000001</v>
      </c>
      <c r="Q13" s="30">
        <f t="shared" ref="Q13:Q36" si="1">Q14*P13/P14</f>
        <v>1038.3581190144171</v>
      </c>
      <c r="R13" s="34">
        <f>'Table A20'!T13</f>
        <v>55.130818430651743</v>
      </c>
      <c r="S13" s="213">
        <f t="shared" ref="S13:S46" si="2">R13/Q13</f>
        <v>5.3094223872377E-2</v>
      </c>
      <c r="T13" s="244">
        <f>'Table A21'!T13</f>
        <v>-4.6017026617884627</v>
      </c>
      <c r="U13" s="245"/>
      <c r="V13" s="245"/>
      <c r="W13" s="250">
        <f>-T13/S13</f>
        <v>86.670494945921263</v>
      </c>
      <c r="Y13" s="634"/>
    </row>
    <row r="14" spans="1:25" ht="14.4" x14ac:dyDescent="0.25">
      <c r="K14" s="10"/>
      <c r="L14" s="16">
        <f t="shared" si="0"/>
        <v>1976</v>
      </c>
      <c r="M14" s="173"/>
      <c r="N14" s="34"/>
      <c r="O14" s="34"/>
      <c r="P14" s="30">
        <v>1288.6500000000001</v>
      </c>
      <c r="Q14" s="30">
        <f t="shared" si="1"/>
        <v>1267.8645816704382</v>
      </c>
      <c r="R14" s="34">
        <f>'Table A20'!T14</f>
        <v>59.716900643704626</v>
      </c>
      <c r="S14" s="213">
        <f t="shared" si="2"/>
        <v>4.7100377679946195E-2</v>
      </c>
      <c r="T14" s="244">
        <f>'Table A21'!T14</f>
        <v>-5.3724446203938854</v>
      </c>
      <c r="U14" s="245"/>
      <c r="V14" s="245"/>
      <c r="W14" s="250">
        <f t="shared" ref="W14:W46" si="3">-T14/S14</f>
        <v>114.06372698113834</v>
      </c>
      <c r="Y14" s="634"/>
    </row>
    <row r="15" spans="1:25" ht="14.4" x14ac:dyDescent="0.25">
      <c r="K15" s="10"/>
      <c r="L15" s="16">
        <f t="shared" si="0"/>
        <v>1977</v>
      </c>
      <c r="M15" s="173">
        <v>671.53399999999999</v>
      </c>
      <c r="N15" s="34">
        <f t="shared" ref="N15:N31" si="4">N16*M15/M16</f>
        <v>640.32977912487411</v>
      </c>
      <c r="O15" s="34"/>
      <c r="P15" s="30">
        <v>1576.0440000000001</v>
      </c>
      <c r="Q15" s="30">
        <f t="shared" si="1"/>
        <v>1550.6230293362853</v>
      </c>
      <c r="R15" s="34">
        <f>'Table A20'!T15</f>
        <v>75.549391816415891</v>
      </c>
      <c r="S15" s="213">
        <f t="shared" si="2"/>
        <v>4.8721959101015913E-2</v>
      </c>
      <c r="T15" s="244">
        <f>'Table A21'!T15</f>
        <v>-3.431713204868708</v>
      </c>
      <c r="U15" s="245"/>
      <c r="V15" s="245"/>
      <c r="W15" s="250">
        <f t="shared" si="3"/>
        <v>70.434630876679023</v>
      </c>
      <c r="Y15" s="634"/>
    </row>
    <row r="16" spans="1:25" ht="14.4" x14ac:dyDescent="0.25">
      <c r="K16" s="10"/>
      <c r="L16" s="16">
        <f t="shared" si="0"/>
        <v>1978</v>
      </c>
      <c r="M16" s="173">
        <v>856.90300000000002</v>
      </c>
      <c r="N16" s="34">
        <f t="shared" si="4"/>
        <v>817.08522386274103</v>
      </c>
      <c r="O16" s="34"/>
      <c r="P16" s="30">
        <v>1977.934</v>
      </c>
      <c r="Q16" s="30">
        <f t="shared" si="1"/>
        <v>1946.0307014951586</v>
      </c>
      <c r="R16" s="34">
        <f>'Table A20'!T16</f>
        <v>105.56912617659277</v>
      </c>
      <c r="S16" s="213">
        <f t="shared" si="2"/>
        <v>5.4248438164661406E-2</v>
      </c>
      <c r="T16" s="244">
        <f>'Table A21'!T16</f>
        <v>-4.8082801338634455</v>
      </c>
      <c r="U16" s="245"/>
      <c r="V16" s="245"/>
      <c r="W16" s="250">
        <f t="shared" si="3"/>
        <v>88.634443617874737</v>
      </c>
      <c r="Y16" s="634"/>
    </row>
    <row r="17" spans="11:25" ht="14.4" x14ac:dyDescent="0.25">
      <c r="K17" s="10"/>
      <c r="L17" s="16">
        <f t="shared" si="0"/>
        <v>1979</v>
      </c>
      <c r="M17" s="173">
        <v>1119.7629999999999</v>
      </c>
      <c r="N17" s="34">
        <f t="shared" si="4"/>
        <v>1067.7308884765421</v>
      </c>
      <c r="O17" s="34"/>
      <c r="P17" s="30">
        <v>2410.884</v>
      </c>
      <c r="Q17" s="30">
        <f t="shared" si="1"/>
        <v>2371.9973880541284</v>
      </c>
      <c r="R17" s="34">
        <f>'Table A20'!T17</f>
        <v>165.69201582723804</v>
      </c>
      <c r="S17" s="213">
        <f t="shared" si="2"/>
        <v>6.9853371956350982E-2</v>
      </c>
      <c r="T17" s="602">
        <f>'Table A21'!T17</f>
        <v>-12.511806673532712</v>
      </c>
      <c r="U17" s="245"/>
      <c r="V17" s="245"/>
      <c r="W17" s="250">
        <f t="shared" si="3"/>
        <v>179.11528567799016</v>
      </c>
      <c r="Y17" s="634"/>
    </row>
    <row r="18" spans="11:25" ht="14.4" x14ac:dyDescent="0.25">
      <c r="K18" s="10"/>
      <c r="L18" s="186">
        <f t="shared" si="0"/>
        <v>1980</v>
      </c>
      <c r="M18" s="252">
        <v>1334.8589999999999</v>
      </c>
      <c r="N18" s="125">
        <f t="shared" si="4"/>
        <v>1272.8320064700372</v>
      </c>
      <c r="O18" s="125"/>
      <c r="P18" s="253">
        <v>2862.22</v>
      </c>
      <c r="Q18" s="253">
        <f t="shared" si="1"/>
        <v>2816.0535156549572</v>
      </c>
      <c r="R18" s="125">
        <f>'Table A20'!T18</f>
        <v>243.40344006871896</v>
      </c>
      <c r="S18" s="254">
        <f t="shared" si="2"/>
        <v>8.6434238097960372E-2</v>
      </c>
      <c r="T18" s="244">
        <f>'Table A21'!T18</f>
        <v>-17.256522606403941</v>
      </c>
      <c r="U18" s="255"/>
      <c r="V18" s="255"/>
      <c r="W18" s="256">
        <f t="shared" si="3"/>
        <v>199.64915508188128</v>
      </c>
      <c r="Y18" s="634"/>
    </row>
    <row r="19" spans="11:25" ht="14.4" x14ac:dyDescent="0.25">
      <c r="K19" s="10"/>
      <c r="L19" s="16">
        <f t="shared" si="0"/>
        <v>1981</v>
      </c>
      <c r="M19" s="173">
        <v>1531.963</v>
      </c>
      <c r="N19" s="34">
        <f t="shared" si="4"/>
        <v>1460.7771600804713</v>
      </c>
      <c r="O19" s="34"/>
      <c r="P19" s="30">
        <v>3257.877</v>
      </c>
      <c r="Q19" s="30">
        <f t="shared" si="1"/>
        <v>3205.3287236555634</v>
      </c>
      <c r="R19" s="34">
        <f>'Table A20'!T19</f>
        <v>329.97605594862995</v>
      </c>
      <c r="S19" s="213">
        <f t="shared" si="2"/>
        <v>0.10294608896534768</v>
      </c>
      <c r="T19" s="244">
        <f>'Table A21'!T19</f>
        <v>-25.776465548888591</v>
      </c>
      <c r="U19" s="245"/>
      <c r="V19" s="245"/>
      <c r="W19" s="250">
        <f t="shared" si="3"/>
        <v>250.38800218593167</v>
      </c>
      <c r="Y19" s="634"/>
    </row>
    <row r="20" spans="11:25" ht="14.4" x14ac:dyDescent="0.25">
      <c r="K20" s="10"/>
      <c r="L20" s="16">
        <f t="shared" si="0"/>
        <v>1982</v>
      </c>
      <c r="M20" s="173">
        <v>1627.393</v>
      </c>
      <c r="N20" s="34">
        <f t="shared" si="4"/>
        <v>1551.7728070944524</v>
      </c>
      <c r="O20" s="34"/>
      <c r="P20" s="30">
        <v>3548.7930000000001</v>
      </c>
      <c r="Q20" s="30">
        <f t="shared" si="1"/>
        <v>3491.5523628448213</v>
      </c>
      <c r="R20" s="34">
        <f>'Table A20'!T20</f>
        <v>353.4103121423156</v>
      </c>
      <c r="S20" s="213">
        <f t="shared" si="2"/>
        <v>0.10121867737202329</v>
      </c>
      <c r="T20" s="244">
        <f>'Table A21'!T20</f>
        <v>-36.639365712129518</v>
      </c>
      <c r="U20" s="245"/>
      <c r="V20" s="245"/>
      <c r="W20" s="250">
        <f t="shared" si="3"/>
        <v>361.98226121315224</v>
      </c>
      <c r="Y20" s="634"/>
    </row>
    <row r="21" spans="11:25" ht="14.4" x14ac:dyDescent="0.25">
      <c r="K21" s="10"/>
      <c r="L21" s="16">
        <f t="shared" si="0"/>
        <v>1983</v>
      </c>
      <c r="M21" s="173">
        <v>2038.1610000000001</v>
      </c>
      <c r="N21" s="34">
        <f t="shared" si="4"/>
        <v>1943.4536195500632</v>
      </c>
      <c r="O21" s="34"/>
      <c r="P21" s="30">
        <v>3841.7080000000001</v>
      </c>
      <c r="Q21" s="30">
        <f t="shared" si="1"/>
        <v>3779.7427589492686</v>
      </c>
      <c r="R21" s="34">
        <f>'Table A20'!T21</f>
        <v>303.37849529644069</v>
      </c>
      <c r="S21" s="213">
        <f t="shared" si="2"/>
        <v>8.0264323432628765E-2</v>
      </c>
      <c r="T21" s="244">
        <f>'Table A21'!T21</f>
        <v>-33.000999598972342</v>
      </c>
      <c r="U21" s="245"/>
      <c r="V21" s="245"/>
      <c r="W21" s="250">
        <f t="shared" si="3"/>
        <v>411.15402444863685</v>
      </c>
      <c r="Y21" s="634"/>
    </row>
    <row r="22" spans="11:25" ht="14.4" x14ac:dyDescent="0.25">
      <c r="K22" s="10"/>
      <c r="L22" s="16">
        <f t="shared" si="0"/>
        <v>1984</v>
      </c>
      <c r="M22" s="173">
        <v>2124.9319999999998</v>
      </c>
      <c r="N22" s="34">
        <f t="shared" si="4"/>
        <v>2026.1926249681721</v>
      </c>
      <c r="O22" s="34"/>
      <c r="P22" s="30">
        <v>4044.502</v>
      </c>
      <c r="Q22" s="30">
        <f t="shared" si="1"/>
        <v>3979.2657713849762</v>
      </c>
      <c r="R22" s="34">
        <f>'Table A20'!T22</f>
        <v>339.17860304182284</v>
      </c>
      <c r="S22" s="213">
        <f t="shared" si="2"/>
        <v>8.5236478920525161E-2</v>
      </c>
      <c r="T22" s="244">
        <f>'Table A21'!T22</f>
        <v>-40.799538793563833</v>
      </c>
      <c r="U22" s="245"/>
      <c r="V22" s="245"/>
      <c r="W22" s="250">
        <f t="shared" si="3"/>
        <v>478.66288366516744</v>
      </c>
      <c r="Y22" s="634"/>
    </row>
    <row r="23" spans="11:25" ht="14.4" x14ac:dyDescent="0.25">
      <c r="K23" s="10"/>
      <c r="L23" s="16">
        <f t="shared" si="0"/>
        <v>1985</v>
      </c>
      <c r="M23" s="173">
        <v>2536.4029999999998</v>
      </c>
      <c r="N23" s="34">
        <f t="shared" si="4"/>
        <v>2418.5437710699198</v>
      </c>
      <c r="O23" s="34"/>
      <c r="P23" s="30">
        <v>4803.509</v>
      </c>
      <c r="Q23" s="30">
        <f t="shared" si="1"/>
        <v>4726.0302866062812</v>
      </c>
      <c r="R23" s="34">
        <f>'Table A20'!T23</f>
        <v>340.48329546058289</v>
      </c>
      <c r="S23" s="213">
        <f t="shared" si="2"/>
        <v>7.2044247457643956E-2</v>
      </c>
      <c r="T23" s="244">
        <f>'Table A21'!T23</f>
        <v>-47.793149640922572</v>
      </c>
      <c r="U23" s="245"/>
      <c r="V23" s="245"/>
      <c r="W23" s="250">
        <f t="shared" si="3"/>
        <v>663.38606241977868</v>
      </c>
      <c r="Y23" s="634"/>
    </row>
    <row r="24" spans="11:25" ht="14.4" x14ac:dyDescent="0.25">
      <c r="K24" s="10"/>
      <c r="L24" s="16">
        <f t="shared" si="0"/>
        <v>1986</v>
      </c>
      <c r="M24" s="173">
        <v>3233.9940000000001</v>
      </c>
      <c r="N24" s="34">
        <f t="shared" si="4"/>
        <v>3083.7197576163944</v>
      </c>
      <c r="O24" s="34"/>
      <c r="P24" s="30">
        <v>6024.1310000000003</v>
      </c>
      <c r="Q24" s="30">
        <f t="shared" si="1"/>
        <v>5926.9641331959174</v>
      </c>
      <c r="R24" s="34">
        <f>'Table A20'!T24</f>
        <v>368.78318415232343</v>
      </c>
      <c r="S24" s="213">
        <f t="shared" si="2"/>
        <v>6.2221261317717713E-2</v>
      </c>
      <c r="T24" s="244">
        <f>'Table A21'!T24</f>
        <v>-54.446068582474922</v>
      </c>
      <c r="U24" s="245"/>
      <c r="V24" s="245"/>
      <c r="W24" s="250">
        <f t="shared" si="3"/>
        <v>875.03961554972886</v>
      </c>
      <c r="Y24" s="634"/>
    </row>
    <row r="25" spans="11:25" ht="14.4" x14ac:dyDescent="0.25">
      <c r="K25" s="10"/>
      <c r="L25" s="16">
        <f t="shared" si="0"/>
        <v>1987</v>
      </c>
      <c r="M25" s="173">
        <v>4232.1030000000001</v>
      </c>
      <c r="N25" s="34">
        <f t="shared" si="4"/>
        <v>4035.4495516589132</v>
      </c>
      <c r="O25" s="34"/>
      <c r="P25" s="30">
        <v>7452.076</v>
      </c>
      <c r="Q25" s="30">
        <f t="shared" si="1"/>
        <v>7331.8769412302117</v>
      </c>
      <c r="R25" s="34">
        <f>'Table A20'!T25</f>
        <v>429.12315667521585</v>
      </c>
      <c r="S25" s="213">
        <f t="shared" si="2"/>
        <v>5.852841777281842E-2</v>
      </c>
      <c r="T25" s="244">
        <f>'Table A21'!T25</f>
        <v>-69.692318259386127</v>
      </c>
      <c r="U25" s="245"/>
      <c r="V25" s="245"/>
      <c r="W25" s="250">
        <f t="shared" si="3"/>
        <v>1190.7432476630593</v>
      </c>
      <c r="Y25" s="634"/>
    </row>
    <row r="26" spans="11:25" ht="14.4" x14ac:dyDescent="0.25">
      <c r="K26" s="10"/>
      <c r="L26" s="16">
        <f t="shared" si="0"/>
        <v>1988</v>
      </c>
      <c r="M26" s="173">
        <v>4623.4359999999997</v>
      </c>
      <c r="N26" s="34">
        <f t="shared" si="4"/>
        <v>4408.5984517209718</v>
      </c>
      <c r="O26" s="34"/>
      <c r="P26" s="30">
        <v>8196.9040000000005</v>
      </c>
      <c r="Q26" s="30">
        <f t="shared" si="1"/>
        <v>8064.691158152129</v>
      </c>
      <c r="R26" s="34">
        <f>'Table A20'!T26</f>
        <v>528.43418442300981</v>
      </c>
      <c r="S26" s="213">
        <f t="shared" si="2"/>
        <v>6.5524416752009942E-2</v>
      </c>
      <c r="T26" s="244">
        <f>'Table A21'!T26</f>
        <v>-75.104585691538716</v>
      </c>
      <c r="U26" s="245"/>
      <c r="V26" s="245"/>
      <c r="W26" s="250">
        <f t="shared" si="3"/>
        <v>1146.2076186925374</v>
      </c>
      <c r="Y26" s="634"/>
    </row>
    <row r="27" spans="11:25" ht="14.4" x14ac:dyDescent="0.25">
      <c r="K27" s="10"/>
      <c r="L27" s="16">
        <f t="shared" si="0"/>
        <v>1989</v>
      </c>
      <c r="M27" s="173">
        <v>5482.4629999999997</v>
      </c>
      <c r="N27" s="34">
        <f t="shared" si="4"/>
        <v>5227.7089795159945</v>
      </c>
      <c r="O27" s="34"/>
      <c r="P27" s="30">
        <v>9595.5650000000005</v>
      </c>
      <c r="Q27" s="30">
        <f t="shared" si="1"/>
        <v>9440.7923056039253</v>
      </c>
      <c r="R27" s="34">
        <f>'Table A20'!T27</f>
        <v>663.46967247538396</v>
      </c>
      <c r="S27" s="213">
        <f t="shared" si="2"/>
        <v>7.0276905899259903E-2</v>
      </c>
      <c r="T27" s="603">
        <f>'Table A21'!T27</f>
        <v>-86.252476973132559</v>
      </c>
      <c r="U27" s="245"/>
      <c r="V27" s="245"/>
      <c r="W27" s="250">
        <f t="shared" si="3"/>
        <v>1227.3231991285049</v>
      </c>
      <c r="Y27" s="634"/>
    </row>
    <row r="28" spans="11:25" ht="14.4" x14ac:dyDescent="0.25">
      <c r="K28" s="10"/>
      <c r="L28" s="186">
        <f t="shared" si="0"/>
        <v>1990</v>
      </c>
      <c r="M28" s="252">
        <v>6481.1660000000002</v>
      </c>
      <c r="N28" s="125">
        <f t="shared" si="4"/>
        <v>6180.0051721158461</v>
      </c>
      <c r="O28" s="125"/>
      <c r="P28" s="253">
        <v>11567.342000000001</v>
      </c>
      <c r="Q28" s="253">
        <f t="shared" si="1"/>
        <v>11380.765317090669</v>
      </c>
      <c r="R28" s="125">
        <f>'Table A20'!T28</f>
        <v>821.86148417480786</v>
      </c>
      <c r="S28" s="254">
        <f t="shared" si="2"/>
        <v>7.2214957542495489E-2</v>
      </c>
      <c r="T28" s="244">
        <f>'Table A21'!T28</f>
        <v>-100.31682975911757</v>
      </c>
      <c r="U28" s="255"/>
      <c r="V28" s="255"/>
      <c r="W28" s="256">
        <f t="shared" si="3"/>
        <v>1389.1419890413326</v>
      </c>
      <c r="Y28" s="634"/>
    </row>
    <row r="29" spans="11:25" ht="14.4" x14ac:dyDescent="0.25">
      <c r="K29" s="10"/>
      <c r="L29" s="16">
        <f t="shared" si="0"/>
        <v>1991</v>
      </c>
      <c r="M29" s="173">
        <v>6422.8159999999998</v>
      </c>
      <c r="N29" s="34">
        <f t="shared" si="4"/>
        <v>6124.3665259535719</v>
      </c>
      <c r="O29" s="34"/>
      <c r="P29" s="30">
        <v>12297.825000000001</v>
      </c>
      <c r="Q29" s="30">
        <f t="shared" si="1"/>
        <v>12099.465913227998</v>
      </c>
      <c r="R29" s="34">
        <f>'Table A20'!T29</f>
        <v>862.01800524807243</v>
      </c>
      <c r="S29" s="213">
        <f t="shared" si="2"/>
        <v>7.1244302139456664E-2</v>
      </c>
      <c r="T29" s="244">
        <f>'Table A21'!T29</f>
        <v>-113.00541124364918</v>
      </c>
      <c r="U29" s="245"/>
      <c r="V29" s="245"/>
      <c r="W29" s="250">
        <f t="shared" si="3"/>
        <v>1586.1677053478259</v>
      </c>
      <c r="Y29" s="634"/>
    </row>
    <row r="30" spans="11:25" ht="14.4" x14ac:dyDescent="0.25">
      <c r="K30" s="10"/>
      <c r="L30" s="16">
        <f t="shared" si="0"/>
        <v>1992</v>
      </c>
      <c r="M30" s="173">
        <v>6300.6130000000003</v>
      </c>
      <c r="N30" s="34">
        <f t="shared" si="4"/>
        <v>6007.8419419438314</v>
      </c>
      <c r="O30" s="34"/>
      <c r="P30" s="30">
        <v>12678.612999999999</v>
      </c>
      <c r="Q30" s="30">
        <f t="shared" si="1"/>
        <v>12474.111952358187</v>
      </c>
      <c r="R30" s="34">
        <f>'Table A20'!T30</f>
        <v>869.02596943163019</v>
      </c>
      <c r="S30" s="213">
        <f t="shared" si="2"/>
        <v>6.9666359637516634E-2</v>
      </c>
      <c r="T30" s="244">
        <f>'Table A21'!T30</f>
        <v>-106.26394271182835</v>
      </c>
      <c r="U30" s="245"/>
      <c r="V30" s="245"/>
      <c r="W30" s="250">
        <f t="shared" si="3"/>
        <v>1525.3264741366397</v>
      </c>
      <c r="Y30" s="634"/>
    </row>
    <row r="31" spans="11:25" ht="14.4" x14ac:dyDescent="0.25">
      <c r="K31" s="10"/>
      <c r="L31" s="16">
        <f t="shared" si="0"/>
        <v>1993</v>
      </c>
      <c r="M31" s="173">
        <v>6267.4139999999998</v>
      </c>
      <c r="N31" s="34">
        <f t="shared" si="4"/>
        <v>5976.1856023732862</v>
      </c>
      <c r="O31" s="34"/>
      <c r="P31" s="30">
        <v>14188.741</v>
      </c>
      <c r="Q31" s="30">
        <f t="shared" si="1"/>
        <v>13959.882180883245</v>
      </c>
      <c r="R31" s="34">
        <f>'Table A20'!T31</f>
        <v>850.38379713419602</v>
      </c>
      <c r="S31" s="213">
        <f t="shared" si="2"/>
        <v>6.0916258899284779E-2</v>
      </c>
      <c r="T31" s="244">
        <f>'Table A21'!T31</f>
        <v>-103.36066503866121</v>
      </c>
      <c r="U31" s="245"/>
      <c r="V31" s="245"/>
      <c r="W31" s="250">
        <f t="shared" si="3"/>
        <v>1696.7664611438372</v>
      </c>
      <c r="Y31" s="634"/>
    </row>
    <row r="32" spans="11:25" ht="14.4" x14ac:dyDescent="0.25">
      <c r="K32" s="10"/>
      <c r="L32" s="16">
        <f t="shared" si="0"/>
        <v>1994</v>
      </c>
      <c r="M32" s="173">
        <v>7150.433</v>
      </c>
      <c r="N32" s="34">
        <f>N33*M32/M33</f>
        <v>6818.1732921001912</v>
      </c>
      <c r="O32" s="34"/>
      <c r="P32" s="30">
        <v>15545.414000000001</v>
      </c>
      <c r="Q32" s="30">
        <f t="shared" si="1"/>
        <v>15294.672578282521</v>
      </c>
      <c r="R32" s="34">
        <f>'Table A20'!T32</f>
        <v>835.31700000000001</v>
      </c>
      <c r="S32" s="213">
        <f t="shared" si="2"/>
        <v>5.4614899124162876E-2</v>
      </c>
      <c r="T32" s="244">
        <f>'Table A21'!T32</f>
        <v>-120.592</v>
      </c>
      <c r="U32" s="245"/>
      <c r="V32" s="245"/>
      <c r="W32" s="250">
        <f t="shared" si="3"/>
        <v>2208.0421631072345</v>
      </c>
      <c r="Y32" s="634"/>
    </row>
    <row r="33" spans="3:25" ht="14.4" x14ac:dyDescent="0.25">
      <c r="K33" s="10"/>
      <c r="L33" s="16">
        <f t="shared" si="0"/>
        <v>1995</v>
      </c>
      <c r="M33" s="173">
        <v>7831.33</v>
      </c>
      <c r="N33" s="34">
        <v>7467.4309999999996</v>
      </c>
      <c r="O33" s="34"/>
      <c r="P33" s="30">
        <v>17807.912</v>
      </c>
      <c r="Q33" s="30">
        <f t="shared" si="1"/>
        <v>17520.677374231927</v>
      </c>
      <c r="R33" s="34">
        <f>'Table A20'!T33</f>
        <v>967.23</v>
      </c>
      <c r="S33" s="213">
        <f t="shared" si="2"/>
        <v>5.5205057392502872E-2</v>
      </c>
      <c r="T33" s="244">
        <f>'Table A21'!T33</f>
        <v>-118.065</v>
      </c>
      <c r="U33" s="245"/>
      <c r="V33" s="245"/>
      <c r="W33" s="250">
        <f t="shared" si="3"/>
        <v>2138.6627525911026</v>
      </c>
      <c r="Y33" s="634"/>
    </row>
    <row r="34" spans="3:25" ht="14.4" x14ac:dyDescent="0.25">
      <c r="K34" s="10"/>
      <c r="L34" s="16">
        <f t="shared" si="0"/>
        <v>1996</v>
      </c>
      <c r="M34" s="173">
        <v>8100.0690000000004</v>
      </c>
      <c r="N34" s="34">
        <v>7673.1819999999998</v>
      </c>
      <c r="O34" s="34"/>
      <c r="P34" s="30">
        <v>19391.368999999999</v>
      </c>
      <c r="Q34" s="30">
        <f t="shared" si="1"/>
        <v>19078.593834789976</v>
      </c>
      <c r="R34" s="34">
        <f>'Table A20'!T34</f>
        <v>906.51900000000001</v>
      </c>
      <c r="S34" s="213">
        <f t="shared" si="2"/>
        <v>4.7514979764753683E-2</v>
      </c>
      <c r="T34" s="244">
        <f>'Table A21'!T34</f>
        <v>-132.35599999999999</v>
      </c>
      <c r="U34" s="245"/>
      <c r="V34" s="245"/>
      <c r="W34" s="250">
        <f t="shared" si="3"/>
        <v>2785.5636402518444</v>
      </c>
      <c r="Y34" s="634"/>
    </row>
    <row r="35" spans="3:25" ht="14.4" x14ac:dyDescent="0.25">
      <c r="K35" s="10"/>
      <c r="L35" s="16">
        <f t="shared" si="0"/>
        <v>1997</v>
      </c>
      <c r="M35" s="173">
        <v>9117.98</v>
      </c>
      <c r="N35" s="34">
        <v>8453.866</v>
      </c>
      <c r="O35" s="34"/>
      <c r="P35" s="30">
        <v>21239.597000000002</v>
      </c>
      <c r="Q35" s="30">
        <f t="shared" si="1"/>
        <v>20897.010643117756</v>
      </c>
      <c r="R35" s="34">
        <f>'Table A20'!T35</f>
        <v>921.39600000000007</v>
      </c>
      <c r="S35" s="213">
        <f t="shared" si="2"/>
        <v>4.4092239590424562E-2</v>
      </c>
      <c r="T35" s="244">
        <f>'Table A21'!T35</f>
        <v>-128.03700000000001</v>
      </c>
      <c r="U35" s="245"/>
      <c r="V35" s="245"/>
      <c r="W35" s="250">
        <f t="shared" si="3"/>
        <v>2903.8443315500263</v>
      </c>
      <c r="Y35" s="634"/>
    </row>
    <row r="36" spans="3:25" ht="14.4" x14ac:dyDescent="0.25">
      <c r="K36" s="10"/>
      <c r="L36" s="16">
        <f t="shared" si="0"/>
        <v>1998</v>
      </c>
      <c r="M36" s="173">
        <v>9695.3230000000003</v>
      </c>
      <c r="N36" s="34">
        <v>8942.7340000000004</v>
      </c>
      <c r="O36" s="34"/>
      <c r="P36" s="30">
        <v>24053.638999999999</v>
      </c>
      <c r="Q36" s="30">
        <f t="shared" si="1"/>
        <v>23665.663250988815</v>
      </c>
      <c r="R36" s="34">
        <f>'Table A20'!T36</f>
        <v>1017.3480000000001</v>
      </c>
      <c r="S36" s="213">
        <f t="shared" si="2"/>
        <v>4.2988357825022826E-2</v>
      </c>
      <c r="T36" s="244">
        <f>'Table A21'!T36</f>
        <v>-131.816</v>
      </c>
      <c r="U36" s="245"/>
      <c r="V36" s="245"/>
      <c r="W36" s="250">
        <f t="shared" si="3"/>
        <v>3066.3185724966688</v>
      </c>
      <c r="Y36" s="634"/>
    </row>
    <row r="37" spans="3:25" ht="14.4" x14ac:dyDescent="0.25">
      <c r="K37" s="10"/>
      <c r="L37" s="16">
        <f t="shared" si="0"/>
        <v>1999</v>
      </c>
      <c r="M37" s="173">
        <v>9611.2070000000003</v>
      </c>
      <c r="N37" s="34">
        <v>8835.5679999999993</v>
      </c>
      <c r="O37" s="34"/>
      <c r="P37" s="30">
        <v>26663.87</v>
      </c>
      <c r="Q37" s="30">
        <f>Q38*P37/P38</f>
        <v>26233.792250234696</v>
      </c>
      <c r="R37" s="34">
        <f>'Table A20'!T37</f>
        <v>1005.179</v>
      </c>
      <c r="S37" s="213">
        <f t="shared" si="2"/>
        <v>3.8316191209107689E-2</v>
      </c>
      <c r="T37" s="603">
        <f>'Table A21'!T37</f>
        <v>-127.98100000000001</v>
      </c>
      <c r="U37" s="245"/>
      <c r="V37" s="245"/>
      <c r="W37" s="250">
        <f t="shared" si="3"/>
        <v>3340.1284407824742</v>
      </c>
      <c r="Y37" s="634"/>
    </row>
    <row r="38" spans="3:25" ht="14.4" x14ac:dyDescent="0.25">
      <c r="K38" s="10"/>
      <c r="L38" s="186">
        <f t="shared" si="0"/>
        <v>2000</v>
      </c>
      <c r="M38" s="252">
        <v>10420.68</v>
      </c>
      <c r="N38" s="125">
        <v>9454.5740000000005</v>
      </c>
      <c r="O38" s="125"/>
      <c r="P38" s="253">
        <v>27474.536</v>
      </c>
      <c r="Q38" s="253">
        <f>Q39*P38/P39</f>
        <v>27031.382526077203</v>
      </c>
      <c r="R38" s="125">
        <f>'Table A20'!T38</f>
        <v>1112.4939999999999</v>
      </c>
      <c r="S38" s="254">
        <f t="shared" si="2"/>
        <v>4.1155645625109101E-2</v>
      </c>
      <c r="T38" s="244">
        <f>'Table A21'!T38</f>
        <v>-112.764</v>
      </c>
      <c r="U38" s="255"/>
      <c r="V38" s="255"/>
      <c r="W38" s="256">
        <f t="shared" si="3"/>
        <v>2739.9400079196562</v>
      </c>
      <c r="Y38" s="634"/>
    </row>
    <row r="39" spans="3:25" ht="14.4" x14ac:dyDescent="0.25">
      <c r="K39" s="10"/>
      <c r="L39" s="16">
        <f t="shared" si="0"/>
        <v>2001</v>
      </c>
      <c r="M39" s="173">
        <v>11187.486000000001</v>
      </c>
      <c r="N39" s="34">
        <v>10020.57</v>
      </c>
      <c r="O39" s="34">
        <f>'Table A3'!D10</f>
        <v>16272.541307845344</v>
      </c>
      <c r="P39" s="30">
        <v>27910.207999999999</v>
      </c>
      <c r="Q39" s="34">
        <f>O39+M39</f>
        <v>27460.027307845347</v>
      </c>
      <c r="R39" s="34">
        <f>'Table A20'!T39</f>
        <v>1065.9169999999999</v>
      </c>
      <c r="S39" s="213">
        <f t="shared" si="2"/>
        <v>3.8817040786243748E-2</v>
      </c>
      <c r="T39" s="244">
        <f>'Table A21'!T39</f>
        <v>-125.619</v>
      </c>
      <c r="U39" s="34">
        <f>'Table A3'!E10</f>
        <v>2531.9708607429384</v>
      </c>
      <c r="V39" s="246">
        <f>-T39/U39</f>
        <v>4.9613130209223852E-2</v>
      </c>
      <c r="W39" s="250">
        <f t="shared" si="3"/>
        <v>3236.1817762398246</v>
      </c>
      <c r="Y39" s="634"/>
    </row>
    <row r="40" spans="3:25" ht="14.4" x14ac:dyDescent="0.25">
      <c r="K40" s="10"/>
      <c r="L40" s="16">
        <f t="shared" si="0"/>
        <v>2002</v>
      </c>
      <c r="M40" s="173">
        <v>12802.834000000001</v>
      </c>
      <c r="N40" s="34">
        <v>11388.513000000001</v>
      </c>
      <c r="O40" s="34">
        <f>'Table A3'!D11</f>
        <v>17754.003993339702</v>
      </c>
      <c r="P40" s="30">
        <v>31092.233</v>
      </c>
      <c r="Q40" s="34">
        <f t="shared" ref="Q40:Q46" si="5">O40+M40</f>
        <v>30556.837993339701</v>
      </c>
      <c r="R40" s="34">
        <f>'Table A20'!T40</f>
        <v>967.80200000000002</v>
      </c>
      <c r="S40" s="213">
        <f t="shared" si="2"/>
        <v>3.1672190696267276E-2</v>
      </c>
      <c r="T40" s="244">
        <f>'Table A21'!T40</f>
        <v>-124.075</v>
      </c>
      <c r="U40" s="34">
        <f>'Table A3'!E11</f>
        <v>2392.0139553325753</v>
      </c>
      <c r="V40" s="246">
        <f t="shared" ref="V40:V46" si="6">-T40/U40</f>
        <v>5.1870516776625221E-2</v>
      </c>
      <c r="W40" s="250">
        <f t="shared" si="3"/>
        <v>3917.4745185726247</v>
      </c>
      <c r="Y40" s="634"/>
    </row>
    <row r="41" spans="3:25" ht="14.4" x14ac:dyDescent="0.25">
      <c r="K41" s="10"/>
      <c r="L41" s="16">
        <f t="shared" si="0"/>
        <v>2003</v>
      </c>
      <c r="M41" s="173">
        <v>15464.34</v>
      </c>
      <c r="N41" s="34">
        <v>13488.304</v>
      </c>
      <c r="O41" s="34">
        <f>'Table A3'!D12</f>
        <v>23637.533013195611</v>
      </c>
      <c r="P41" s="30">
        <v>38552.546999999999</v>
      </c>
      <c r="Q41" s="34">
        <f t="shared" si="5"/>
        <v>39101.873013195611</v>
      </c>
      <c r="R41" s="34">
        <f>'Table A20'!T41</f>
        <v>1032.01</v>
      </c>
      <c r="S41" s="213">
        <f t="shared" si="2"/>
        <v>2.6392853346225389E-2</v>
      </c>
      <c r="T41" s="244">
        <f>'Table A21'!T41</f>
        <v>-118.21600000000001</v>
      </c>
      <c r="U41" s="34">
        <f>'Table A3'!E12</f>
        <v>2857.6815407211107</v>
      </c>
      <c r="V41" s="246">
        <f t="shared" si="6"/>
        <v>4.1367800545812128E-2</v>
      </c>
      <c r="W41" s="250">
        <f t="shared" si="3"/>
        <v>4479.0913073787387</v>
      </c>
      <c r="Y41" s="634"/>
    </row>
    <row r="42" spans="3:25" ht="14.4" x14ac:dyDescent="0.25">
      <c r="K42" s="10"/>
      <c r="L42" s="16">
        <f t="shared" si="0"/>
        <v>2004</v>
      </c>
      <c r="M42" s="173">
        <v>18243.924999999999</v>
      </c>
      <c r="N42" s="34">
        <v>15855.659</v>
      </c>
      <c r="O42" s="34">
        <f>'Table A3'!D13</f>
        <v>28950.122690731096</v>
      </c>
      <c r="P42" s="30">
        <v>46573.294000000002</v>
      </c>
      <c r="Q42" s="34">
        <f t="shared" si="5"/>
        <v>47194.047690731095</v>
      </c>
      <c r="R42" s="34">
        <f>'Table A20'!T42</f>
        <v>1206.6150000000002</v>
      </c>
      <c r="S42" s="213">
        <f t="shared" si="2"/>
        <v>2.5567101340980745E-2</v>
      </c>
      <c r="T42" s="244">
        <f>'Table A21'!T42</f>
        <v>-120.755</v>
      </c>
      <c r="U42" s="34">
        <f>'Table A3'!E13</f>
        <v>3316.0255408955054</v>
      </c>
      <c r="V42" s="246">
        <f t="shared" si="6"/>
        <v>3.6415582000429839E-2</v>
      </c>
      <c r="W42" s="250">
        <f t="shared" si="3"/>
        <v>4723.0618125037663</v>
      </c>
      <c r="Y42" s="634"/>
    </row>
    <row r="43" spans="3:25" ht="14.4" x14ac:dyDescent="0.25">
      <c r="K43" s="10"/>
      <c r="L43" s="16">
        <f t="shared" si="0"/>
        <v>2005</v>
      </c>
      <c r="M43" s="173">
        <v>20052.006000000001</v>
      </c>
      <c r="N43" s="34">
        <v>17222.544000000002</v>
      </c>
      <c r="O43" s="34">
        <f>'Table A3'!D14</f>
        <v>32398.631739288154</v>
      </c>
      <c r="P43" s="30">
        <v>50699.404000000002</v>
      </c>
      <c r="Q43" s="34">
        <f t="shared" si="5"/>
        <v>52450.637739288155</v>
      </c>
      <c r="R43" s="34">
        <f>'Table A20'!T43</f>
        <v>1529.4290000000001</v>
      </c>
      <c r="S43" s="213">
        <f t="shared" si="2"/>
        <v>2.9159397595930111E-2</v>
      </c>
      <c r="T43" s="244">
        <f>'Table A21'!T43</f>
        <v>-127.82900000000001</v>
      </c>
      <c r="U43" s="34">
        <f>'Table A3'!E14</f>
        <v>3675.6375088096211</v>
      </c>
      <c r="V43" s="246">
        <f t="shared" si="6"/>
        <v>3.4777368468360811E-2</v>
      </c>
      <c r="W43" s="250">
        <f t="shared" si="3"/>
        <v>4383.8011255020438</v>
      </c>
      <c r="Y43" s="634"/>
    </row>
    <row r="44" spans="3:25" ht="14.4" x14ac:dyDescent="0.25">
      <c r="K44" s="10"/>
      <c r="L44" s="16">
        <f t="shared" si="0"/>
        <v>2006</v>
      </c>
      <c r="M44" s="173">
        <v>24602.105</v>
      </c>
      <c r="N44" s="34">
        <v>21289.071</v>
      </c>
      <c r="O44" s="34">
        <f>'Table A3'!D15</f>
        <v>40731.592417412961</v>
      </c>
      <c r="P44" s="30">
        <v>63057.152999999998</v>
      </c>
      <c r="Q44" s="34">
        <f t="shared" si="5"/>
        <v>65333.697417412957</v>
      </c>
      <c r="R44" s="34">
        <f>'Table A20'!T44</f>
        <v>2039.2239999999999</v>
      </c>
      <c r="S44" s="213">
        <f t="shared" si="2"/>
        <v>3.1212438306859075E-2</v>
      </c>
      <c r="T44" s="244">
        <f>'Table A21'!T44</f>
        <v>-120.67400000000001</v>
      </c>
      <c r="U44" s="34">
        <f>'Table A3'!E15</f>
        <v>3760.0031502700076</v>
      </c>
      <c r="V44" s="246">
        <f t="shared" si="6"/>
        <v>3.2094122046502631E-2</v>
      </c>
      <c r="W44" s="250">
        <f t="shared" si="3"/>
        <v>3866.2150907153368</v>
      </c>
      <c r="Y44" s="634"/>
    </row>
    <row r="45" spans="3:25" ht="14.4" x14ac:dyDescent="0.25">
      <c r="K45" s="10"/>
      <c r="L45" s="16">
        <f t="shared" si="0"/>
        <v>2007</v>
      </c>
      <c r="M45" s="173">
        <v>31418.053</v>
      </c>
      <c r="N45" s="34">
        <v>27131.069</v>
      </c>
      <c r="O45" s="34">
        <f>'Table A3'!D16</f>
        <v>49301.441696168207</v>
      </c>
      <c r="P45" s="30">
        <v>77301.467999999993</v>
      </c>
      <c r="Q45" s="34">
        <f t="shared" si="5"/>
        <v>80719.4946961682</v>
      </c>
      <c r="R45" s="34">
        <f>'Table A20'!T45</f>
        <v>2691.6800000000003</v>
      </c>
      <c r="S45" s="213">
        <f t="shared" si="2"/>
        <v>3.3346095762016408E-2</v>
      </c>
      <c r="T45" s="244">
        <f>'Table A21'!T45</f>
        <v>-105.67</v>
      </c>
      <c r="U45" s="34">
        <f>'Table A3'!E16</f>
        <v>5131.3253618628878</v>
      </c>
      <c r="V45" s="246">
        <f t="shared" si="6"/>
        <v>2.0593120207376078E-2</v>
      </c>
      <c r="W45" s="250">
        <f t="shared" si="3"/>
        <v>3168.8867192772145</v>
      </c>
      <c r="Y45" s="634"/>
    </row>
    <row r="46" spans="3:25" ht="15" thickBot="1" x14ac:dyDescent="0.3">
      <c r="K46" s="10"/>
      <c r="L46" s="103">
        <f t="shared" si="0"/>
        <v>2008</v>
      </c>
      <c r="M46" s="174">
        <v>29067.436000000002</v>
      </c>
      <c r="N46" s="92">
        <v>24342.456999999999</v>
      </c>
      <c r="O46" s="92">
        <f>'Table A3'!D17</f>
        <v>40097.278810910873</v>
      </c>
      <c r="P46" s="220" t="s">
        <v>202</v>
      </c>
      <c r="Q46" s="92">
        <f t="shared" si="5"/>
        <v>69164.714810910868</v>
      </c>
      <c r="R46" s="92">
        <f>'Table A20'!T46</f>
        <v>2785.8990000000003</v>
      </c>
      <c r="S46" s="221">
        <f t="shared" si="2"/>
        <v>4.0279194494134161E-2</v>
      </c>
      <c r="T46" s="604">
        <f>'Table A21'!T46</f>
        <v>-155.809</v>
      </c>
      <c r="U46" s="92">
        <f>'Table A3'!E17</f>
        <v>4489.9775625675611</v>
      </c>
      <c r="V46" s="248">
        <f t="shared" si="6"/>
        <v>3.4701509713313969E-2</v>
      </c>
      <c r="W46" s="251">
        <f t="shared" si="3"/>
        <v>3868.2253197166192</v>
      </c>
      <c r="Y46" s="634"/>
    </row>
    <row r="47" spans="3:25" ht="13.8" thickTop="1" x14ac:dyDescent="0.25">
      <c r="C47" s="12"/>
      <c r="D47" s="12"/>
      <c r="E47" s="12"/>
      <c r="F47" s="12"/>
      <c r="G47" s="12"/>
      <c r="H47" s="12"/>
      <c r="I47" s="12"/>
      <c r="J47" s="12"/>
    </row>
    <row r="48" spans="3:25" x14ac:dyDescent="0.25">
      <c r="C48" s="12"/>
      <c r="D48" s="12"/>
      <c r="E48" s="12"/>
      <c r="F48" s="12"/>
      <c r="G48" s="12"/>
      <c r="H48" s="12"/>
      <c r="I48" s="12"/>
      <c r="J48" s="12"/>
    </row>
    <row r="49" spans="3:10" x14ac:dyDescent="0.25">
      <c r="C49" s="12"/>
      <c r="D49" s="12"/>
      <c r="E49" s="12"/>
      <c r="F49" s="12"/>
      <c r="G49" s="12"/>
      <c r="H49" s="12"/>
      <c r="I49" s="12"/>
      <c r="J49" s="12"/>
    </row>
    <row r="50" spans="3:10" x14ac:dyDescent="0.25">
      <c r="C50" s="131"/>
      <c r="D50" s="12"/>
      <c r="E50" s="12"/>
      <c r="F50" s="12"/>
      <c r="G50" s="12"/>
      <c r="H50" s="12"/>
      <c r="I50" s="12"/>
      <c r="J50" s="12"/>
    </row>
    <row r="51" spans="3:10" x14ac:dyDescent="0.25">
      <c r="C51" s="12"/>
      <c r="D51" s="12"/>
      <c r="E51" s="12"/>
      <c r="F51" s="12"/>
      <c r="G51" s="12"/>
      <c r="H51" s="12"/>
      <c r="I51" s="12"/>
      <c r="J51" s="12"/>
    </row>
    <row r="52" spans="3:10" x14ac:dyDescent="0.25">
      <c r="C52" s="12"/>
      <c r="D52" s="12"/>
      <c r="E52" s="12"/>
      <c r="F52" s="12"/>
      <c r="G52" s="12"/>
      <c r="H52" s="12"/>
      <c r="I52" s="12"/>
      <c r="J52" s="12"/>
    </row>
    <row r="53" spans="3:10" x14ac:dyDescent="0.25">
      <c r="C53" s="12"/>
      <c r="D53" s="12"/>
      <c r="E53" s="12"/>
      <c r="F53" s="12"/>
      <c r="G53" s="12"/>
      <c r="H53" s="12"/>
      <c r="I53" s="12"/>
      <c r="J53" s="12"/>
    </row>
    <row r="54" spans="3:10" x14ac:dyDescent="0.25">
      <c r="C54" s="12"/>
      <c r="D54" s="12"/>
      <c r="E54" s="12"/>
      <c r="F54" s="12"/>
      <c r="G54" s="12"/>
      <c r="H54" s="12"/>
      <c r="I54" s="12"/>
      <c r="J54" s="12"/>
    </row>
    <row r="55" spans="3:10" x14ac:dyDescent="0.25">
      <c r="C55" s="12"/>
      <c r="D55" s="12"/>
      <c r="E55" s="12"/>
      <c r="F55" s="12"/>
      <c r="G55" s="12"/>
      <c r="H55" s="12"/>
      <c r="I55" s="12"/>
      <c r="J55" s="12"/>
    </row>
    <row r="56" spans="3:10" x14ac:dyDescent="0.25">
      <c r="C56" s="12"/>
      <c r="D56" s="12"/>
      <c r="E56" s="12"/>
      <c r="F56" s="12"/>
      <c r="G56" s="12"/>
      <c r="H56" s="12"/>
      <c r="I56" s="12"/>
      <c r="J56" s="12"/>
    </row>
    <row r="57" spans="3:10" x14ac:dyDescent="0.25">
      <c r="C57" s="12"/>
      <c r="D57" s="12"/>
      <c r="E57" s="12"/>
      <c r="F57" s="12"/>
      <c r="G57" s="12"/>
      <c r="H57" s="12"/>
      <c r="I57" s="12"/>
      <c r="J57" s="12"/>
    </row>
    <row r="58" spans="3:10" x14ac:dyDescent="0.25">
      <c r="C58" s="12"/>
      <c r="D58" s="12"/>
      <c r="E58" s="12"/>
      <c r="F58" s="12"/>
      <c r="G58" s="12"/>
      <c r="H58" s="12"/>
      <c r="I58" s="12"/>
      <c r="J58" s="12"/>
    </row>
    <row r="59" spans="3:10" x14ac:dyDescent="0.25">
      <c r="C59" s="12"/>
      <c r="D59" s="12"/>
      <c r="E59" s="12"/>
      <c r="F59" s="12"/>
      <c r="G59" s="12"/>
      <c r="H59" s="12"/>
      <c r="I59" s="12"/>
      <c r="J59" s="12"/>
    </row>
    <row r="60" spans="3:10" x14ac:dyDescent="0.25">
      <c r="C60" s="12"/>
      <c r="D60" s="12"/>
      <c r="E60" s="12"/>
      <c r="F60" s="12"/>
      <c r="G60" s="12"/>
      <c r="H60" s="12"/>
      <c r="I60" s="12"/>
      <c r="J60" s="12"/>
    </row>
    <row r="61" spans="3:10" x14ac:dyDescent="0.25">
      <c r="C61" s="12"/>
      <c r="D61" s="12"/>
      <c r="E61" s="12"/>
      <c r="F61" s="12"/>
      <c r="G61" s="12"/>
      <c r="H61" s="12"/>
      <c r="I61" s="12"/>
      <c r="J61" s="12"/>
    </row>
    <row r="62" spans="3:10" x14ac:dyDescent="0.25">
      <c r="C62" s="12"/>
      <c r="D62" s="12"/>
      <c r="E62" s="12"/>
      <c r="F62" s="12"/>
      <c r="G62" s="12"/>
      <c r="H62" s="12"/>
      <c r="I62" s="12"/>
      <c r="J62" s="12"/>
    </row>
    <row r="63" spans="3:10" x14ac:dyDescent="0.25">
      <c r="C63" s="12"/>
      <c r="D63" s="12"/>
      <c r="E63" s="12"/>
      <c r="F63" s="12"/>
      <c r="G63" s="12"/>
      <c r="H63" s="12"/>
      <c r="I63" s="12"/>
      <c r="J63" s="12"/>
    </row>
    <row r="64" spans="3:10" x14ac:dyDescent="0.25">
      <c r="C64" s="12"/>
      <c r="D64" s="12"/>
      <c r="E64" s="12"/>
      <c r="F64" s="12"/>
      <c r="G64" s="12"/>
      <c r="H64" s="12"/>
      <c r="I64" s="12"/>
      <c r="J64" s="12"/>
    </row>
    <row r="65" spans="3:10" x14ac:dyDescent="0.25">
      <c r="C65" s="12"/>
      <c r="D65" s="12"/>
      <c r="E65" s="12"/>
      <c r="F65" s="12"/>
      <c r="G65" s="12"/>
      <c r="H65" s="12"/>
      <c r="I65" s="12"/>
      <c r="J65" s="12"/>
    </row>
    <row r="66" spans="3:10" x14ac:dyDescent="0.25">
      <c r="C66" s="12"/>
      <c r="D66" s="12"/>
      <c r="E66" s="12"/>
      <c r="F66" s="12"/>
      <c r="G66" s="12"/>
      <c r="H66" s="12"/>
      <c r="I66" s="12"/>
      <c r="J66" s="12"/>
    </row>
    <row r="67" spans="3:10" x14ac:dyDescent="0.25">
      <c r="C67" s="12"/>
      <c r="D67" s="12"/>
      <c r="E67" s="12"/>
      <c r="F67" s="12"/>
      <c r="G67" s="12"/>
      <c r="H67" s="12"/>
      <c r="I67" s="12"/>
      <c r="J67" s="12"/>
    </row>
    <row r="68" spans="3:10" x14ac:dyDescent="0.25">
      <c r="C68" s="12"/>
      <c r="D68" s="12"/>
      <c r="E68" s="12"/>
      <c r="F68" s="12"/>
      <c r="G68" s="12"/>
      <c r="H68" s="12"/>
      <c r="I68" s="12"/>
      <c r="J68" s="12"/>
    </row>
    <row r="69" spans="3:10" x14ac:dyDescent="0.25">
      <c r="C69" s="12"/>
      <c r="D69" s="12"/>
      <c r="E69" s="12"/>
      <c r="F69" s="12"/>
      <c r="G69" s="12"/>
      <c r="H69" s="12"/>
      <c r="I69" s="12"/>
      <c r="J69" s="12"/>
    </row>
    <row r="70" spans="3:10" x14ac:dyDescent="0.25">
      <c r="C70" s="12"/>
      <c r="D70" s="12"/>
      <c r="E70" s="12"/>
      <c r="F70" s="12"/>
      <c r="G70" s="12"/>
      <c r="H70" s="12"/>
      <c r="I70" s="12"/>
      <c r="J70" s="12"/>
    </row>
    <row r="71" spans="3:10" x14ac:dyDescent="0.25">
      <c r="C71" s="12"/>
      <c r="D71" s="12"/>
      <c r="E71" s="12"/>
      <c r="F71" s="12"/>
      <c r="G71" s="12"/>
      <c r="H71" s="12"/>
      <c r="I71" s="12"/>
      <c r="J71" s="12"/>
    </row>
    <row r="72" spans="3:10" x14ac:dyDescent="0.25">
      <c r="C72" s="12"/>
      <c r="D72" s="12"/>
      <c r="E72" s="12"/>
      <c r="F72" s="12"/>
      <c r="G72" s="12"/>
      <c r="H72" s="12"/>
      <c r="I72" s="12"/>
      <c r="J72" s="12"/>
    </row>
    <row r="73" spans="3:10" x14ac:dyDescent="0.25">
      <c r="C73" s="12"/>
      <c r="D73" s="12"/>
      <c r="E73" s="12"/>
      <c r="F73" s="12"/>
      <c r="G73" s="12"/>
      <c r="H73" s="12"/>
      <c r="I73" s="12"/>
      <c r="J73" s="12"/>
    </row>
    <row r="74" spans="3:10" x14ac:dyDescent="0.25">
      <c r="C74" s="12"/>
      <c r="D74" s="12"/>
      <c r="E74" s="12"/>
      <c r="F74" s="12"/>
      <c r="G74" s="12"/>
      <c r="H74" s="12"/>
      <c r="I74" s="12"/>
      <c r="J74" s="12"/>
    </row>
    <row r="75" spans="3:10" x14ac:dyDescent="0.25">
      <c r="C75" s="12"/>
      <c r="D75" s="12"/>
      <c r="E75" s="12"/>
      <c r="F75" s="12"/>
      <c r="G75" s="12"/>
      <c r="H75" s="12"/>
      <c r="I75" s="12"/>
      <c r="J75" s="12"/>
    </row>
    <row r="76" spans="3:10" x14ac:dyDescent="0.25">
      <c r="C76" s="12"/>
      <c r="D76" s="12"/>
      <c r="E76" s="12"/>
      <c r="F76" s="12"/>
      <c r="G76" s="12"/>
      <c r="H76" s="12"/>
      <c r="I76" s="12"/>
      <c r="J76" s="12"/>
    </row>
    <row r="77" spans="3:10" x14ac:dyDescent="0.25">
      <c r="C77" s="12"/>
      <c r="D77" s="12"/>
      <c r="E77" s="12"/>
      <c r="F77" s="12"/>
      <c r="G77" s="12"/>
      <c r="H77" s="12"/>
      <c r="I77" s="12"/>
      <c r="J77" s="12"/>
    </row>
    <row r="78" spans="3:10" x14ac:dyDescent="0.25">
      <c r="C78" s="12"/>
      <c r="D78" s="12"/>
      <c r="E78" s="12"/>
      <c r="F78" s="12"/>
      <c r="G78" s="12"/>
      <c r="H78" s="12"/>
      <c r="I78" s="12"/>
      <c r="J78" s="12"/>
    </row>
    <row r="79" spans="3:10" x14ac:dyDescent="0.25">
      <c r="C79" s="12"/>
      <c r="D79" s="12"/>
      <c r="E79" s="12"/>
      <c r="F79" s="12"/>
      <c r="G79" s="12"/>
      <c r="H79" s="12"/>
      <c r="I79" s="12"/>
      <c r="J79" s="12"/>
    </row>
    <row r="80" spans="3:10" x14ac:dyDescent="0.25">
      <c r="C80" s="12"/>
      <c r="D80" s="12"/>
      <c r="E80" s="12"/>
      <c r="F80" s="12"/>
      <c r="G80" s="12"/>
      <c r="H80" s="12"/>
      <c r="I80" s="12"/>
      <c r="J80" s="12"/>
    </row>
    <row r="81" spans="3:10" x14ac:dyDescent="0.25">
      <c r="C81" s="12"/>
      <c r="D81" s="12"/>
      <c r="E81" s="12"/>
      <c r="F81" s="12"/>
      <c r="G81" s="12"/>
      <c r="H81" s="12"/>
      <c r="I81" s="12"/>
      <c r="J81" s="12"/>
    </row>
    <row r="82" spans="3:10" x14ac:dyDescent="0.25">
      <c r="C82" s="12"/>
      <c r="D82" s="12"/>
      <c r="E82" s="12"/>
      <c r="F82" s="12"/>
      <c r="G82" s="12"/>
      <c r="H82" s="12"/>
      <c r="I82" s="12"/>
      <c r="J82" s="12"/>
    </row>
    <row r="83" spans="3:10" x14ac:dyDescent="0.25">
      <c r="C83" s="12"/>
      <c r="D83" s="12"/>
      <c r="E83" s="12"/>
      <c r="F83" s="12"/>
      <c r="G83" s="12"/>
      <c r="H83" s="12"/>
      <c r="I83" s="12"/>
      <c r="J83" s="12"/>
    </row>
    <row r="84" spans="3:10" x14ac:dyDescent="0.25">
      <c r="C84" s="12"/>
      <c r="D84" s="12"/>
      <c r="E84" s="12"/>
      <c r="F84" s="12"/>
      <c r="G84" s="12"/>
      <c r="H84" s="12"/>
      <c r="I84" s="12"/>
      <c r="J84" s="12"/>
    </row>
    <row r="85" spans="3:10" x14ac:dyDescent="0.25">
      <c r="C85" s="12"/>
      <c r="D85" s="12"/>
      <c r="E85" s="12"/>
      <c r="F85" s="12"/>
      <c r="G85" s="12"/>
      <c r="H85" s="12"/>
      <c r="I85" s="12"/>
      <c r="J85" s="12"/>
    </row>
    <row r="86" spans="3:10" x14ac:dyDescent="0.25">
      <c r="C86" s="12"/>
      <c r="D86" s="12"/>
      <c r="E86" s="12"/>
      <c r="F86" s="12"/>
      <c r="G86" s="12"/>
      <c r="H86" s="12"/>
      <c r="I86" s="12"/>
      <c r="J86" s="12"/>
    </row>
    <row r="87" spans="3:10" x14ac:dyDescent="0.25">
      <c r="C87" s="12"/>
      <c r="D87" s="12"/>
      <c r="E87" s="12"/>
      <c r="F87" s="12"/>
      <c r="G87" s="12"/>
      <c r="H87" s="12"/>
      <c r="I87" s="12"/>
      <c r="J87" s="12"/>
    </row>
    <row r="88" spans="3:10" x14ac:dyDescent="0.25">
      <c r="C88" s="12"/>
      <c r="D88" s="12"/>
      <c r="E88" s="12"/>
      <c r="F88" s="12"/>
      <c r="G88" s="12"/>
      <c r="H88" s="12"/>
      <c r="I88" s="12"/>
      <c r="J88" s="12"/>
    </row>
    <row r="89" spans="3:10" x14ac:dyDescent="0.25">
      <c r="C89" s="12"/>
      <c r="D89" s="12"/>
      <c r="E89" s="12"/>
      <c r="F89" s="12"/>
      <c r="G89" s="12"/>
      <c r="H89" s="12"/>
      <c r="I89" s="12"/>
      <c r="J89" s="12"/>
    </row>
    <row r="90" spans="3:10" x14ac:dyDescent="0.25">
      <c r="C90" s="12"/>
      <c r="D90" s="12"/>
      <c r="E90" s="12"/>
      <c r="F90" s="12"/>
      <c r="G90" s="12"/>
      <c r="H90" s="12"/>
      <c r="I90" s="12"/>
      <c r="J90" s="12"/>
    </row>
    <row r="91" spans="3:10" x14ac:dyDescent="0.25">
      <c r="C91" s="12"/>
      <c r="D91" s="12"/>
      <c r="E91" s="12"/>
      <c r="F91" s="12"/>
      <c r="G91" s="12"/>
      <c r="H91" s="12"/>
      <c r="I91" s="12"/>
      <c r="J91" s="12"/>
    </row>
    <row r="92" spans="3:10" x14ac:dyDescent="0.25">
      <c r="C92" s="12"/>
      <c r="D92" s="12"/>
      <c r="E92" s="12"/>
      <c r="F92" s="12"/>
      <c r="G92" s="12"/>
      <c r="H92" s="12"/>
      <c r="I92" s="12"/>
      <c r="J92" s="12"/>
    </row>
    <row r="93" spans="3:10" x14ac:dyDescent="0.25">
      <c r="C93" s="12"/>
      <c r="D93" s="12"/>
      <c r="E93" s="12"/>
      <c r="F93" s="12"/>
      <c r="G93" s="12"/>
      <c r="H93" s="12"/>
      <c r="I93" s="12"/>
      <c r="J93" s="12"/>
    </row>
    <row r="94" spans="3:10" x14ac:dyDescent="0.25">
      <c r="C94" s="12"/>
      <c r="D94" s="12"/>
      <c r="E94" s="12"/>
      <c r="F94" s="12"/>
      <c r="G94" s="12"/>
      <c r="H94" s="12"/>
      <c r="I94" s="12"/>
      <c r="J94" s="12"/>
    </row>
    <row r="95" spans="3:10" x14ac:dyDescent="0.25">
      <c r="C95" s="12"/>
      <c r="D95" s="12"/>
      <c r="E95" s="12"/>
      <c r="F95" s="12"/>
      <c r="G95" s="12"/>
      <c r="H95" s="12"/>
      <c r="I95" s="12"/>
      <c r="J95" s="12"/>
    </row>
    <row r="96" spans="3:10" x14ac:dyDescent="0.25">
      <c r="C96" s="12"/>
      <c r="D96" s="12"/>
      <c r="E96" s="12"/>
      <c r="F96" s="12"/>
      <c r="G96" s="12"/>
      <c r="H96" s="12"/>
      <c r="I96" s="12"/>
      <c r="J96" s="12"/>
    </row>
    <row r="97" spans="3:10" x14ac:dyDescent="0.25">
      <c r="C97" s="12"/>
      <c r="D97" s="12"/>
      <c r="E97" s="12"/>
      <c r="F97" s="12"/>
      <c r="G97" s="12"/>
      <c r="H97" s="12"/>
      <c r="I97" s="12"/>
      <c r="J97" s="12"/>
    </row>
    <row r="98" spans="3:10" x14ac:dyDescent="0.25">
      <c r="C98" s="12"/>
      <c r="D98" s="12"/>
      <c r="E98" s="12"/>
      <c r="F98" s="12"/>
      <c r="G98" s="12"/>
      <c r="H98" s="12"/>
      <c r="I98" s="12"/>
      <c r="J98" s="12"/>
    </row>
    <row r="99" spans="3:10" x14ac:dyDescent="0.25">
      <c r="C99" s="12"/>
      <c r="D99" s="12"/>
      <c r="E99" s="12"/>
      <c r="F99" s="12"/>
      <c r="G99" s="12"/>
      <c r="H99" s="12"/>
      <c r="I99" s="12"/>
      <c r="J99" s="12"/>
    </row>
    <row r="100" spans="3:10" x14ac:dyDescent="0.25">
      <c r="C100" s="12"/>
      <c r="D100" s="12"/>
      <c r="E100" s="12"/>
      <c r="F100" s="12"/>
      <c r="G100" s="12"/>
      <c r="H100" s="12"/>
      <c r="I100" s="12"/>
      <c r="J100" s="12"/>
    </row>
    <row r="101" spans="3:10" x14ac:dyDescent="0.25">
      <c r="C101" s="12"/>
      <c r="D101" s="12"/>
      <c r="E101" s="12"/>
      <c r="F101" s="12"/>
      <c r="G101" s="12"/>
      <c r="H101" s="12"/>
      <c r="I101" s="12"/>
      <c r="J101" s="12"/>
    </row>
    <row r="102" spans="3:10" x14ac:dyDescent="0.25">
      <c r="C102" s="12"/>
      <c r="D102" s="12"/>
      <c r="E102" s="12"/>
      <c r="F102" s="12"/>
      <c r="G102" s="12"/>
      <c r="H102" s="12"/>
      <c r="I102" s="12"/>
      <c r="J102" s="12"/>
    </row>
    <row r="103" spans="3:10" x14ac:dyDescent="0.25">
      <c r="C103" s="12"/>
      <c r="D103" s="12"/>
      <c r="E103" s="12"/>
      <c r="F103" s="12"/>
      <c r="G103" s="12"/>
      <c r="H103" s="12"/>
      <c r="I103" s="12"/>
      <c r="J103" s="12"/>
    </row>
    <row r="104" spans="3:10" x14ac:dyDescent="0.25">
      <c r="C104" s="12"/>
      <c r="D104" s="12"/>
      <c r="E104" s="12"/>
      <c r="F104" s="12"/>
      <c r="G104" s="12"/>
      <c r="H104" s="12"/>
      <c r="I104" s="12"/>
      <c r="J104" s="12"/>
    </row>
    <row r="105" spans="3:10" x14ac:dyDescent="0.25">
      <c r="C105" s="12"/>
      <c r="D105" s="12"/>
      <c r="E105" s="12"/>
      <c r="F105" s="12"/>
      <c r="G105" s="12"/>
      <c r="H105" s="12"/>
      <c r="I105" s="12"/>
      <c r="J105" s="12"/>
    </row>
    <row r="106" spans="3:10" x14ac:dyDescent="0.25">
      <c r="C106" s="12"/>
      <c r="D106" s="12"/>
      <c r="E106" s="12"/>
      <c r="F106" s="12"/>
      <c r="G106" s="12"/>
      <c r="H106" s="12"/>
      <c r="I106" s="12"/>
      <c r="J106" s="12"/>
    </row>
    <row r="107" spans="3:10" x14ac:dyDescent="0.25">
      <c r="C107" s="12"/>
      <c r="D107" s="12"/>
      <c r="E107" s="12"/>
      <c r="F107" s="12"/>
      <c r="G107" s="12"/>
      <c r="H107" s="12"/>
      <c r="I107" s="12"/>
      <c r="J107" s="12"/>
    </row>
    <row r="108" spans="3:10" x14ac:dyDescent="0.25">
      <c r="C108" s="12"/>
      <c r="D108" s="12"/>
      <c r="E108" s="12"/>
      <c r="F108" s="12"/>
      <c r="G108" s="12"/>
      <c r="H108" s="12"/>
      <c r="I108" s="12"/>
      <c r="J108" s="12"/>
    </row>
    <row r="109" spans="3:10" x14ac:dyDescent="0.25">
      <c r="C109" s="12"/>
      <c r="D109" s="12"/>
      <c r="E109" s="12"/>
      <c r="F109" s="12"/>
      <c r="G109" s="12"/>
      <c r="H109" s="12"/>
      <c r="I109" s="12"/>
      <c r="J109" s="12"/>
    </row>
    <row r="110" spans="3:10" x14ac:dyDescent="0.25">
      <c r="C110" s="12"/>
      <c r="D110" s="12"/>
      <c r="E110" s="12"/>
      <c r="F110" s="12"/>
      <c r="G110" s="12"/>
      <c r="H110" s="12"/>
      <c r="I110" s="12"/>
      <c r="J110" s="12"/>
    </row>
    <row r="111" spans="3:10" x14ac:dyDescent="0.25">
      <c r="C111" s="12"/>
      <c r="D111" s="12"/>
      <c r="E111" s="12"/>
      <c r="F111" s="12"/>
      <c r="G111" s="12"/>
      <c r="H111" s="12"/>
      <c r="I111" s="12"/>
      <c r="J111" s="12"/>
    </row>
    <row r="112" spans="3:10" x14ac:dyDescent="0.25">
      <c r="C112" s="12"/>
      <c r="D112" s="12"/>
      <c r="E112" s="12"/>
      <c r="F112" s="12"/>
      <c r="G112" s="12"/>
      <c r="H112" s="12"/>
      <c r="I112" s="12"/>
      <c r="J112" s="12"/>
    </row>
    <row r="113" spans="3:10" x14ac:dyDescent="0.25">
      <c r="C113" s="12"/>
      <c r="D113" s="12"/>
      <c r="E113" s="12"/>
      <c r="F113" s="12"/>
      <c r="G113" s="12"/>
      <c r="H113" s="12"/>
      <c r="I113" s="12"/>
      <c r="J113" s="12"/>
    </row>
    <row r="114" spans="3:10" x14ac:dyDescent="0.25">
      <c r="C114" s="12"/>
      <c r="D114" s="12"/>
      <c r="E114" s="12"/>
      <c r="F114" s="12"/>
      <c r="G114" s="12"/>
      <c r="H114" s="12"/>
      <c r="I114" s="12"/>
      <c r="J114" s="12"/>
    </row>
    <row r="115" spans="3:10" x14ac:dyDescent="0.25">
      <c r="C115" s="12"/>
      <c r="D115" s="12"/>
      <c r="E115" s="12"/>
      <c r="F115" s="12"/>
      <c r="G115" s="12"/>
      <c r="H115" s="12"/>
      <c r="I115" s="12"/>
      <c r="J115" s="12"/>
    </row>
    <row r="116" spans="3:10" x14ac:dyDescent="0.25">
      <c r="C116" s="12"/>
      <c r="D116" s="12"/>
      <c r="E116" s="12"/>
      <c r="F116" s="12"/>
      <c r="G116" s="12"/>
      <c r="H116" s="12"/>
      <c r="I116" s="12"/>
      <c r="J116" s="12"/>
    </row>
    <row r="117" spans="3:10" x14ac:dyDescent="0.25">
      <c r="C117" s="12"/>
      <c r="D117" s="12"/>
      <c r="E117" s="12"/>
      <c r="F117" s="12"/>
      <c r="G117" s="12"/>
      <c r="H117" s="12"/>
      <c r="I117" s="12"/>
      <c r="J117" s="12"/>
    </row>
    <row r="118" spans="3:10" x14ac:dyDescent="0.25">
      <c r="C118" s="12"/>
      <c r="D118" s="12"/>
      <c r="E118" s="12"/>
      <c r="F118" s="12"/>
      <c r="G118" s="12"/>
      <c r="H118" s="12"/>
      <c r="I118" s="12"/>
      <c r="J118" s="12"/>
    </row>
    <row r="119" spans="3:10" x14ac:dyDescent="0.25">
      <c r="C119" s="12"/>
      <c r="D119" s="12"/>
      <c r="E119" s="12"/>
      <c r="F119" s="12"/>
      <c r="G119" s="12"/>
      <c r="H119" s="12"/>
      <c r="I119" s="12"/>
      <c r="J119" s="12"/>
    </row>
    <row r="120" spans="3:10" x14ac:dyDescent="0.25">
      <c r="C120" s="12"/>
      <c r="D120" s="12"/>
      <c r="E120" s="12"/>
      <c r="F120" s="12"/>
      <c r="G120" s="12"/>
      <c r="H120" s="12"/>
      <c r="I120" s="12"/>
      <c r="J120" s="12"/>
    </row>
    <row r="121" spans="3:10" x14ac:dyDescent="0.25">
      <c r="C121" s="12"/>
      <c r="D121" s="12"/>
      <c r="E121" s="12"/>
      <c r="F121" s="12"/>
      <c r="G121" s="12"/>
      <c r="H121" s="12"/>
      <c r="I121" s="12"/>
      <c r="J121" s="12"/>
    </row>
    <row r="122" spans="3:10" x14ac:dyDescent="0.25">
      <c r="C122" s="12"/>
      <c r="D122" s="12"/>
      <c r="E122" s="12"/>
      <c r="F122" s="12"/>
      <c r="G122" s="12"/>
      <c r="H122" s="12"/>
      <c r="I122" s="12"/>
      <c r="J122" s="12"/>
    </row>
    <row r="123" spans="3:10" x14ac:dyDescent="0.25">
      <c r="C123" s="12"/>
      <c r="D123" s="12"/>
      <c r="E123" s="12"/>
      <c r="F123" s="12"/>
      <c r="G123" s="12"/>
      <c r="H123" s="12"/>
      <c r="I123" s="12"/>
      <c r="J123" s="12"/>
    </row>
    <row r="124" spans="3:10" x14ac:dyDescent="0.25">
      <c r="C124" s="12"/>
      <c r="D124" s="12"/>
      <c r="E124" s="12"/>
      <c r="F124" s="12"/>
      <c r="G124" s="12"/>
      <c r="H124" s="12"/>
      <c r="I124" s="12"/>
      <c r="J124" s="12"/>
    </row>
    <row r="125" spans="3:10" x14ac:dyDescent="0.25">
      <c r="C125" s="12"/>
      <c r="D125" s="12"/>
      <c r="E125" s="12"/>
      <c r="F125" s="12"/>
      <c r="G125" s="12"/>
      <c r="H125" s="12"/>
      <c r="I125" s="12"/>
      <c r="J125" s="12"/>
    </row>
    <row r="126" spans="3:10" x14ac:dyDescent="0.25">
      <c r="C126" s="12"/>
      <c r="D126" s="12"/>
      <c r="E126" s="12"/>
      <c r="F126" s="12"/>
      <c r="G126" s="12"/>
      <c r="H126" s="12"/>
      <c r="I126" s="12"/>
      <c r="J126" s="12"/>
    </row>
    <row r="127" spans="3:10" x14ac:dyDescent="0.25">
      <c r="C127" s="12"/>
      <c r="D127" s="12"/>
      <c r="E127" s="12"/>
      <c r="F127" s="12"/>
      <c r="G127" s="12"/>
      <c r="H127" s="12"/>
      <c r="I127" s="12"/>
      <c r="J127" s="12"/>
    </row>
    <row r="128" spans="3:10" x14ac:dyDescent="0.25">
      <c r="C128" s="12"/>
      <c r="D128" s="12"/>
      <c r="E128" s="12"/>
      <c r="F128" s="12"/>
      <c r="G128" s="12"/>
      <c r="H128" s="12"/>
      <c r="I128" s="12"/>
      <c r="J128" s="12"/>
    </row>
    <row r="129" spans="3:10" x14ac:dyDescent="0.25">
      <c r="C129" s="12"/>
      <c r="D129" s="12"/>
      <c r="E129" s="12"/>
      <c r="F129" s="12"/>
      <c r="G129" s="12"/>
      <c r="H129" s="12"/>
      <c r="I129" s="12"/>
      <c r="J129" s="12"/>
    </row>
    <row r="130" spans="3:10" x14ac:dyDescent="0.25">
      <c r="C130" s="12"/>
      <c r="D130" s="12"/>
      <c r="E130" s="12"/>
      <c r="F130" s="12"/>
      <c r="G130" s="12"/>
      <c r="H130" s="12"/>
      <c r="I130" s="12"/>
      <c r="J130" s="12"/>
    </row>
    <row r="131" spans="3:10" x14ac:dyDescent="0.25">
      <c r="C131" s="12"/>
      <c r="D131" s="12"/>
      <c r="E131" s="12"/>
      <c r="F131" s="12"/>
      <c r="G131" s="12"/>
      <c r="H131" s="12"/>
      <c r="I131" s="12"/>
      <c r="J131" s="12"/>
    </row>
    <row r="132" spans="3:10" x14ac:dyDescent="0.25">
      <c r="C132" s="12"/>
      <c r="D132" s="12"/>
      <c r="E132" s="12"/>
      <c r="F132" s="12"/>
      <c r="G132" s="12"/>
      <c r="H132" s="12"/>
      <c r="I132" s="12"/>
      <c r="J132" s="12"/>
    </row>
    <row r="133" spans="3:10" x14ac:dyDescent="0.25">
      <c r="C133" s="12"/>
      <c r="D133" s="12"/>
      <c r="E133" s="12"/>
      <c r="F133" s="12"/>
      <c r="G133" s="12"/>
      <c r="H133" s="12"/>
      <c r="I133" s="12"/>
      <c r="J133" s="12"/>
    </row>
    <row r="134" spans="3:10" x14ac:dyDescent="0.25">
      <c r="C134" s="12"/>
      <c r="D134" s="12"/>
      <c r="E134" s="12"/>
      <c r="F134" s="12"/>
      <c r="G134" s="12"/>
      <c r="H134" s="12"/>
      <c r="I134" s="12"/>
      <c r="J134" s="12"/>
    </row>
    <row r="135" spans="3:10" x14ac:dyDescent="0.25">
      <c r="C135" s="12"/>
      <c r="D135" s="12"/>
      <c r="E135" s="12"/>
      <c r="F135" s="12"/>
      <c r="G135" s="12"/>
      <c r="H135" s="12"/>
      <c r="I135" s="12"/>
      <c r="J135" s="12"/>
    </row>
    <row r="136" spans="3:10" x14ac:dyDescent="0.25">
      <c r="C136" s="12"/>
      <c r="D136" s="12"/>
      <c r="E136" s="12"/>
      <c r="F136" s="12"/>
      <c r="G136" s="12"/>
      <c r="H136" s="12"/>
      <c r="I136" s="12"/>
      <c r="J136" s="12"/>
    </row>
    <row r="137" spans="3:10" x14ac:dyDescent="0.25">
      <c r="C137" s="12"/>
      <c r="D137" s="12"/>
      <c r="E137" s="12"/>
      <c r="F137" s="12"/>
      <c r="G137" s="12"/>
      <c r="H137" s="12"/>
      <c r="I137" s="12"/>
      <c r="J137" s="12"/>
    </row>
    <row r="138" spans="3:10" x14ac:dyDescent="0.25">
      <c r="C138" s="12"/>
      <c r="D138" s="12"/>
      <c r="E138" s="12"/>
      <c r="F138" s="12"/>
      <c r="G138" s="12"/>
      <c r="H138" s="12"/>
      <c r="I138" s="12"/>
      <c r="J138" s="12"/>
    </row>
    <row r="139" spans="3:10" x14ac:dyDescent="0.25">
      <c r="C139" s="12"/>
      <c r="D139" s="12"/>
      <c r="E139" s="12"/>
      <c r="F139" s="12"/>
      <c r="G139" s="12"/>
      <c r="H139" s="12"/>
      <c r="I139" s="12"/>
      <c r="J139" s="12"/>
    </row>
    <row r="140" spans="3:10" x14ac:dyDescent="0.25">
      <c r="C140" s="12"/>
      <c r="D140" s="12"/>
      <c r="E140" s="12"/>
      <c r="F140" s="12"/>
      <c r="G140" s="12"/>
      <c r="H140" s="12"/>
      <c r="I140" s="12"/>
      <c r="J140" s="12"/>
    </row>
    <row r="141" spans="3:10" x14ac:dyDescent="0.25">
      <c r="C141" s="12"/>
      <c r="D141" s="12"/>
      <c r="E141" s="12"/>
      <c r="F141" s="12"/>
      <c r="G141" s="12"/>
      <c r="H141" s="12"/>
      <c r="I141" s="12"/>
      <c r="J141" s="12"/>
    </row>
    <row r="142" spans="3:10" x14ac:dyDescent="0.25">
      <c r="C142" s="12"/>
      <c r="D142" s="12"/>
      <c r="E142" s="12"/>
      <c r="F142" s="12"/>
      <c r="G142" s="12"/>
      <c r="H142" s="12"/>
      <c r="I142" s="12"/>
      <c r="J142" s="12"/>
    </row>
    <row r="143" spans="3:10" x14ac:dyDescent="0.25">
      <c r="C143" s="12"/>
      <c r="D143" s="12"/>
      <c r="E143" s="12"/>
      <c r="F143" s="12"/>
      <c r="G143" s="12"/>
      <c r="H143" s="12"/>
      <c r="I143" s="12"/>
      <c r="J143" s="12"/>
    </row>
    <row r="144" spans="3:10" x14ac:dyDescent="0.25">
      <c r="C144" s="12"/>
      <c r="D144" s="12"/>
      <c r="E144" s="12"/>
      <c r="F144" s="12"/>
      <c r="G144" s="12"/>
      <c r="H144" s="12"/>
      <c r="I144" s="12"/>
      <c r="J144" s="12"/>
    </row>
    <row r="145" spans="3:10" x14ac:dyDescent="0.25">
      <c r="C145" s="12"/>
      <c r="D145" s="12"/>
      <c r="E145" s="12"/>
      <c r="F145" s="12"/>
      <c r="G145" s="12"/>
      <c r="H145" s="12"/>
      <c r="I145" s="12"/>
      <c r="J145" s="12"/>
    </row>
    <row r="146" spans="3:10" x14ac:dyDescent="0.25">
      <c r="C146" s="12"/>
      <c r="D146" s="12"/>
      <c r="E146" s="12"/>
      <c r="F146" s="12"/>
      <c r="G146" s="12"/>
      <c r="H146" s="12"/>
      <c r="I146" s="12"/>
      <c r="J146" s="12"/>
    </row>
    <row r="147" spans="3:10" x14ac:dyDescent="0.25">
      <c r="C147" s="12"/>
      <c r="D147" s="12"/>
      <c r="E147" s="12"/>
      <c r="F147" s="12"/>
      <c r="G147" s="12"/>
      <c r="H147" s="12"/>
      <c r="I147" s="12"/>
      <c r="J147" s="12"/>
    </row>
    <row r="148" spans="3:10" x14ac:dyDescent="0.25">
      <c r="C148" s="12"/>
      <c r="D148" s="12"/>
      <c r="E148" s="12"/>
      <c r="F148" s="12"/>
      <c r="G148" s="12"/>
      <c r="H148" s="12"/>
      <c r="I148" s="12"/>
      <c r="J148" s="12"/>
    </row>
    <row r="149" spans="3:10" x14ac:dyDescent="0.25">
      <c r="C149" s="12"/>
      <c r="D149" s="12"/>
      <c r="E149" s="12"/>
      <c r="F149" s="12"/>
      <c r="G149" s="12"/>
      <c r="H149" s="12"/>
      <c r="I149" s="12"/>
      <c r="J149" s="12"/>
    </row>
    <row r="150" spans="3:10" x14ac:dyDescent="0.25">
      <c r="C150" s="12"/>
      <c r="D150" s="12"/>
      <c r="E150" s="12"/>
      <c r="F150" s="12"/>
      <c r="G150" s="12"/>
      <c r="H150" s="12"/>
      <c r="I150" s="12"/>
      <c r="J150" s="12"/>
    </row>
    <row r="151" spans="3:10" x14ac:dyDescent="0.25">
      <c r="C151" s="12"/>
      <c r="D151" s="12"/>
      <c r="E151" s="12"/>
      <c r="F151" s="12"/>
      <c r="G151" s="12"/>
      <c r="H151" s="12"/>
      <c r="I151" s="12"/>
      <c r="J151" s="12"/>
    </row>
    <row r="152" spans="3:10" x14ac:dyDescent="0.25">
      <c r="C152" s="12"/>
      <c r="D152" s="12"/>
      <c r="E152" s="12"/>
      <c r="F152" s="12"/>
      <c r="G152" s="12"/>
      <c r="H152" s="12"/>
      <c r="I152" s="12"/>
      <c r="J152" s="12"/>
    </row>
    <row r="153" spans="3:10" x14ac:dyDescent="0.25">
      <c r="C153" s="12"/>
      <c r="D153" s="12"/>
      <c r="E153" s="12"/>
      <c r="F153" s="12"/>
      <c r="G153" s="12"/>
      <c r="H153" s="12"/>
      <c r="I153" s="12"/>
      <c r="J153" s="12"/>
    </row>
    <row r="154" spans="3:10" x14ac:dyDescent="0.25">
      <c r="C154" s="12"/>
      <c r="D154" s="12"/>
      <c r="E154" s="12"/>
      <c r="F154" s="12"/>
      <c r="G154" s="12"/>
      <c r="H154" s="12"/>
      <c r="I154" s="12"/>
      <c r="J154" s="12"/>
    </row>
    <row r="155" spans="3:10" x14ac:dyDescent="0.25">
      <c r="C155" s="12"/>
      <c r="D155" s="12"/>
      <c r="E155" s="12"/>
      <c r="F155" s="12"/>
      <c r="G155" s="12"/>
      <c r="H155" s="12"/>
      <c r="I155" s="12"/>
      <c r="J155" s="12"/>
    </row>
    <row r="156" spans="3:10" x14ac:dyDescent="0.25">
      <c r="C156" s="12"/>
      <c r="D156" s="12"/>
      <c r="E156" s="12"/>
      <c r="F156" s="12"/>
      <c r="G156" s="12"/>
      <c r="H156" s="12"/>
      <c r="I156" s="12"/>
      <c r="J156" s="12"/>
    </row>
    <row r="157" spans="3:10" x14ac:dyDescent="0.25">
      <c r="C157" s="12"/>
      <c r="D157" s="12"/>
      <c r="E157" s="12"/>
      <c r="F157" s="12"/>
      <c r="G157" s="12"/>
      <c r="H157" s="12"/>
      <c r="I157" s="12"/>
      <c r="J157" s="12"/>
    </row>
    <row r="158" spans="3:10" x14ac:dyDescent="0.25">
      <c r="C158" s="12"/>
      <c r="D158" s="12"/>
      <c r="E158" s="12"/>
      <c r="F158" s="12"/>
      <c r="G158" s="12"/>
      <c r="H158" s="12"/>
      <c r="I158" s="12"/>
      <c r="J158" s="12"/>
    </row>
    <row r="159" spans="3:10" x14ac:dyDescent="0.25">
      <c r="C159" s="12"/>
      <c r="D159" s="12"/>
      <c r="E159" s="12"/>
      <c r="F159" s="12"/>
      <c r="G159" s="12"/>
      <c r="H159" s="12"/>
      <c r="I159" s="12"/>
      <c r="J159" s="12"/>
    </row>
    <row r="160" spans="3:10" x14ac:dyDescent="0.25">
      <c r="C160" s="12"/>
      <c r="D160" s="12"/>
      <c r="E160" s="12"/>
      <c r="F160" s="12"/>
      <c r="G160" s="12"/>
      <c r="H160" s="12"/>
      <c r="I160" s="12"/>
      <c r="J160" s="12"/>
    </row>
    <row r="161" spans="3:10" x14ac:dyDescent="0.25">
      <c r="C161" s="12"/>
      <c r="D161" s="12"/>
      <c r="E161" s="12"/>
      <c r="F161" s="12"/>
      <c r="G161" s="12"/>
      <c r="H161" s="12"/>
      <c r="I161" s="12"/>
      <c r="J161" s="12"/>
    </row>
    <row r="162" spans="3:10" x14ac:dyDescent="0.25">
      <c r="C162" s="12"/>
      <c r="D162" s="12"/>
      <c r="E162" s="12"/>
      <c r="F162" s="12"/>
      <c r="G162" s="12"/>
      <c r="H162" s="12"/>
      <c r="I162" s="12"/>
      <c r="J162" s="12"/>
    </row>
    <row r="163" spans="3:10" x14ac:dyDescent="0.25">
      <c r="C163" s="12"/>
      <c r="D163" s="12"/>
      <c r="E163" s="12"/>
      <c r="F163" s="12"/>
      <c r="G163" s="12"/>
      <c r="H163" s="12"/>
      <c r="I163" s="12"/>
      <c r="J163" s="12"/>
    </row>
    <row r="164" spans="3:10" x14ac:dyDescent="0.25">
      <c r="C164" s="12"/>
      <c r="D164" s="12"/>
      <c r="E164" s="12"/>
      <c r="F164" s="12"/>
      <c r="G164" s="12"/>
      <c r="H164" s="12"/>
      <c r="I164" s="12"/>
      <c r="J164" s="12"/>
    </row>
    <row r="165" spans="3:10" x14ac:dyDescent="0.25">
      <c r="C165" s="12"/>
      <c r="D165" s="12"/>
      <c r="E165" s="12"/>
      <c r="F165" s="12"/>
      <c r="G165" s="12"/>
      <c r="H165" s="12"/>
      <c r="I165" s="12"/>
      <c r="J165" s="12"/>
    </row>
    <row r="166" spans="3:10" x14ac:dyDescent="0.25">
      <c r="C166" s="12"/>
      <c r="D166" s="12"/>
      <c r="E166" s="12"/>
      <c r="F166" s="12"/>
      <c r="G166" s="12"/>
      <c r="H166" s="12"/>
      <c r="I166" s="12"/>
      <c r="J166" s="12"/>
    </row>
    <row r="167" spans="3:10" x14ac:dyDescent="0.25">
      <c r="C167" s="12"/>
      <c r="D167" s="12"/>
      <c r="E167" s="12"/>
      <c r="F167" s="12"/>
      <c r="G167" s="12"/>
      <c r="H167" s="12"/>
      <c r="I167" s="12"/>
      <c r="J167" s="12"/>
    </row>
    <row r="168" spans="3:10" x14ac:dyDescent="0.25">
      <c r="C168" s="12"/>
      <c r="D168" s="12"/>
      <c r="E168" s="12"/>
      <c r="F168" s="12"/>
      <c r="G168" s="12"/>
      <c r="H168" s="12"/>
      <c r="I168" s="12"/>
      <c r="J168" s="12"/>
    </row>
    <row r="169" spans="3:10" x14ac:dyDescent="0.25">
      <c r="C169" s="12"/>
      <c r="D169" s="12"/>
      <c r="E169" s="12"/>
      <c r="F169" s="12"/>
      <c r="G169" s="12"/>
      <c r="H169" s="12"/>
      <c r="I169" s="12"/>
      <c r="J169" s="12"/>
    </row>
    <row r="170" spans="3:10" x14ac:dyDescent="0.25">
      <c r="C170" s="12"/>
      <c r="D170" s="12"/>
      <c r="E170" s="12"/>
      <c r="F170" s="12"/>
      <c r="G170" s="12"/>
      <c r="H170" s="12"/>
      <c r="I170" s="12"/>
      <c r="J170" s="12"/>
    </row>
    <row r="171" spans="3:10" x14ac:dyDescent="0.25">
      <c r="C171" s="12"/>
      <c r="D171" s="12"/>
      <c r="E171" s="12"/>
      <c r="F171" s="12"/>
      <c r="G171" s="12"/>
      <c r="H171" s="12"/>
      <c r="I171" s="12"/>
      <c r="J171" s="12"/>
    </row>
    <row r="172" spans="3:10" x14ac:dyDescent="0.25">
      <c r="C172" s="12"/>
      <c r="D172" s="12"/>
      <c r="E172" s="12"/>
      <c r="F172" s="12"/>
      <c r="G172" s="12"/>
      <c r="H172" s="12"/>
      <c r="I172" s="12"/>
      <c r="J172" s="12"/>
    </row>
    <row r="173" spans="3:10" x14ac:dyDescent="0.25">
      <c r="C173" s="12"/>
      <c r="D173" s="12"/>
      <c r="E173" s="12"/>
      <c r="F173" s="12"/>
      <c r="G173" s="12"/>
      <c r="H173" s="12"/>
      <c r="I173" s="12"/>
      <c r="J173" s="12"/>
    </row>
    <row r="174" spans="3:10" x14ac:dyDescent="0.25">
      <c r="C174" s="12"/>
      <c r="D174" s="12"/>
      <c r="E174" s="12"/>
      <c r="F174" s="12"/>
      <c r="G174" s="12"/>
      <c r="H174" s="12"/>
      <c r="I174" s="12"/>
      <c r="J174" s="12"/>
    </row>
    <row r="175" spans="3:10" x14ac:dyDescent="0.25">
      <c r="C175" s="12"/>
      <c r="D175" s="12"/>
      <c r="E175" s="12"/>
      <c r="F175" s="12"/>
      <c r="G175" s="12"/>
      <c r="H175" s="12"/>
      <c r="I175" s="12"/>
      <c r="J175" s="12"/>
    </row>
    <row r="176" spans="3:10" x14ac:dyDescent="0.25">
      <c r="C176" s="12"/>
      <c r="D176" s="12"/>
      <c r="E176" s="12"/>
      <c r="F176" s="12"/>
      <c r="G176" s="12"/>
      <c r="H176" s="12"/>
      <c r="I176" s="12"/>
      <c r="J176" s="12"/>
    </row>
    <row r="177" spans="3:10" x14ac:dyDescent="0.25">
      <c r="C177" s="12"/>
      <c r="D177" s="12"/>
      <c r="E177" s="12"/>
      <c r="F177" s="12"/>
      <c r="G177" s="12"/>
      <c r="H177" s="12"/>
      <c r="I177" s="12"/>
      <c r="J177" s="12"/>
    </row>
    <row r="178" spans="3:10" x14ac:dyDescent="0.25">
      <c r="C178" s="12"/>
      <c r="D178" s="12"/>
      <c r="E178" s="12"/>
      <c r="F178" s="12"/>
      <c r="G178" s="12"/>
      <c r="H178" s="12"/>
      <c r="I178" s="12"/>
      <c r="J178" s="12"/>
    </row>
    <row r="179" spans="3:10" x14ac:dyDescent="0.25">
      <c r="C179" s="12"/>
      <c r="D179" s="12"/>
      <c r="E179" s="12"/>
      <c r="F179" s="12"/>
      <c r="G179" s="12"/>
      <c r="H179" s="12"/>
      <c r="I179" s="12"/>
      <c r="J179" s="12"/>
    </row>
    <row r="180" spans="3:10" x14ac:dyDescent="0.25">
      <c r="C180" s="12"/>
      <c r="D180" s="12"/>
      <c r="E180" s="12"/>
      <c r="F180" s="12"/>
      <c r="G180" s="12"/>
      <c r="H180" s="12"/>
      <c r="I180" s="12"/>
      <c r="J180" s="12"/>
    </row>
    <row r="181" spans="3:10" x14ac:dyDescent="0.25">
      <c r="C181" s="12"/>
      <c r="D181" s="12"/>
      <c r="E181" s="12"/>
      <c r="F181" s="12"/>
      <c r="G181" s="12"/>
      <c r="H181" s="12"/>
      <c r="I181" s="12"/>
      <c r="J181" s="12"/>
    </row>
    <row r="182" spans="3:10" x14ac:dyDescent="0.25">
      <c r="C182" s="12"/>
      <c r="D182" s="12"/>
      <c r="E182" s="12"/>
      <c r="F182" s="12"/>
      <c r="G182" s="12"/>
      <c r="H182" s="12"/>
      <c r="I182" s="12"/>
      <c r="J182" s="12"/>
    </row>
    <row r="183" spans="3:10" x14ac:dyDescent="0.25">
      <c r="C183" s="12"/>
      <c r="D183" s="12"/>
      <c r="E183" s="12"/>
      <c r="F183" s="12"/>
      <c r="G183" s="12"/>
      <c r="H183" s="12"/>
      <c r="I183" s="12"/>
      <c r="J183" s="12"/>
    </row>
    <row r="184" spans="3:10" x14ac:dyDescent="0.25">
      <c r="C184" s="12"/>
      <c r="D184" s="12"/>
      <c r="E184" s="12"/>
      <c r="F184" s="12"/>
      <c r="G184" s="12"/>
      <c r="H184" s="12"/>
      <c r="I184" s="12"/>
      <c r="J184" s="12"/>
    </row>
    <row r="185" spans="3:10" x14ac:dyDescent="0.25">
      <c r="C185" s="12"/>
      <c r="D185" s="12"/>
      <c r="E185" s="12"/>
      <c r="F185" s="12"/>
      <c r="G185" s="12"/>
      <c r="H185" s="12"/>
      <c r="I185" s="12"/>
      <c r="J185" s="12"/>
    </row>
    <row r="186" spans="3:10" x14ac:dyDescent="0.25">
      <c r="C186" s="12"/>
      <c r="D186" s="12"/>
      <c r="E186" s="12"/>
      <c r="F186" s="12"/>
      <c r="G186" s="12"/>
      <c r="H186" s="12"/>
      <c r="I186" s="12"/>
      <c r="J186" s="12"/>
    </row>
    <row r="187" spans="3:10" x14ac:dyDescent="0.25">
      <c r="C187" s="12"/>
      <c r="D187" s="12"/>
      <c r="E187" s="12"/>
      <c r="F187" s="12"/>
      <c r="G187" s="12"/>
      <c r="H187" s="12"/>
      <c r="I187" s="12"/>
      <c r="J187" s="12"/>
    </row>
    <row r="188" spans="3:10" x14ac:dyDescent="0.25">
      <c r="C188" s="12"/>
      <c r="D188" s="12"/>
      <c r="E188" s="12"/>
      <c r="F188" s="12"/>
      <c r="G188" s="12"/>
      <c r="H188" s="12"/>
      <c r="I188" s="12"/>
      <c r="J188" s="12"/>
    </row>
    <row r="189" spans="3:10" x14ac:dyDescent="0.25">
      <c r="C189" s="12"/>
      <c r="D189" s="12"/>
      <c r="E189" s="12"/>
      <c r="F189" s="12"/>
      <c r="G189" s="12"/>
      <c r="H189" s="12"/>
      <c r="I189" s="12"/>
      <c r="J189" s="12"/>
    </row>
    <row r="190" spans="3:10" x14ac:dyDescent="0.25">
      <c r="C190" s="12"/>
      <c r="D190" s="12"/>
      <c r="E190" s="12"/>
      <c r="F190" s="12"/>
      <c r="G190" s="12"/>
      <c r="H190" s="12"/>
      <c r="I190" s="12"/>
      <c r="J190" s="12"/>
    </row>
    <row r="191" spans="3:10" x14ac:dyDescent="0.25">
      <c r="C191" s="12"/>
      <c r="D191" s="12"/>
      <c r="E191" s="12"/>
      <c r="F191" s="12"/>
      <c r="G191" s="12"/>
      <c r="H191" s="12"/>
      <c r="I191" s="12"/>
      <c r="J191" s="12"/>
    </row>
    <row r="192" spans="3:10" x14ac:dyDescent="0.25">
      <c r="C192" s="12"/>
      <c r="D192" s="12"/>
      <c r="E192" s="12"/>
      <c r="F192" s="12"/>
      <c r="G192" s="12"/>
      <c r="H192" s="12"/>
      <c r="I192" s="12"/>
      <c r="J192" s="12"/>
    </row>
    <row r="193" spans="3:10" x14ac:dyDescent="0.25">
      <c r="C193" s="12"/>
      <c r="D193" s="12"/>
      <c r="E193" s="12"/>
      <c r="F193" s="12"/>
      <c r="G193" s="12"/>
      <c r="H193" s="12"/>
      <c r="I193" s="12"/>
      <c r="J193" s="12"/>
    </row>
    <row r="194" spans="3:10" x14ac:dyDescent="0.25">
      <c r="C194" s="12"/>
      <c r="D194" s="12"/>
      <c r="E194" s="12"/>
      <c r="F194" s="12"/>
      <c r="G194" s="12"/>
      <c r="H194" s="12"/>
      <c r="I194" s="12"/>
      <c r="J194" s="12"/>
    </row>
    <row r="195" spans="3:10" x14ac:dyDescent="0.25">
      <c r="C195" s="12"/>
      <c r="D195" s="12"/>
      <c r="E195" s="12"/>
      <c r="F195" s="12"/>
      <c r="G195" s="12"/>
      <c r="H195" s="12"/>
      <c r="I195" s="12"/>
      <c r="J195" s="12"/>
    </row>
    <row r="196" spans="3:10" x14ac:dyDescent="0.25">
      <c r="C196" s="12"/>
      <c r="D196" s="12"/>
      <c r="E196" s="12"/>
      <c r="F196" s="12"/>
      <c r="G196" s="12"/>
      <c r="H196" s="12"/>
      <c r="I196" s="12"/>
      <c r="J196" s="12"/>
    </row>
    <row r="197" spans="3:10" x14ac:dyDescent="0.25">
      <c r="C197" s="12"/>
      <c r="D197" s="12"/>
      <c r="E197" s="12"/>
      <c r="F197" s="12"/>
      <c r="G197" s="12"/>
      <c r="H197" s="12"/>
      <c r="I197" s="12"/>
      <c r="J197" s="12"/>
    </row>
    <row r="198" spans="3:10" x14ac:dyDescent="0.25">
      <c r="C198" s="12"/>
      <c r="D198" s="12"/>
      <c r="E198" s="12"/>
      <c r="F198" s="12"/>
      <c r="G198" s="12"/>
      <c r="H198" s="12"/>
      <c r="I198" s="12"/>
      <c r="J198" s="12"/>
    </row>
    <row r="199" spans="3:10" x14ac:dyDescent="0.25">
      <c r="C199" s="12"/>
      <c r="D199" s="12"/>
      <c r="E199" s="12"/>
      <c r="F199" s="12"/>
      <c r="G199" s="12"/>
      <c r="H199" s="12"/>
      <c r="I199" s="12"/>
      <c r="J199" s="12"/>
    </row>
    <row r="200" spans="3:10" x14ac:dyDescent="0.25">
      <c r="C200" s="12"/>
      <c r="D200" s="12"/>
      <c r="E200" s="12"/>
      <c r="F200" s="12"/>
      <c r="G200" s="12"/>
      <c r="H200" s="12"/>
      <c r="I200" s="12"/>
      <c r="J200" s="12"/>
    </row>
    <row r="201" spans="3:10" x14ac:dyDescent="0.25">
      <c r="C201" s="12"/>
      <c r="D201" s="12"/>
      <c r="E201" s="12"/>
      <c r="F201" s="12"/>
      <c r="G201" s="12"/>
      <c r="H201" s="12"/>
      <c r="I201" s="12"/>
      <c r="J201" s="12"/>
    </row>
    <row r="202" spans="3:10" x14ac:dyDescent="0.25">
      <c r="C202" s="12"/>
      <c r="D202" s="12"/>
      <c r="E202" s="12"/>
      <c r="F202" s="12"/>
      <c r="G202" s="12"/>
      <c r="H202" s="12"/>
      <c r="I202" s="12"/>
      <c r="J202" s="12"/>
    </row>
    <row r="203" spans="3:10" x14ac:dyDescent="0.25">
      <c r="C203" s="12"/>
      <c r="D203" s="12"/>
      <c r="E203" s="12"/>
      <c r="F203" s="12"/>
      <c r="G203" s="12"/>
      <c r="H203" s="12"/>
      <c r="I203" s="12"/>
      <c r="J203" s="12"/>
    </row>
    <row r="204" spans="3:10" x14ac:dyDescent="0.25">
      <c r="C204" s="12"/>
      <c r="D204" s="12"/>
      <c r="E204" s="12"/>
      <c r="F204" s="12"/>
      <c r="G204" s="12"/>
      <c r="H204" s="12"/>
      <c r="I204" s="12"/>
      <c r="J204" s="12"/>
    </row>
    <row r="205" spans="3:10" x14ac:dyDescent="0.25">
      <c r="C205" s="12"/>
      <c r="D205" s="12"/>
      <c r="E205" s="12"/>
      <c r="F205" s="12"/>
      <c r="G205" s="12"/>
      <c r="H205" s="12"/>
      <c r="I205" s="12"/>
      <c r="J205" s="12"/>
    </row>
    <row r="206" spans="3:10" x14ac:dyDescent="0.25">
      <c r="C206" s="12"/>
      <c r="D206" s="12"/>
      <c r="E206" s="12"/>
      <c r="F206" s="12"/>
      <c r="G206" s="12"/>
      <c r="H206" s="12"/>
      <c r="I206" s="12"/>
      <c r="J206" s="12"/>
    </row>
    <row r="207" spans="3:10" x14ac:dyDescent="0.25">
      <c r="C207" s="12"/>
      <c r="D207" s="12"/>
      <c r="E207" s="12"/>
      <c r="F207" s="12"/>
      <c r="G207" s="12"/>
      <c r="H207" s="12"/>
      <c r="I207" s="12"/>
      <c r="J207" s="12"/>
    </row>
    <row r="208" spans="3:10" x14ac:dyDescent="0.25">
      <c r="C208" s="12"/>
      <c r="D208" s="12"/>
      <c r="E208" s="12"/>
      <c r="F208" s="12"/>
      <c r="G208" s="12"/>
      <c r="H208" s="12"/>
      <c r="I208" s="12"/>
      <c r="J208" s="12"/>
    </row>
    <row r="209" spans="3:10" x14ac:dyDescent="0.25">
      <c r="C209" s="12"/>
      <c r="D209" s="12"/>
      <c r="E209" s="12"/>
      <c r="F209" s="12"/>
      <c r="G209" s="12"/>
      <c r="H209" s="12"/>
      <c r="I209" s="12"/>
      <c r="J209" s="12"/>
    </row>
    <row r="210" spans="3:10" x14ac:dyDescent="0.25">
      <c r="C210" s="12"/>
      <c r="D210" s="12"/>
      <c r="E210" s="12"/>
      <c r="F210" s="12"/>
      <c r="G210" s="12"/>
      <c r="H210" s="12"/>
      <c r="I210" s="12"/>
      <c r="J210" s="12"/>
    </row>
    <row r="211" spans="3:10" x14ac:dyDescent="0.25">
      <c r="C211" s="12"/>
      <c r="D211" s="12"/>
      <c r="E211" s="12"/>
      <c r="F211" s="12"/>
      <c r="G211" s="12"/>
      <c r="H211" s="12"/>
      <c r="I211" s="12"/>
      <c r="J211" s="12"/>
    </row>
    <row r="212" spans="3:10" x14ac:dyDescent="0.25">
      <c r="C212" s="12"/>
      <c r="D212" s="12"/>
      <c r="E212" s="12"/>
      <c r="F212" s="12"/>
      <c r="G212" s="12"/>
      <c r="H212" s="12"/>
      <c r="I212" s="12"/>
      <c r="J212" s="12"/>
    </row>
    <row r="213" spans="3:10" x14ac:dyDescent="0.25">
      <c r="C213" s="12"/>
      <c r="D213" s="12"/>
      <c r="E213" s="12"/>
      <c r="F213" s="12"/>
      <c r="G213" s="12"/>
      <c r="H213" s="12"/>
      <c r="I213" s="12"/>
      <c r="J213" s="12"/>
    </row>
    <row r="214" spans="3:10" x14ac:dyDescent="0.25">
      <c r="C214" s="12"/>
      <c r="D214" s="12"/>
      <c r="E214" s="12"/>
      <c r="F214" s="12"/>
      <c r="G214" s="12"/>
      <c r="H214" s="12"/>
      <c r="I214" s="12"/>
      <c r="J214" s="12"/>
    </row>
    <row r="215" spans="3:10" x14ac:dyDescent="0.25">
      <c r="C215" s="12"/>
      <c r="D215" s="12"/>
      <c r="E215" s="12"/>
      <c r="F215" s="12"/>
      <c r="G215" s="12"/>
      <c r="H215" s="12"/>
      <c r="I215" s="12"/>
      <c r="J215" s="12"/>
    </row>
    <row r="216" spans="3:10" x14ac:dyDescent="0.25">
      <c r="C216" s="12"/>
      <c r="D216" s="12"/>
      <c r="E216" s="12"/>
      <c r="F216" s="12"/>
      <c r="G216" s="12"/>
      <c r="H216" s="12"/>
      <c r="I216" s="12"/>
      <c r="J216" s="12"/>
    </row>
    <row r="217" spans="3:10" x14ac:dyDescent="0.25">
      <c r="C217" s="12"/>
      <c r="D217" s="12"/>
      <c r="E217" s="12"/>
      <c r="F217" s="12"/>
      <c r="G217" s="12"/>
      <c r="H217" s="12"/>
      <c r="I217" s="12"/>
      <c r="J217" s="12"/>
    </row>
    <row r="218" spans="3:10" x14ac:dyDescent="0.25">
      <c r="C218" s="12"/>
      <c r="D218" s="12"/>
      <c r="E218" s="12"/>
      <c r="F218" s="12"/>
      <c r="G218" s="12"/>
      <c r="H218" s="12"/>
      <c r="I218" s="12"/>
      <c r="J218" s="12"/>
    </row>
    <row r="219" spans="3:10" x14ac:dyDescent="0.25">
      <c r="C219" s="12"/>
      <c r="D219" s="12"/>
      <c r="E219" s="12"/>
      <c r="F219" s="12"/>
      <c r="G219" s="12"/>
      <c r="H219" s="12"/>
      <c r="I219" s="12"/>
      <c r="J219" s="12"/>
    </row>
    <row r="220" spans="3:10" x14ac:dyDescent="0.25">
      <c r="C220" s="12"/>
      <c r="D220" s="12"/>
      <c r="E220" s="12"/>
      <c r="F220" s="12"/>
      <c r="G220" s="12"/>
      <c r="H220" s="12"/>
      <c r="I220" s="12"/>
      <c r="J220" s="12"/>
    </row>
    <row r="221" spans="3:10" x14ac:dyDescent="0.25">
      <c r="C221" s="12"/>
      <c r="D221" s="12"/>
      <c r="E221" s="12"/>
      <c r="F221" s="12"/>
      <c r="G221" s="12"/>
      <c r="H221" s="12"/>
      <c r="I221" s="12"/>
      <c r="J221" s="12"/>
    </row>
    <row r="222" spans="3:10" x14ac:dyDescent="0.25">
      <c r="C222" s="12"/>
      <c r="D222" s="12"/>
      <c r="E222" s="12"/>
      <c r="F222" s="12"/>
      <c r="G222" s="12"/>
      <c r="H222" s="12"/>
      <c r="I222" s="12"/>
      <c r="J222" s="12"/>
    </row>
    <row r="223" spans="3:10" x14ac:dyDescent="0.25">
      <c r="C223" s="12"/>
      <c r="D223" s="12"/>
      <c r="E223" s="12"/>
      <c r="F223" s="12"/>
      <c r="G223" s="12"/>
      <c r="H223" s="12"/>
      <c r="I223" s="12"/>
      <c r="J223" s="12"/>
    </row>
    <row r="224" spans="3:10" x14ac:dyDescent="0.25">
      <c r="C224" s="12"/>
      <c r="D224" s="12"/>
      <c r="E224" s="12"/>
      <c r="F224" s="12"/>
      <c r="G224" s="12"/>
      <c r="H224" s="12"/>
      <c r="I224" s="12"/>
      <c r="J224" s="12"/>
    </row>
    <row r="225" spans="3:10" x14ac:dyDescent="0.25">
      <c r="C225" s="12"/>
      <c r="D225" s="12"/>
      <c r="E225" s="12"/>
      <c r="F225" s="12"/>
      <c r="G225" s="12"/>
      <c r="H225" s="12"/>
      <c r="I225" s="12"/>
      <c r="J225" s="12"/>
    </row>
    <row r="226" spans="3:10" x14ac:dyDescent="0.25">
      <c r="C226" s="12"/>
      <c r="D226" s="12"/>
      <c r="E226" s="12"/>
      <c r="F226" s="12"/>
      <c r="G226" s="12"/>
      <c r="H226" s="12"/>
      <c r="I226" s="12"/>
      <c r="J226" s="12"/>
    </row>
    <row r="227" spans="3:10" x14ac:dyDescent="0.25">
      <c r="C227" s="12"/>
      <c r="D227" s="12"/>
      <c r="E227" s="12"/>
      <c r="F227" s="12"/>
      <c r="G227" s="12"/>
      <c r="H227" s="12"/>
      <c r="I227" s="12"/>
      <c r="J227" s="12"/>
    </row>
    <row r="228" spans="3:10" x14ac:dyDescent="0.25">
      <c r="C228" s="12"/>
      <c r="D228" s="12"/>
      <c r="E228" s="12"/>
      <c r="F228" s="12"/>
      <c r="G228" s="12"/>
      <c r="H228" s="12"/>
      <c r="I228" s="12"/>
      <c r="J228" s="12"/>
    </row>
    <row r="229" spans="3:10" x14ac:dyDescent="0.25">
      <c r="C229" s="12"/>
      <c r="D229" s="12"/>
      <c r="E229" s="12"/>
      <c r="F229" s="12"/>
      <c r="G229" s="12"/>
      <c r="H229" s="12"/>
      <c r="I229" s="12"/>
      <c r="J229" s="12"/>
    </row>
    <row r="230" spans="3:10" x14ac:dyDescent="0.25">
      <c r="C230" s="12"/>
      <c r="D230" s="12"/>
      <c r="E230" s="12"/>
      <c r="F230" s="12"/>
      <c r="G230" s="12"/>
      <c r="H230" s="12"/>
      <c r="I230" s="12"/>
      <c r="J230" s="12"/>
    </row>
    <row r="231" spans="3:10" x14ac:dyDescent="0.25">
      <c r="C231" s="12"/>
      <c r="D231" s="12"/>
      <c r="E231" s="12"/>
      <c r="F231" s="12"/>
      <c r="G231" s="12"/>
      <c r="H231" s="12"/>
      <c r="I231" s="12"/>
      <c r="J231" s="12"/>
    </row>
    <row r="232" spans="3:10" x14ac:dyDescent="0.25">
      <c r="C232" s="12"/>
      <c r="D232" s="12"/>
      <c r="E232" s="12"/>
      <c r="F232" s="12"/>
      <c r="G232" s="12"/>
      <c r="H232" s="12"/>
      <c r="I232" s="12"/>
      <c r="J232" s="12"/>
    </row>
    <row r="233" spans="3:10" x14ac:dyDescent="0.25">
      <c r="C233" s="12"/>
      <c r="D233" s="12"/>
      <c r="E233" s="12"/>
      <c r="F233" s="12"/>
      <c r="G233" s="12"/>
      <c r="H233" s="12"/>
      <c r="I233" s="12"/>
      <c r="J233" s="12"/>
    </row>
    <row r="234" spans="3:10" x14ac:dyDescent="0.25">
      <c r="C234" s="12"/>
      <c r="D234" s="12"/>
      <c r="E234" s="12"/>
      <c r="F234" s="12"/>
      <c r="G234" s="12"/>
      <c r="H234" s="12"/>
      <c r="I234" s="12"/>
      <c r="J234" s="12"/>
    </row>
    <row r="235" spans="3:10" x14ac:dyDescent="0.25">
      <c r="C235" s="12"/>
      <c r="D235" s="12"/>
      <c r="E235" s="12"/>
      <c r="F235" s="12"/>
      <c r="G235" s="12"/>
      <c r="H235" s="12"/>
      <c r="I235" s="12"/>
      <c r="J235" s="12"/>
    </row>
    <row r="236" spans="3:10" x14ac:dyDescent="0.25">
      <c r="C236" s="12"/>
      <c r="D236" s="12"/>
      <c r="E236" s="12"/>
      <c r="F236" s="12"/>
      <c r="G236" s="12"/>
      <c r="H236" s="12"/>
      <c r="I236" s="12"/>
      <c r="J236" s="12"/>
    </row>
    <row r="237" spans="3:10" x14ac:dyDescent="0.25">
      <c r="C237" s="12"/>
      <c r="D237" s="12"/>
      <c r="E237" s="12"/>
      <c r="F237" s="12"/>
      <c r="G237" s="12"/>
      <c r="H237" s="12"/>
      <c r="I237" s="12"/>
      <c r="J237" s="12"/>
    </row>
    <row r="238" spans="3:10" x14ac:dyDescent="0.25">
      <c r="C238" s="12"/>
      <c r="D238" s="12"/>
      <c r="E238" s="12"/>
      <c r="F238" s="12"/>
      <c r="G238" s="12"/>
      <c r="H238" s="12"/>
      <c r="I238" s="12"/>
      <c r="J238" s="12"/>
    </row>
    <row r="239" spans="3:10" x14ac:dyDescent="0.25">
      <c r="C239" s="12"/>
      <c r="D239" s="12"/>
      <c r="E239" s="12"/>
      <c r="F239" s="12"/>
      <c r="G239" s="12"/>
      <c r="H239" s="12"/>
      <c r="I239" s="12"/>
      <c r="J239" s="12"/>
    </row>
    <row r="240" spans="3:10" x14ac:dyDescent="0.25">
      <c r="C240" s="12"/>
      <c r="D240" s="12"/>
      <c r="E240" s="12"/>
      <c r="F240" s="12"/>
      <c r="G240" s="12"/>
      <c r="H240" s="12"/>
      <c r="I240" s="12"/>
      <c r="J240" s="12"/>
    </row>
    <row r="241" spans="3:10" x14ac:dyDescent="0.25">
      <c r="C241" s="12"/>
      <c r="D241" s="12"/>
      <c r="E241" s="12"/>
      <c r="F241" s="12"/>
      <c r="G241" s="12"/>
      <c r="H241" s="12"/>
      <c r="I241" s="12"/>
      <c r="J241" s="12"/>
    </row>
    <row r="242" spans="3:10" x14ac:dyDescent="0.25">
      <c r="C242" s="12"/>
      <c r="D242" s="12"/>
      <c r="E242" s="12"/>
      <c r="F242" s="12"/>
      <c r="G242" s="12"/>
      <c r="H242" s="12"/>
      <c r="I242" s="12"/>
      <c r="J242" s="12"/>
    </row>
    <row r="243" spans="3:10" x14ac:dyDescent="0.25">
      <c r="C243" s="12"/>
      <c r="D243" s="12"/>
      <c r="E243" s="12"/>
      <c r="F243" s="12"/>
      <c r="G243" s="12"/>
      <c r="H243" s="12"/>
      <c r="I243" s="12"/>
      <c r="J243" s="12"/>
    </row>
    <row r="244" spans="3:10" x14ac:dyDescent="0.25">
      <c r="C244" s="12"/>
      <c r="D244" s="12"/>
      <c r="E244" s="12"/>
      <c r="F244" s="12"/>
      <c r="G244" s="12"/>
      <c r="H244" s="12"/>
      <c r="I244" s="12"/>
      <c r="J244" s="12"/>
    </row>
    <row r="245" spans="3:10" x14ac:dyDescent="0.25">
      <c r="C245" s="12"/>
      <c r="D245" s="12"/>
      <c r="E245" s="12"/>
      <c r="F245" s="12"/>
      <c r="G245" s="12"/>
      <c r="H245" s="12"/>
      <c r="I245" s="12"/>
      <c r="J245" s="12"/>
    </row>
    <row r="246" spans="3:10" x14ac:dyDescent="0.25">
      <c r="C246" s="12"/>
      <c r="D246" s="12"/>
      <c r="E246" s="12"/>
      <c r="F246" s="12"/>
      <c r="G246" s="12"/>
      <c r="H246" s="12"/>
      <c r="I246" s="12"/>
      <c r="J246" s="12"/>
    </row>
    <row r="247" spans="3:10" x14ac:dyDescent="0.25">
      <c r="C247" s="12"/>
      <c r="D247" s="12"/>
      <c r="E247" s="12"/>
      <c r="F247" s="12"/>
      <c r="G247" s="12"/>
      <c r="H247" s="12"/>
      <c r="I247" s="12"/>
      <c r="J247" s="12"/>
    </row>
    <row r="248" spans="3:10" x14ac:dyDescent="0.25">
      <c r="C248" s="12"/>
      <c r="D248" s="12"/>
      <c r="E248" s="12"/>
      <c r="F248" s="12"/>
      <c r="G248" s="12"/>
      <c r="H248" s="12"/>
      <c r="I248" s="12"/>
      <c r="J248" s="12"/>
    </row>
    <row r="249" spans="3:10" x14ac:dyDescent="0.25">
      <c r="C249" s="12"/>
      <c r="D249" s="12"/>
      <c r="E249" s="12"/>
      <c r="F249" s="12"/>
      <c r="G249" s="12"/>
      <c r="H249" s="12"/>
      <c r="I249" s="12"/>
      <c r="J249" s="12"/>
    </row>
    <row r="250" spans="3:10" x14ac:dyDescent="0.25">
      <c r="C250" s="12"/>
      <c r="D250" s="12"/>
      <c r="E250" s="12"/>
      <c r="F250" s="12"/>
      <c r="G250" s="12"/>
      <c r="H250" s="12"/>
      <c r="I250" s="12"/>
      <c r="J250" s="12"/>
    </row>
    <row r="251" spans="3:10" x14ac:dyDescent="0.25">
      <c r="C251" s="12"/>
      <c r="D251" s="12"/>
      <c r="E251" s="12"/>
      <c r="F251" s="12"/>
      <c r="G251" s="12"/>
      <c r="H251" s="12"/>
      <c r="I251" s="12"/>
      <c r="J251" s="12"/>
    </row>
    <row r="252" spans="3:10" x14ac:dyDescent="0.25">
      <c r="C252" s="12"/>
      <c r="D252" s="12"/>
      <c r="E252" s="12"/>
      <c r="F252" s="12"/>
      <c r="G252" s="12"/>
      <c r="H252" s="12"/>
      <c r="I252" s="12"/>
      <c r="J252" s="12"/>
    </row>
  </sheetData>
  <mergeCells count="13">
    <mergeCell ref="L2:W2"/>
    <mergeCell ref="M4:W4"/>
    <mergeCell ref="S6:S7"/>
    <mergeCell ref="W6:W7"/>
    <mergeCell ref="T6:T7"/>
    <mergeCell ref="M5:S5"/>
    <mergeCell ref="M6:M7"/>
    <mergeCell ref="N6:N7"/>
    <mergeCell ref="O6:O7"/>
    <mergeCell ref="P6:P7"/>
    <mergeCell ref="Q6:Q7"/>
    <mergeCell ref="R6:R7"/>
    <mergeCell ref="T5:W5"/>
  </mergeCells>
  <phoneticPr fontId="13" type="noConversion"/>
  <pageMargins left="0.75000000000000011" right="0.75000000000000011" top="0.98" bottom="0.98" header="0.51" footer="0.51"/>
  <pageSetup paperSize="9" scale="65" orientation="landscape" horizontalDpi="4294967292" verticalDpi="4294967292"/>
  <ignoredErrors>
    <ignoredError sqref="Q13:Q45 S13:S46" formula="1"/>
  </ignoredErrors>
  <extLst>
    <ext xmlns:mx="http://schemas.microsoft.com/office/mac/excel/2008/main" uri="{64002731-A6B0-56B0-2670-7721B7C09600}">
      <mx:PLV Mode="0" OnePage="0" WScale="0"/>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B2:P110"/>
  <sheetViews>
    <sheetView zoomScale="70" zoomScaleNormal="70" zoomScalePageLayoutView="70" workbookViewId="0">
      <selection activeCell="B2" sqref="B2:N2"/>
    </sheetView>
  </sheetViews>
  <sheetFormatPr baseColWidth="10" defaultColWidth="10.7265625" defaultRowHeight="13.8" x14ac:dyDescent="0.25"/>
  <cols>
    <col min="1" max="1" width="10.7265625" style="507"/>
    <col min="2" max="6" width="12.7265625" style="507" customWidth="1"/>
    <col min="7" max="7" width="12.7265625" style="508" customWidth="1"/>
    <col min="8" max="14" width="12.7265625" style="507" customWidth="1"/>
    <col min="15" max="16384" width="10.7265625" style="507"/>
  </cols>
  <sheetData>
    <row r="2" spans="2:14" ht="27" customHeight="1" x14ac:dyDescent="0.25">
      <c r="B2" s="799" t="s">
        <v>857</v>
      </c>
      <c r="C2" s="799"/>
      <c r="D2" s="799"/>
      <c r="E2" s="799"/>
      <c r="F2" s="799"/>
      <c r="G2" s="799"/>
      <c r="H2" s="799"/>
      <c r="I2" s="799"/>
      <c r="J2" s="799"/>
      <c r="K2" s="799"/>
      <c r="L2" s="799"/>
      <c r="M2" s="799"/>
      <c r="N2" s="799"/>
    </row>
    <row r="3" spans="2:14" ht="27" customHeight="1" thickBot="1" x14ac:dyDescent="0.3">
      <c r="B3" s="518"/>
      <c r="C3" s="518"/>
      <c r="D3" s="518"/>
      <c r="E3" s="518"/>
      <c r="F3" s="518"/>
      <c r="G3" s="518"/>
      <c r="H3" s="518"/>
      <c r="I3" s="518"/>
      <c r="J3" s="518"/>
      <c r="K3" s="518"/>
      <c r="L3" s="518"/>
      <c r="M3" s="518"/>
      <c r="N3" s="556"/>
    </row>
    <row r="4" spans="2:14" ht="19.95" customHeight="1" thickTop="1" x14ac:dyDescent="0.25">
      <c r="C4" s="509" t="s">
        <v>85</v>
      </c>
      <c r="D4" s="509" t="s">
        <v>86</v>
      </c>
      <c r="E4" s="509" t="s">
        <v>87</v>
      </c>
      <c r="F4" s="509" t="s">
        <v>88</v>
      </c>
      <c r="G4" s="509" t="s">
        <v>89</v>
      </c>
      <c r="H4" s="519" t="s">
        <v>90</v>
      </c>
      <c r="I4" s="519" t="s">
        <v>91</v>
      </c>
      <c r="J4" s="519" t="s">
        <v>92</v>
      </c>
      <c r="K4" s="509" t="s">
        <v>93</v>
      </c>
      <c r="L4" s="509" t="s">
        <v>94</v>
      </c>
      <c r="M4" s="509" t="s">
        <v>95</v>
      </c>
      <c r="N4" s="509" t="s">
        <v>96</v>
      </c>
    </row>
    <row r="5" spans="2:14" ht="43.05" customHeight="1" x14ac:dyDescent="0.3">
      <c r="C5" s="797" t="s">
        <v>831</v>
      </c>
      <c r="D5" s="800" t="s">
        <v>828</v>
      </c>
      <c r="E5" s="797" t="s">
        <v>829</v>
      </c>
      <c r="F5" s="557"/>
      <c r="G5" s="557"/>
      <c r="H5" s="557"/>
      <c r="I5" s="557"/>
      <c r="J5" s="558"/>
      <c r="K5" s="808" t="s">
        <v>869</v>
      </c>
      <c r="L5" s="809"/>
      <c r="M5" s="810"/>
      <c r="N5" s="797" t="s">
        <v>871</v>
      </c>
    </row>
    <row r="6" spans="2:14" ht="10.050000000000001" customHeight="1" x14ac:dyDescent="0.3">
      <c r="C6" s="797"/>
      <c r="D6" s="800"/>
      <c r="E6" s="797"/>
      <c r="F6" s="802" t="s">
        <v>830</v>
      </c>
      <c r="G6" s="804" t="s">
        <v>870</v>
      </c>
      <c r="H6" s="806"/>
      <c r="I6" s="806"/>
      <c r="J6" s="807"/>
      <c r="K6" s="808"/>
      <c r="L6" s="809"/>
      <c r="M6" s="810"/>
      <c r="N6" s="797"/>
    </row>
    <row r="7" spans="2:14" s="510" customFormat="1" ht="73.95" customHeight="1" x14ac:dyDescent="0.35">
      <c r="C7" s="798"/>
      <c r="D7" s="801"/>
      <c r="E7" s="798"/>
      <c r="F7" s="803"/>
      <c r="G7" s="805"/>
      <c r="H7" s="580" t="s">
        <v>218</v>
      </c>
      <c r="I7" s="581" t="s">
        <v>833</v>
      </c>
      <c r="J7" s="582" t="s">
        <v>832</v>
      </c>
      <c r="K7" s="583" t="s">
        <v>218</v>
      </c>
      <c r="L7" s="581" t="s">
        <v>833</v>
      </c>
      <c r="M7" s="584" t="s">
        <v>832</v>
      </c>
      <c r="N7" s="798"/>
    </row>
    <row r="8" spans="2:14" s="510" customFormat="1" ht="27" customHeight="1" x14ac:dyDescent="0.35">
      <c r="B8" s="559">
        <v>1998</v>
      </c>
      <c r="C8" s="562">
        <v>2139.0828492553578</v>
      </c>
      <c r="D8" s="563">
        <v>987.02115873592436</v>
      </c>
      <c r="E8" s="562">
        <v>1152.0616905194333</v>
      </c>
      <c r="F8" s="564">
        <f>E8-G8</f>
        <v>361.33762122769235</v>
      </c>
      <c r="G8" s="565">
        <v>790.72406929174099</v>
      </c>
      <c r="H8" s="563">
        <v>310.84154236664494</v>
      </c>
      <c r="I8" s="564">
        <v>161.36903484380369</v>
      </c>
      <c r="J8" s="566">
        <v>479.88252386830675</v>
      </c>
      <c r="K8" s="567">
        <f t="shared" ref="K8:K20" si="0">H8/G8</f>
        <v>0.39311000441034843</v>
      </c>
      <c r="L8" s="568">
        <f t="shared" ref="L8:L20" si="1">I8/G8</f>
        <v>0.20407755513038001</v>
      </c>
      <c r="M8" s="569">
        <f t="shared" ref="M8:M20" si="2">J8/G8</f>
        <v>0.60688999172384128</v>
      </c>
      <c r="N8" s="570"/>
    </row>
    <row r="9" spans="2:14" ht="27" customHeight="1" x14ac:dyDescent="0.35">
      <c r="B9" s="560">
        <v>1999</v>
      </c>
      <c r="C9" s="562">
        <v>2144.6431389097274</v>
      </c>
      <c r="D9" s="563">
        <v>983.75228119529891</v>
      </c>
      <c r="E9" s="562">
        <v>1160.8908577144286</v>
      </c>
      <c r="F9" s="564">
        <f t="shared" ref="F9:F20" si="3">E9-G9</f>
        <v>360.61991613043904</v>
      </c>
      <c r="G9" s="565">
        <v>800.27094158398961</v>
      </c>
      <c r="H9" s="563">
        <v>398.14404899156972</v>
      </c>
      <c r="I9" s="564">
        <v>175.34815520555136</v>
      </c>
      <c r="J9" s="566">
        <v>402.12689128397494</v>
      </c>
      <c r="K9" s="567">
        <f t="shared" si="0"/>
        <v>0.49751156552494152</v>
      </c>
      <c r="L9" s="568">
        <f t="shared" si="1"/>
        <v>0.2191109861598646</v>
      </c>
      <c r="M9" s="569">
        <f t="shared" si="2"/>
        <v>0.50248843284005595</v>
      </c>
      <c r="N9" s="570"/>
    </row>
    <row r="10" spans="2:14" ht="27" customHeight="1" x14ac:dyDescent="0.35">
      <c r="B10" s="560">
        <v>2000</v>
      </c>
      <c r="C10" s="562">
        <v>2247.1466746104488</v>
      </c>
      <c r="D10" s="563">
        <v>1015.0448316529179</v>
      </c>
      <c r="E10" s="562">
        <v>1232.1018429575313</v>
      </c>
      <c r="F10" s="564">
        <f t="shared" si="3"/>
        <v>438.50856317287901</v>
      </c>
      <c r="G10" s="565">
        <v>793.59327978465228</v>
      </c>
      <c r="H10" s="563">
        <v>404.61583973735441</v>
      </c>
      <c r="I10" s="564">
        <v>184.0680687491712</v>
      </c>
      <c r="J10" s="566">
        <v>388.97743619172667</v>
      </c>
      <c r="K10" s="567">
        <f t="shared" si="0"/>
        <v>0.50985290581990572</v>
      </c>
      <c r="L10" s="568">
        <f t="shared" si="1"/>
        <v>0.23194257491585552</v>
      </c>
      <c r="M10" s="569">
        <f t="shared" si="2"/>
        <v>0.49014708932172246</v>
      </c>
      <c r="N10" s="570"/>
    </row>
    <row r="11" spans="2:14" ht="27" customHeight="1" x14ac:dyDescent="0.35">
      <c r="B11" s="560">
        <v>2001</v>
      </c>
      <c r="C11" s="562">
        <v>2011.7445239372801</v>
      </c>
      <c r="D11" s="563">
        <v>883.48550885351449</v>
      </c>
      <c r="E11" s="562">
        <v>1128.2590150837657</v>
      </c>
      <c r="F11" s="564">
        <f t="shared" si="3"/>
        <v>339.61820309621771</v>
      </c>
      <c r="G11" s="565">
        <v>788.64081198754798</v>
      </c>
      <c r="H11" s="563">
        <v>402.03677973427489</v>
      </c>
      <c r="I11" s="564">
        <v>205.91458800464261</v>
      </c>
      <c r="J11" s="566">
        <v>386.60403591179045</v>
      </c>
      <c r="K11" s="567">
        <f t="shared" si="0"/>
        <v>0.50978439566303191</v>
      </c>
      <c r="L11" s="568">
        <f t="shared" si="1"/>
        <v>0.26110059849133682</v>
      </c>
      <c r="M11" s="569">
        <f t="shared" si="2"/>
        <v>0.49021560897598415</v>
      </c>
      <c r="N11" s="570">
        <f>G11/'Table A3'!E10</f>
        <v>0.31147309955855601</v>
      </c>
    </row>
    <row r="12" spans="2:14" ht="27" customHeight="1" x14ac:dyDescent="0.35">
      <c r="B12" s="560">
        <v>2002</v>
      </c>
      <c r="C12" s="562">
        <v>2114.0010318719351</v>
      </c>
      <c r="D12" s="563">
        <v>917.77202264205368</v>
      </c>
      <c r="E12" s="562">
        <v>1196.2290092298817</v>
      </c>
      <c r="F12" s="564">
        <f t="shared" si="3"/>
        <v>337.61942010423911</v>
      </c>
      <c r="G12" s="565">
        <v>858.60958912564263</v>
      </c>
      <c r="H12" s="563">
        <v>392.27303223301021</v>
      </c>
      <c r="I12" s="564">
        <v>224.24740225745811</v>
      </c>
      <c r="J12" s="566">
        <v>466.33655318521403</v>
      </c>
      <c r="K12" s="567">
        <f t="shared" si="0"/>
        <v>0.45687008065269563</v>
      </c>
      <c r="L12" s="568">
        <f t="shared" si="1"/>
        <v>0.26117504986849543</v>
      </c>
      <c r="M12" s="569">
        <f t="shared" si="2"/>
        <v>0.54312991502937169</v>
      </c>
      <c r="N12" s="570">
        <f>G12/'Table A3'!E11</f>
        <v>0.35894840296041053</v>
      </c>
    </row>
    <row r="13" spans="2:14" ht="27" customHeight="1" x14ac:dyDescent="0.35">
      <c r="B13" s="560">
        <v>2003</v>
      </c>
      <c r="C13" s="562">
        <v>2651.8933947772657</v>
      </c>
      <c r="D13" s="563">
        <v>1134.2980491551459</v>
      </c>
      <c r="E13" s="562">
        <v>1517.5953456221198</v>
      </c>
      <c r="F13" s="564">
        <f t="shared" si="3"/>
        <v>438.39611610755082</v>
      </c>
      <c r="G13" s="565">
        <v>1079.199229514569</v>
      </c>
      <c r="H13" s="563">
        <v>548.78719571213992</v>
      </c>
      <c r="I13" s="564">
        <v>305.95552559419951</v>
      </c>
      <c r="J13" s="566">
        <v>530.41202884726692</v>
      </c>
      <c r="K13" s="567">
        <f t="shared" si="0"/>
        <v>0.50851333164775148</v>
      </c>
      <c r="L13" s="568">
        <f t="shared" si="1"/>
        <v>0.28350235732823897</v>
      </c>
      <c r="M13" s="569">
        <f t="shared" si="2"/>
        <v>0.49148666376073102</v>
      </c>
      <c r="N13" s="570">
        <f>G13/'Table A3'!E12</f>
        <v>0.37764852875882127</v>
      </c>
    </row>
    <row r="14" spans="2:14" ht="27" customHeight="1" x14ac:dyDescent="0.35">
      <c r="B14" s="560">
        <v>2004</v>
      </c>
      <c r="C14" s="562">
        <v>3121.2460410038884</v>
      </c>
      <c r="D14" s="563">
        <v>1351.4171633085898</v>
      </c>
      <c r="E14" s="562">
        <v>1769.8288776952988</v>
      </c>
      <c r="F14" s="564">
        <f t="shared" si="3"/>
        <v>508.46244186397121</v>
      </c>
      <c r="G14" s="565">
        <v>1261.3664358313276</v>
      </c>
      <c r="H14" s="563">
        <v>683.87000275320463</v>
      </c>
      <c r="I14" s="564">
        <v>381.97445809174729</v>
      </c>
      <c r="J14" s="566">
        <v>577.49643579623466</v>
      </c>
      <c r="K14" s="567">
        <f t="shared" si="0"/>
        <v>0.54216600610788179</v>
      </c>
      <c r="L14" s="568">
        <f t="shared" si="1"/>
        <v>0.30282592531487468</v>
      </c>
      <c r="M14" s="569">
        <f t="shared" si="2"/>
        <v>0.4578339960470128</v>
      </c>
      <c r="N14" s="570">
        <f>G14/'Table A3'!E13</f>
        <v>0.38038501823200399</v>
      </c>
    </row>
    <row r="15" spans="2:14" ht="27" customHeight="1" x14ac:dyDescent="0.35">
      <c r="B15" s="560">
        <v>2005</v>
      </c>
      <c r="C15" s="562">
        <v>3357.4508582515405</v>
      </c>
      <c r="D15" s="563">
        <v>1377.9427748611429</v>
      </c>
      <c r="E15" s="562">
        <v>1979.5080833903978</v>
      </c>
      <c r="F15" s="564">
        <f t="shared" si="3"/>
        <v>608.61806806624213</v>
      </c>
      <c r="G15" s="565">
        <v>1370.8900153241557</v>
      </c>
      <c r="H15" s="563">
        <v>892.48252069748548</v>
      </c>
      <c r="I15" s="564">
        <v>606.11103420993845</v>
      </c>
      <c r="J15" s="566">
        <v>478.40749540193787</v>
      </c>
      <c r="K15" s="567">
        <f t="shared" si="0"/>
        <v>0.65102416001363339</v>
      </c>
      <c r="L15" s="568">
        <f t="shared" si="1"/>
        <v>0.4421295854770812</v>
      </c>
      <c r="M15" s="569">
        <f t="shared" si="2"/>
        <v>0.34897584055188802</v>
      </c>
      <c r="N15" s="570">
        <f>G15/'Table A3'!E14</f>
        <v>0.37296659750545619</v>
      </c>
    </row>
    <row r="16" spans="2:14" ht="27" customHeight="1" x14ac:dyDescent="0.35">
      <c r="B16" s="560">
        <v>2006</v>
      </c>
      <c r="C16" s="562">
        <v>4111.6385159387037</v>
      </c>
      <c r="D16" s="563">
        <v>1705.4703130377775</v>
      </c>
      <c r="E16" s="562">
        <v>2406.1682029009262</v>
      </c>
      <c r="F16" s="564">
        <f t="shared" si="3"/>
        <v>772.36997661142095</v>
      </c>
      <c r="G16" s="565">
        <v>1633.7982262895052</v>
      </c>
      <c r="H16" s="563">
        <v>1148.8709345828024</v>
      </c>
      <c r="I16" s="564">
        <v>782.21165385787276</v>
      </c>
      <c r="J16" s="566">
        <v>484.92729339716499</v>
      </c>
      <c r="K16" s="567">
        <f t="shared" si="0"/>
        <v>0.70319022024646582</v>
      </c>
      <c r="L16" s="568">
        <f t="shared" si="1"/>
        <v>0.47876882302311097</v>
      </c>
      <c r="M16" s="569">
        <f t="shared" si="2"/>
        <v>0.29680978078821652</v>
      </c>
      <c r="N16" s="570">
        <f>G16/'Table A3'!E15</f>
        <v>0.43452044080659386</v>
      </c>
    </row>
    <row r="17" spans="2:16" ht="27" customHeight="1" x14ac:dyDescent="0.35">
      <c r="B17" s="560">
        <v>2007</v>
      </c>
      <c r="C17" s="562">
        <v>4799.939195912928</v>
      </c>
      <c r="D17" s="563">
        <v>2017.462656597068</v>
      </c>
      <c r="E17" s="562">
        <v>2782.47653931586</v>
      </c>
      <c r="F17" s="564">
        <f t="shared" si="3"/>
        <v>790.29520426287445</v>
      </c>
      <c r="G17" s="565">
        <v>1992.1813350529856</v>
      </c>
      <c r="H17" s="563">
        <v>1465.2015348901214</v>
      </c>
      <c r="I17" s="564">
        <v>1035.630343407425</v>
      </c>
      <c r="J17" s="566">
        <v>526.97979924603408</v>
      </c>
      <c r="K17" s="567">
        <f t="shared" si="0"/>
        <v>0.73547598760689714</v>
      </c>
      <c r="L17" s="568">
        <f t="shared" si="1"/>
        <v>0.51984742813579299</v>
      </c>
      <c r="M17" s="569">
        <f t="shared" si="2"/>
        <v>0.26452401193288871</v>
      </c>
      <c r="N17" s="570">
        <f>G17/'Table A3'!E16</f>
        <v>0.38823913795435877</v>
      </c>
    </row>
    <row r="18" spans="2:16" ht="27" customHeight="1" x14ac:dyDescent="0.35">
      <c r="B18" s="560">
        <v>2008</v>
      </c>
      <c r="C18" s="562">
        <v>3772.0034774842529</v>
      </c>
      <c r="D18" s="563">
        <v>1664.9620757732441</v>
      </c>
      <c r="E18" s="562">
        <v>2107.0414017110088</v>
      </c>
      <c r="F18" s="564">
        <f t="shared" si="3"/>
        <v>562.35420526934422</v>
      </c>
      <c r="G18" s="565">
        <v>1544.6871964416646</v>
      </c>
      <c r="H18" s="563">
        <v>1005.0196272447467</v>
      </c>
      <c r="I18" s="564">
        <v>767.43369385796836</v>
      </c>
      <c r="J18" s="566">
        <v>539.66756919691841</v>
      </c>
      <c r="K18" s="567">
        <f t="shared" si="0"/>
        <v>0.65062986833833159</v>
      </c>
      <c r="L18" s="568">
        <f t="shared" si="1"/>
        <v>0.49682142483334207</v>
      </c>
      <c r="M18" s="569">
        <f t="shared" si="2"/>
        <v>0.3493701316616688</v>
      </c>
      <c r="N18" s="570">
        <f>G18/'Table A3'!E17</f>
        <v>0.34403004801617459</v>
      </c>
    </row>
    <row r="19" spans="2:16" ht="27" customHeight="1" x14ac:dyDescent="0.35">
      <c r="B19" s="560">
        <v>2009</v>
      </c>
      <c r="C19" s="562">
        <v>4374.7378932557012</v>
      </c>
      <c r="D19" s="563">
        <v>1962.7701659388647</v>
      </c>
      <c r="E19" s="562">
        <v>2411.9677273168368</v>
      </c>
      <c r="F19" s="564">
        <f t="shared" si="3"/>
        <v>686.2627048462798</v>
      </c>
      <c r="G19" s="565">
        <v>1725.705022470557</v>
      </c>
      <c r="H19" s="563">
        <v>1102.0710727793576</v>
      </c>
      <c r="I19" s="564">
        <v>754.82691128088231</v>
      </c>
      <c r="J19" s="566">
        <v>623.63394065490218</v>
      </c>
      <c r="K19" s="567">
        <f t="shared" si="0"/>
        <v>0.63862077146974316</v>
      </c>
      <c r="L19" s="568">
        <f t="shared" si="1"/>
        <v>0.43740204812074757</v>
      </c>
      <c r="M19" s="569">
        <f t="shared" si="2"/>
        <v>0.36137922329396377</v>
      </c>
      <c r="N19" s="570"/>
    </row>
    <row r="20" spans="2:16" ht="27" customHeight="1" thickBot="1" x14ac:dyDescent="0.4">
      <c r="B20" s="561">
        <v>2010</v>
      </c>
      <c r="C20" s="571">
        <v>4825.5437820188463</v>
      </c>
      <c r="D20" s="572">
        <v>2207.1285618999009</v>
      </c>
      <c r="E20" s="571">
        <v>2618.4152201189454</v>
      </c>
      <c r="F20" s="573">
        <f t="shared" si="3"/>
        <v>769.30317873130389</v>
      </c>
      <c r="G20" s="574">
        <v>1849.1120413876415</v>
      </c>
      <c r="H20" s="572">
        <v>1221.4983017397858</v>
      </c>
      <c r="I20" s="573">
        <v>823.03915170482048</v>
      </c>
      <c r="J20" s="575">
        <v>627.6137462548553</v>
      </c>
      <c r="K20" s="576">
        <f t="shared" si="0"/>
        <v>0.66058641899445347</v>
      </c>
      <c r="L20" s="577">
        <f t="shared" si="1"/>
        <v>0.44509966583051491</v>
      </c>
      <c r="M20" s="578">
        <f t="shared" si="2"/>
        <v>0.33941358457861259</v>
      </c>
      <c r="N20" s="579"/>
    </row>
    <row r="21" spans="2:16" ht="16.2" thickTop="1" x14ac:dyDescent="0.3">
      <c r="B21" s="516"/>
      <c r="C21" s="511"/>
      <c r="D21" s="511"/>
      <c r="E21" s="514"/>
      <c r="F21" s="514"/>
      <c r="G21" s="515"/>
      <c r="H21" s="511"/>
      <c r="I21" s="516"/>
      <c r="J21" s="516"/>
      <c r="K21" s="516"/>
      <c r="L21" s="512"/>
      <c r="M21" s="511"/>
      <c r="N21" s="513"/>
    </row>
    <row r="22" spans="2:16" ht="15.6" x14ac:dyDescent="0.3">
      <c r="B22" s="516"/>
      <c r="C22" s="511"/>
      <c r="D22" s="511"/>
      <c r="E22" s="514"/>
      <c r="F22" s="514"/>
      <c r="G22" s="515"/>
      <c r="H22" s="511"/>
      <c r="I22" s="516"/>
      <c r="J22" s="516"/>
      <c r="K22" s="516"/>
      <c r="L22" s="516"/>
      <c r="M22" s="516"/>
      <c r="N22" s="513"/>
    </row>
    <row r="23" spans="2:16" ht="15.6" x14ac:dyDescent="0.3">
      <c r="B23" s="516"/>
      <c r="C23" s="511"/>
      <c r="D23" s="511"/>
      <c r="E23" s="514"/>
      <c r="F23" s="514"/>
      <c r="G23" s="515"/>
      <c r="H23" s="511"/>
      <c r="I23" s="516"/>
      <c r="J23" s="516"/>
      <c r="K23" s="516"/>
      <c r="L23" s="516"/>
      <c r="M23" s="516"/>
      <c r="N23" s="513"/>
    </row>
    <row r="24" spans="2:16" ht="15.6" x14ac:dyDescent="0.3">
      <c r="B24" s="516"/>
      <c r="C24" s="511"/>
      <c r="D24" s="511"/>
      <c r="E24" s="514"/>
      <c r="F24" s="514"/>
      <c r="G24" s="515"/>
      <c r="H24" s="511"/>
      <c r="I24" s="516"/>
      <c r="J24" s="516"/>
      <c r="K24" s="516"/>
      <c r="L24" s="516"/>
      <c r="M24" s="516"/>
      <c r="N24" s="513"/>
    </row>
    <row r="25" spans="2:16" ht="15.6" x14ac:dyDescent="0.3">
      <c r="B25" s="516"/>
      <c r="C25" s="511"/>
      <c r="D25" s="511"/>
      <c r="E25" s="514"/>
      <c r="F25" s="514"/>
      <c r="G25" s="515"/>
      <c r="H25" s="511"/>
      <c r="I25" s="516"/>
      <c r="J25" s="516"/>
      <c r="K25" s="516"/>
      <c r="L25" s="516"/>
      <c r="M25" s="516"/>
      <c r="N25" s="513"/>
    </row>
    <row r="26" spans="2:16" ht="15.6" x14ac:dyDescent="0.3">
      <c r="B26" s="516"/>
      <c r="C26" s="511"/>
      <c r="D26" s="511"/>
      <c r="E26" s="514"/>
      <c r="F26" s="514"/>
      <c r="G26" s="515"/>
      <c r="H26" s="511"/>
      <c r="I26" s="516"/>
      <c r="J26" s="516"/>
      <c r="K26" s="516"/>
      <c r="L26" s="516"/>
      <c r="M26" s="516"/>
      <c r="N26" s="513"/>
    </row>
    <row r="27" spans="2:16" ht="15.6" x14ac:dyDescent="0.3">
      <c r="B27" s="516"/>
      <c r="C27" s="511"/>
      <c r="D27" s="511"/>
      <c r="E27" s="514"/>
      <c r="F27" s="514"/>
      <c r="G27" s="515"/>
      <c r="H27" s="511"/>
      <c r="I27" s="516"/>
      <c r="J27" s="516"/>
      <c r="K27" s="516"/>
      <c r="L27" s="516"/>
      <c r="M27" s="516"/>
      <c r="N27" s="513"/>
    </row>
    <row r="28" spans="2:16" ht="15.6" x14ac:dyDescent="0.3">
      <c r="B28" s="516"/>
      <c r="C28" s="511"/>
      <c r="D28" s="511"/>
      <c r="E28" s="514"/>
      <c r="F28" s="514"/>
      <c r="G28" s="515"/>
      <c r="H28" s="511"/>
      <c r="I28" s="516"/>
      <c r="J28" s="516"/>
      <c r="K28" s="516"/>
      <c r="L28" s="516"/>
      <c r="M28" s="516"/>
      <c r="N28" s="513"/>
    </row>
    <row r="29" spans="2:16" ht="15.6" x14ac:dyDescent="0.3">
      <c r="B29" s="516"/>
      <c r="C29" s="511"/>
      <c r="D29" s="511"/>
      <c r="E29" s="514"/>
      <c r="F29" s="514"/>
      <c r="G29" s="515"/>
      <c r="H29" s="511"/>
      <c r="I29" s="516"/>
      <c r="J29" s="516"/>
      <c r="K29" s="516"/>
      <c r="L29" s="516"/>
      <c r="M29" s="516"/>
      <c r="N29" s="513"/>
    </row>
    <row r="30" spans="2:16" ht="15.6" x14ac:dyDescent="0.3">
      <c r="B30" s="516"/>
      <c r="C30" s="511"/>
      <c r="D30" s="511"/>
      <c r="E30" s="514"/>
      <c r="F30" s="514"/>
      <c r="G30" s="515"/>
      <c r="H30" s="511"/>
      <c r="I30" s="516"/>
      <c r="J30" s="516"/>
      <c r="K30" s="516"/>
      <c r="L30" s="516"/>
      <c r="M30" s="516"/>
      <c r="N30" s="513"/>
    </row>
    <row r="31" spans="2:16" ht="15.6" x14ac:dyDescent="0.3">
      <c r="B31" s="516"/>
      <c r="C31" s="511"/>
      <c r="D31" s="511"/>
      <c r="E31" s="514"/>
      <c r="F31" s="514"/>
      <c r="G31" s="515"/>
      <c r="H31" s="511"/>
      <c r="I31" s="516"/>
      <c r="J31" s="516"/>
      <c r="K31" s="516"/>
      <c r="L31" s="516"/>
      <c r="M31" s="516"/>
      <c r="N31" s="513"/>
    </row>
    <row r="32" spans="2:16" ht="15.6" x14ac:dyDescent="0.3">
      <c r="B32" s="516"/>
      <c r="C32" s="511"/>
      <c r="D32" s="511"/>
      <c r="E32" s="514"/>
      <c r="F32" s="514"/>
      <c r="G32" s="515"/>
      <c r="H32" s="511"/>
      <c r="I32" s="516"/>
      <c r="J32" s="516"/>
      <c r="K32" s="516"/>
      <c r="L32" s="516"/>
      <c r="M32" s="516"/>
      <c r="N32" s="513"/>
      <c r="O32" s="517"/>
      <c r="P32" s="517"/>
    </row>
    <row r="33" spans="2:15" ht="15.6" x14ac:dyDescent="0.3">
      <c r="B33" s="516"/>
      <c r="C33" s="511"/>
      <c r="D33" s="511"/>
      <c r="E33" s="514"/>
      <c r="F33" s="514"/>
      <c r="G33" s="515"/>
      <c r="H33" s="511"/>
      <c r="I33" s="516"/>
      <c r="J33" s="516"/>
      <c r="K33" s="516"/>
      <c r="L33" s="516"/>
      <c r="M33" s="516"/>
      <c r="N33" s="513"/>
      <c r="O33" s="517"/>
    </row>
    <row r="34" spans="2:15" ht="15.6" x14ac:dyDescent="0.3">
      <c r="B34" s="516"/>
      <c r="C34" s="511"/>
      <c r="D34" s="511"/>
      <c r="E34" s="514"/>
      <c r="F34" s="514"/>
      <c r="G34" s="515"/>
      <c r="H34" s="511"/>
      <c r="I34" s="516"/>
      <c r="J34" s="516"/>
      <c r="K34" s="516"/>
      <c r="L34" s="516"/>
      <c r="M34" s="516"/>
      <c r="N34" s="513"/>
      <c r="O34" s="517"/>
    </row>
    <row r="35" spans="2:15" ht="15.6" x14ac:dyDescent="0.3">
      <c r="B35" s="516"/>
      <c r="C35" s="511"/>
      <c r="D35" s="511"/>
      <c r="E35" s="514"/>
      <c r="F35" s="514"/>
      <c r="G35" s="515"/>
      <c r="H35" s="511"/>
      <c r="I35" s="516"/>
      <c r="J35" s="516"/>
      <c r="K35" s="516"/>
      <c r="L35" s="516"/>
      <c r="M35" s="516"/>
      <c r="N35" s="513"/>
      <c r="O35" s="517"/>
    </row>
    <row r="36" spans="2:15" ht="15.6" x14ac:dyDescent="0.3">
      <c r="B36" s="516"/>
      <c r="C36" s="511"/>
      <c r="D36" s="511"/>
      <c r="E36" s="514"/>
      <c r="F36" s="514"/>
      <c r="G36" s="515"/>
      <c r="H36" s="511"/>
      <c r="I36" s="516"/>
      <c r="J36" s="516"/>
      <c r="K36" s="516"/>
      <c r="L36" s="516"/>
      <c r="M36" s="516"/>
      <c r="N36" s="513"/>
      <c r="O36" s="517"/>
    </row>
    <row r="37" spans="2:15" ht="15.6" x14ac:dyDescent="0.3">
      <c r="B37" s="516"/>
      <c r="C37" s="512"/>
      <c r="D37" s="512"/>
      <c r="E37" s="514"/>
      <c r="F37" s="514"/>
      <c r="G37" s="515"/>
      <c r="H37" s="514"/>
      <c r="I37" s="514"/>
      <c r="J37" s="514"/>
      <c r="K37" s="514"/>
      <c r="L37" s="514"/>
      <c r="M37" s="514"/>
      <c r="N37" s="513"/>
      <c r="O37" s="517"/>
    </row>
    <row r="38" spans="2:15" ht="15.6" x14ac:dyDescent="0.3">
      <c r="B38" s="516"/>
      <c r="C38" s="512"/>
      <c r="D38" s="512"/>
      <c r="E38" s="514"/>
      <c r="F38" s="514"/>
      <c r="G38" s="515"/>
      <c r="H38" s="514"/>
      <c r="I38" s="514"/>
      <c r="J38" s="514"/>
      <c r="K38" s="514"/>
      <c r="L38" s="514"/>
      <c r="M38" s="514"/>
      <c r="N38" s="513"/>
      <c r="O38" s="517"/>
    </row>
    <row r="39" spans="2:15" ht="15.6" x14ac:dyDescent="0.3">
      <c r="B39" s="516"/>
      <c r="C39" s="512"/>
      <c r="D39" s="512"/>
      <c r="E39" s="514"/>
      <c r="F39" s="514"/>
      <c r="G39" s="515"/>
      <c r="H39" s="514"/>
      <c r="I39" s="514"/>
      <c r="J39" s="514"/>
      <c r="K39" s="514"/>
      <c r="L39" s="514"/>
      <c r="M39" s="514"/>
      <c r="N39" s="513"/>
      <c r="O39" s="517"/>
    </row>
    <row r="40" spans="2:15" ht="15.6" x14ac:dyDescent="0.3">
      <c r="B40" s="516"/>
      <c r="C40" s="512"/>
      <c r="D40" s="512"/>
      <c r="E40" s="514"/>
      <c r="F40" s="514"/>
      <c r="G40" s="515"/>
      <c r="H40" s="514"/>
      <c r="I40" s="514"/>
      <c r="J40" s="514"/>
      <c r="K40" s="514"/>
      <c r="L40" s="514"/>
      <c r="M40" s="514"/>
      <c r="N40" s="513"/>
      <c r="O40" s="517"/>
    </row>
    <row r="41" spans="2:15" ht="15.6" x14ac:dyDescent="0.3">
      <c r="B41" s="516"/>
      <c r="C41" s="512"/>
      <c r="D41" s="512"/>
      <c r="E41" s="514"/>
      <c r="F41" s="514"/>
      <c r="G41" s="515"/>
      <c r="H41" s="514"/>
      <c r="I41" s="514"/>
      <c r="J41" s="514"/>
      <c r="K41" s="514"/>
      <c r="L41" s="514"/>
      <c r="M41" s="514"/>
      <c r="N41" s="513"/>
      <c r="O41" s="517"/>
    </row>
    <row r="42" spans="2:15" ht="15.6" x14ac:dyDescent="0.3">
      <c r="B42" s="516"/>
      <c r="C42" s="512"/>
      <c r="D42" s="512"/>
      <c r="E42" s="514"/>
      <c r="F42" s="514"/>
      <c r="G42" s="515"/>
      <c r="H42" s="514"/>
      <c r="I42" s="514"/>
      <c r="J42" s="514"/>
      <c r="K42" s="514"/>
      <c r="L42" s="514"/>
      <c r="M42" s="514"/>
      <c r="N42" s="513"/>
      <c r="O42" s="517"/>
    </row>
    <row r="43" spans="2:15" ht="15.6" x14ac:dyDescent="0.3">
      <c r="B43" s="516"/>
      <c r="C43" s="512"/>
      <c r="D43" s="512"/>
      <c r="E43" s="514"/>
      <c r="F43" s="514"/>
      <c r="G43" s="515"/>
      <c r="H43" s="514"/>
      <c r="I43" s="514"/>
      <c r="J43" s="514"/>
      <c r="K43" s="514"/>
      <c r="L43" s="514"/>
      <c r="M43" s="514"/>
      <c r="N43" s="513"/>
      <c r="O43" s="517"/>
    </row>
    <row r="44" spans="2:15" ht="15.6" x14ac:dyDescent="0.3">
      <c r="B44" s="516"/>
      <c r="C44" s="512"/>
      <c r="D44" s="512"/>
      <c r="E44" s="514"/>
      <c r="F44" s="514"/>
      <c r="G44" s="515"/>
      <c r="H44" s="514"/>
      <c r="I44" s="514"/>
      <c r="J44" s="514"/>
      <c r="K44" s="514"/>
      <c r="L44" s="514"/>
      <c r="M44" s="514"/>
      <c r="N44" s="513"/>
      <c r="O44" s="517"/>
    </row>
    <row r="45" spans="2:15" ht="15.6" x14ac:dyDescent="0.3">
      <c r="B45" s="516"/>
      <c r="C45" s="512"/>
      <c r="D45" s="512"/>
      <c r="E45" s="514"/>
      <c r="F45" s="514"/>
      <c r="G45" s="515"/>
      <c r="H45" s="514"/>
      <c r="I45" s="514"/>
      <c r="J45" s="514"/>
      <c r="K45" s="514"/>
      <c r="L45" s="514"/>
      <c r="M45" s="514"/>
      <c r="N45" s="513"/>
      <c r="O45" s="517"/>
    </row>
    <row r="46" spans="2:15" ht="15" x14ac:dyDescent="0.25">
      <c r="B46" s="516"/>
      <c r="C46" s="512"/>
      <c r="D46" s="512"/>
      <c r="E46" s="514"/>
      <c r="F46" s="514"/>
      <c r="G46" s="514"/>
      <c r="H46" s="514"/>
      <c r="I46" s="514"/>
      <c r="J46" s="514"/>
      <c r="K46" s="514"/>
      <c r="L46" s="514"/>
      <c r="M46" s="514"/>
      <c r="N46" s="513"/>
      <c r="O46" s="517"/>
    </row>
    <row r="47" spans="2:15" ht="15" x14ac:dyDescent="0.25">
      <c r="B47" s="516"/>
      <c r="C47" s="512"/>
      <c r="D47" s="512"/>
      <c r="E47" s="514"/>
      <c r="F47" s="514"/>
      <c r="G47" s="514"/>
      <c r="H47" s="514"/>
      <c r="I47" s="514"/>
      <c r="J47" s="514"/>
      <c r="K47" s="514"/>
      <c r="L47" s="514"/>
      <c r="M47" s="514"/>
      <c r="N47" s="513"/>
      <c r="O47" s="517"/>
    </row>
    <row r="48" spans="2:15" ht="15" x14ac:dyDescent="0.25">
      <c r="B48" s="516"/>
      <c r="C48" s="512"/>
      <c r="D48" s="512"/>
      <c r="E48" s="514"/>
      <c r="F48" s="514"/>
      <c r="G48" s="514"/>
      <c r="H48" s="514"/>
      <c r="I48" s="514"/>
      <c r="J48" s="514"/>
      <c r="K48" s="514"/>
      <c r="L48" s="514"/>
      <c r="M48" s="514"/>
      <c r="N48" s="513"/>
      <c r="O48" s="517"/>
    </row>
    <row r="49" spans="2:15" ht="15" x14ac:dyDescent="0.25">
      <c r="B49" s="516"/>
      <c r="C49" s="512"/>
      <c r="D49" s="512"/>
      <c r="E49" s="514"/>
      <c r="F49" s="514"/>
      <c r="G49" s="514"/>
      <c r="H49" s="514"/>
      <c r="I49" s="514"/>
      <c r="J49" s="514"/>
      <c r="K49" s="514"/>
      <c r="L49" s="514"/>
      <c r="M49" s="514"/>
      <c r="N49" s="513"/>
      <c r="O49" s="517"/>
    </row>
    <row r="50" spans="2:15" ht="15" x14ac:dyDescent="0.25">
      <c r="B50" s="516"/>
      <c r="C50" s="512"/>
      <c r="D50" s="512"/>
      <c r="E50" s="514"/>
      <c r="F50" s="514"/>
      <c r="G50" s="514"/>
      <c r="H50" s="514"/>
      <c r="I50" s="514"/>
      <c r="J50" s="514"/>
      <c r="K50" s="514"/>
      <c r="L50" s="514"/>
      <c r="M50" s="514"/>
      <c r="N50" s="513"/>
      <c r="O50" s="517"/>
    </row>
    <row r="51" spans="2:15" ht="15" x14ac:dyDescent="0.25">
      <c r="B51" s="516"/>
      <c r="C51" s="512"/>
      <c r="D51" s="512"/>
      <c r="E51" s="514"/>
      <c r="F51" s="514"/>
      <c r="G51" s="514"/>
      <c r="H51" s="514"/>
      <c r="I51" s="514"/>
      <c r="J51" s="514"/>
      <c r="K51" s="514"/>
      <c r="L51" s="514"/>
      <c r="M51" s="514"/>
      <c r="N51" s="513"/>
      <c r="O51" s="517"/>
    </row>
    <row r="52" spans="2:15" ht="15" x14ac:dyDescent="0.25">
      <c r="B52" s="516"/>
      <c r="C52" s="512"/>
      <c r="D52" s="512"/>
      <c r="E52" s="514"/>
      <c r="F52" s="514"/>
      <c r="G52" s="514"/>
      <c r="H52" s="514"/>
      <c r="I52" s="514"/>
      <c r="J52" s="514"/>
      <c r="K52" s="514"/>
      <c r="L52" s="514"/>
      <c r="M52" s="514"/>
      <c r="N52" s="513"/>
      <c r="O52" s="517"/>
    </row>
    <row r="53" spans="2:15" ht="15" x14ac:dyDescent="0.25">
      <c r="B53" s="516"/>
      <c r="C53" s="512"/>
      <c r="D53" s="512"/>
      <c r="E53" s="514"/>
      <c r="F53" s="514"/>
      <c r="G53" s="514"/>
      <c r="H53" s="514"/>
      <c r="I53" s="514"/>
      <c r="J53" s="514"/>
      <c r="K53" s="514"/>
      <c r="L53" s="514"/>
      <c r="M53" s="514"/>
      <c r="N53" s="513"/>
      <c r="O53" s="517"/>
    </row>
    <row r="54" spans="2:15" ht="15" x14ac:dyDescent="0.25">
      <c r="B54" s="516"/>
      <c r="C54" s="512"/>
      <c r="D54" s="512"/>
      <c r="E54" s="514"/>
      <c r="F54" s="514"/>
      <c r="G54" s="514"/>
      <c r="H54" s="514"/>
      <c r="I54" s="514"/>
      <c r="J54" s="514"/>
      <c r="K54" s="514"/>
      <c r="L54" s="514"/>
      <c r="M54" s="514"/>
      <c r="N54" s="513"/>
      <c r="O54" s="517"/>
    </row>
    <row r="55" spans="2:15" ht="15" x14ac:dyDescent="0.25">
      <c r="B55" s="516"/>
      <c r="C55" s="512"/>
      <c r="D55" s="512"/>
      <c r="E55" s="514"/>
      <c r="F55" s="514"/>
      <c r="G55" s="514"/>
      <c r="H55" s="514"/>
      <c r="I55" s="514"/>
      <c r="J55" s="514"/>
      <c r="K55" s="514"/>
      <c r="L55" s="514"/>
      <c r="M55" s="514"/>
      <c r="N55" s="513"/>
      <c r="O55" s="517"/>
    </row>
    <row r="56" spans="2:15" ht="15" x14ac:dyDescent="0.25">
      <c r="B56" s="516"/>
      <c r="C56" s="512"/>
      <c r="D56" s="512"/>
      <c r="E56" s="514"/>
      <c r="F56" s="514"/>
      <c r="G56" s="514"/>
      <c r="H56" s="514"/>
      <c r="I56" s="514"/>
      <c r="J56" s="514"/>
      <c r="K56" s="514"/>
      <c r="L56" s="514"/>
      <c r="M56" s="514"/>
      <c r="N56" s="513"/>
      <c r="O56" s="517"/>
    </row>
    <row r="57" spans="2:15" ht="15" x14ac:dyDescent="0.25">
      <c r="B57" s="516"/>
      <c r="C57" s="512"/>
      <c r="D57" s="512"/>
      <c r="E57" s="514"/>
      <c r="F57" s="514"/>
      <c r="G57" s="514"/>
      <c r="H57" s="514"/>
      <c r="I57" s="514"/>
      <c r="J57" s="514"/>
      <c r="K57" s="514"/>
      <c r="L57" s="514"/>
      <c r="M57" s="514"/>
      <c r="N57" s="513"/>
      <c r="O57" s="517"/>
    </row>
    <row r="58" spans="2:15" ht="15" x14ac:dyDescent="0.25">
      <c r="B58" s="516"/>
      <c r="C58" s="512"/>
      <c r="D58" s="512"/>
      <c r="E58" s="514"/>
      <c r="F58" s="514"/>
      <c r="G58" s="514"/>
      <c r="H58" s="514"/>
      <c r="I58" s="514"/>
      <c r="J58" s="514"/>
      <c r="K58" s="514"/>
      <c r="L58" s="514"/>
      <c r="M58" s="514"/>
      <c r="N58" s="513"/>
      <c r="O58" s="517"/>
    </row>
    <row r="59" spans="2:15" ht="15" x14ac:dyDescent="0.25">
      <c r="B59" s="516"/>
      <c r="C59" s="512"/>
      <c r="D59" s="512"/>
      <c r="E59" s="514"/>
      <c r="F59" s="514"/>
      <c r="G59" s="514"/>
      <c r="H59" s="514"/>
      <c r="I59" s="514"/>
      <c r="J59" s="514"/>
      <c r="K59" s="514"/>
      <c r="L59" s="514"/>
      <c r="M59" s="514"/>
      <c r="N59" s="513"/>
      <c r="O59" s="517"/>
    </row>
    <row r="60" spans="2:15" ht="15" x14ac:dyDescent="0.25">
      <c r="B60" s="516"/>
      <c r="C60" s="512"/>
      <c r="D60" s="512"/>
      <c r="E60" s="514"/>
      <c r="F60" s="514"/>
      <c r="G60" s="514"/>
      <c r="H60" s="514"/>
      <c r="I60" s="514"/>
      <c r="J60" s="514"/>
      <c r="K60" s="514"/>
      <c r="L60" s="514"/>
      <c r="M60" s="514"/>
      <c r="N60" s="513"/>
      <c r="O60" s="517"/>
    </row>
    <row r="61" spans="2:15" ht="15" x14ac:dyDescent="0.25">
      <c r="B61" s="516"/>
      <c r="C61" s="512"/>
      <c r="D61" s="512"/>
      <c r="E61" s="514"/>
      <c r="F61" s="514"/>
      <c r="G61" s="514"/>
      <c r="H61" s="514"/>
      <c r="I61" s="514"/>
      <c r="J61" s="514"/>
      <c r="K61" s="514"/>
      <c r="L61" s="514"/>
      <c r="M61" s="514"/>
      <c r="N61" s="513"/>
      <c r="O61" s="517"/>
    </row>
    <row r="62" spans="2:15" ht="15" x14ac:dyDescent="0.25">
      <c r="B62" s="516"/>
      <c r="C62" s="512"/>
      <c r="D62" s="512"/>
      <c r="E62" s="514"/>
      <c r="F62" s="514"/>
      <c r="G62" s="514"/>
      <c r="H62" s="514"/>
      <c r="I62" s="514"/>
      <c r="J62" s="514"/>
      <c r="K62" s="514"/>
      <c r="L62" s="514"/>
      <c r="M62" s="514"/>
      <c r="N62" s="513"/>
      <c r="O62" s="517"/>
    </row>
    <row r="63" spans="2:15" ht="15" x14ac:dyDescent="0.25">
      <c r="B63" s="516"/>
      <c r="C63" s="512"/>
      <c r="D63" s="512"/>
      <c r="E63" s="514"/>
      <c r="F63" s="514"/>
      <c r="G63" s="514"/>
      <c r="H63" s="514"/>
      <c r="I63" s="514"/>
      <c r="J63" s="514"/>
      <c r="K63" s="514"/>
      <c r="L63" s="514"/>
      <c r="M63" s="514"/>
      <c r="N63" s="513"/>
      <c r="O63" s="517"/>
    </row>
    <row r="64" spans="2:15" ht="15" x14ac:dyDescent="0.25">
      <c r="B64" s="516"/>
      <c r="C64" s="512"/>
      <c r="D64" s="512"/>
      <c r="E64" s="514"/>
      <c r="F64" s="514"/>
      <c r="G64" s="514"/>
      <c r="H64" s="514"/>
      <c r="I64" s="514"/>
      <c r="J64" s="514"/>
      <c r="K64" s="514"/>
      <c r="L64" s="514"/>
      <c r="M64" s="514"/>
      <c r="N64" s="513"/>
      <c r="O64" s="517"/>
    </row>
    <row r="65" spans="2:15" ht="15" x14ac:dyDescent="0.25">
      <c r="B65" s="516"/>
      <c r="C65" s="512"/>
      <c r="D65" s="512"/>
      <c r="E65" s="514"/>
      <c r="F65" s="514"/>
      <c r="G65" s="514"/>
      <c r="H65" s="514"/>
      <c r="I65" s="514"/>
      <c r="J65" s="514"/>
      <c r="K65" s="514"/>
      <c r="L65" s="514"/>
      <c r="M65" s="514"/>
      <c r="N65" s="513"/>
      <c r="O65" s="517"/>
    </row>
    <row r="66" spans="2:15" ht="15" x14ac:dyDescent="0.25">
      <c r="B66" s="516"/>
      <c r="C66" s="512"/>
      <c r="D66" s="512"/>
      <c r="E66" s="514"/>
      <c r="F66" s="514"/>
      <c r="G66" s="514"/>
      <c r="H66" s="514"/>
      <c r="I66" s="514"/>
      <c r="J66" s="514"/>
      <c r="K66" s="514"/>
      <c r="L66" s="514"/>
      <c r="M66" s="514"/>
      <c r="N66" s="513"/>
      <c r="O66" s="517"/>
    </row>
    <row r="67" spans="2:15" ht="15" x14ac:dyDescent="0.25">
      <c r="B67" s="516"/>
      <c r="C67" s="512"/>
      <c r="D67" s="512"/>
      <c r="E67" s="514"/>
      <c r="F67" s="514"/>
      <c r="G67" s="514"/>
      <c r="H67" s="514"/>
      <c r="I67" s="514"/>
      <c r="J67" s="514"/>
      <c r="K67" s="514"/>
      <c r="L67" s="514"/>
      <c r="M67" s="514"/>
      <c r="N67" s="513"/>
      <c r="O67" s="517"/>
    </row>
    <row r="68" spans="2:15" ht="15" x14ac:dyDescent="0.25">
      <c r="B68" s="516"/>
      <c r="C68" s="512"/>
      <c r="D68" s="512"/>
      <c r="E68" s="514"/>
      <c r="F68" s="514"/>
      <c r="G68" s="514"/>
      <c r="H68" s="514"/>
      <c r="I68" s="514"/>
      <c r="J68" s="514"/>
      <c r="K68" s="514"/>
      <c r="L68" s="514"/>
      <c r="M68" s="514"/>
      <c r="N68" s="513"/>
      <c r="O68" s="517"/>
    </row>
    <row r="69" spans="2:15" ht="15" x14ac:dyDescent="0.25">
      <c r="B69" s="516"/>
      <c r="C69" s="512"/>
      <c r="D69" s="512"/>
      <c r="E69" s="514"/>
      <c r="F69" s="514"/>
      <c r="G69" s="514"/>
      <c r="H69" s="514"/>
      <c r="I69" s="514"/>
      <c r="J69" s="514"/>
      <c r="K69" s="514"/>
      <c r="L69" s="514"/>
      <c r="M69" s="514"/>
      <c r="N69" s="513"/>
      <c r="O69" s="517"/>
    </row>
    <row r="70" spans="2:15" ht="15" x14ac:dyDescent="0.25">
      <c r="B70" s="516"/>
      <c r="C70" s="512"/>
      <c r="D70" s="512"/>
      <c r="E70" s="514"/>
      <c r="F70" s="514"/>
      <c r="G70" s="514"/>
      <c r="H70" s="514"/>
      <c r="I70" s="514"/>
      <c r="J70" s="514"/>
      <c r="K70" s="514"/>
      <c r="L70" s="514"/>
      <c r="M70" s="514"/>
      <c r="N70" s="513"/>
      <c r="O70" s="517"/>
    </row>
    <row r="71" spans="2:15" ht="15" x14ac:dyDescent="0.25">
      <c r="B71" s="516"/>
      <c r="C71" s="512"/>
      <c r="D71" s="512"/>
      <c r="E71" s="514"/>
      <c r="F71" s="514"/>
      <c r="G71" s="514"/>
      <c r="H71" s="514"/>
      <c r="I71" s="514"/>
      <c r="J71" s="514"/>
      <c r="K71" s="514"/>
      <c r="L71" s="514"/>
      <c r="M71" s="514"/>
      <c r="N71" s="513"/>
      <c r="O71" s="517"/>
    </row>
    <row r="72" spans="2:15" ht="15" x14ac:dyDescent="0.25">
      <c r="B72" s="516"/>
      <c r="C72" s="512"/>
      <c r="D72" s="512"/>
      <c r="E72" s="514"/>
      <c r="F72" s="514"/>
      <c r="G72" s="514"/>
      <c r="H72" s="514"/>
      <c r="I72" s="514"/>
      <c r="J72" s="514"/>
      <c r="K72" s="514"/>
      <c r="L72" s="514"/>
      <c r="M72" s="514"/>
      <c r="N72" s="513"/>
      <c r="O72" s="517"/>
    </row>
    <row r="73" spans="2:15" ht="15" x14ac:dyDescent="0.25">
      <c r="B73" s="516"/>
      <c r="C73" s="512"/>
      <c r="D73" s="512"/>
      <c r="E73" s="514"/>
      <c r="F73" s="514"/>
      <c r="G73" s="514"/>
      <c r="H73" s="514"/>
      <c r="I73" s="514"/>
      <c r="J73" s="514"/>
      <c r="K73" s="514"/>
      <c r="L73" s="514"/>
      <c r="M73" s="514"/>
      <c r="N73" s="513"/>
      <c r="O73" s="517"/>
    </row>
    <row r="74" spans="2:15" ht="15" x14ac:dyDescent="0.25">
      <c r="B74" s="516"/>
      <c r="C74" s="512"/>
      <c r="D74" s="512"/>
      <c r="E74" s="514"/>
      <c r="F74" s="514"/>
      <c r="G74" s="514"/>
      <c r="H74" s="514"/>
      <c r="I74" s="514"/>
      <c r="J74" s="514"/>
      <c r="K74" s="514"/>
      <c r="L74" s="514"/>
      <c r="M74" s="514"/>
      <c r="N74" s="513"/>
      <c r="O74" s="517"/>
    </row>
    <row r="75" spans="2:15" ht="15" x14ac:dyDescent="0.25">
      <c r="B75" s="516"/>
      <c r="C75" s="512"/>
      <c r="D75" s="512"/>
      <c r="E75" s="514"/>
      <c r="F75" s="514"/>
      <c r="G75" s="514"/>
      <c r="H75" s="514"/>
      <c r="I75" s="514"/>
      <c r="J75" s="514"/>
      <c r="K75" s="514"/>
      <c r="L75" s="514"/>
      <c r="M75" s="514"/>
      <c r="N75" s="513"/>
      <c r="O75" s="517"/>
    </row>
    <row r="76" spans="2:15" ht="15" x14ac:dyDescent="0.25">
      <c r="B76" s="516"/>
      <c r="C76" s="512"/>
      <c r="D76" s="512"/>
      <c r="E76" s="514"/>
      <c r="F76" s="514"/>
      <c r="G76" s="514"/>
      <c r="H76" s="514"/>
      <c r="I76" s="514"/>
      <c r="J76" s="514"/>
      <c r="K76" s="514"/>
      <c r="L76" s="514"/>
      <c r="M76" s="514"/>
      <c r="N76" s="513"/>
      <c r="O76" s="517"/>
    </row>
    <row r="77" spans="2:15" ht="15" x14ac:dyDescent="0.25">
      <c r="B77" s="516"/>
      <c r="C77" s="512"/>
      <c r="D77" s="512"/>
      <c r="E77" s="514"/>
      <c r="F77" s="514"/>
      <c r="G77" s="514"/>
      <c r="H77" s="514"/>
      <c r="I77" s="514"/>
      <c r="J77" s="514"/>
      <c r="K77" s="514"/>
      <c r="L77" s="514"/>
      <c r="M77" s="514"/>
      <c r="N77" s="513"/>
      <c r="O77" s="517"/>
    </row>
    <row r="78" spans="2:15" ht="15" x14ac:dyDescent="0.25">
      <c r="B78" s="516"/>
      <c r="C78" s="512"/>
      <c r="D78" s="512"/>
      <c r="E78" s="514"/>
      <c r="F78" s="514"/>
      <c r="G78" s="514"/>
      <c r="H78" s="514"/>
      <c r="I78" s="514"/>
      <c r="J78" s="514"/>
      <c r="K78" s="514"/>
      <c r="L78" s="514"/>
      <c r="M78" s="514"/>
      <c r="N78" s="513"/>
      <c r="O78" s="517"/>
    </row>
    <row r="79" spans="2:15" ht="15" x14ac:dyDescent="0.25">
      <c r="B79" s="516"/>
      <c r="C79" s="512"/>
      <c r="D79" s="512"/>
      <c r="E79" s="514"/>
      <c r="F79" s="514"/>
      <c r="G79" s="514"/>
      <c r="H79" s="514"/>
      <c r="I79" s="514"/>
      <c r="J79" s="514"/>
      <c r="K79" s="514"/>
      <c r="L79" s="514"/>
      <c r="M79" s="514"/>
      <c r="N79" s="513"/>
      <c r="O79" s="517"/>
    </row>
    <row r="80" spans="2:15" ht="15" x14ac:dyDescent="0.25">
      <c r="B80" s="516"/>
      <c r="C80" s="512"/>
      <c r="D80" s="512"/>
      <c r="E80" s="514"/>
      <c r="F80" s="514"/>
      <c r="G80" s="514"/>
      <c r="H80" s="514"/>
      <c r="I80" s="514"/>
      <c r="J80" s="514"/>
      <c r="K80" s="514"/>
      <c r="L80" s="514"/>
      <c r="M80" s="514"/>
      <c r="N80" s="513"/>
      <c r="O80" s="517"/>
    </row>
    <row r="81" spans="2:15" ht="15" x14ac:dyDescent="0.25">
      <c r="B81" s="516"/>
      <c r="C81" s="512"/>
      <c r="D81" s="512"/>
      <c r="E81" s="514"/>
      <c r="F81" s="514"/>
      <c r="G81" s="514"/>
      <c r="H81" s="514"/>
      <c r="I81" s="514"/>
      <c r="J81" s="514"/>
      <c r="K81" s="514"/>
      <c r="L81" s="514"/>
      <c r="M81" s="514"/>
      <c r="N81" s="513"/>
      <c r="O81" s="517"/>
    </row>
    <row r="82" spans="2:15" ht="15" x14ac:dyDescent="0.25">
      <c r="B82" s="516"/>
      <c r="C82" s="512"/>
      <c r="D82" s="512"/>
      <c r="E82" s="514"/>
      <c r="F82" s="514"/>
      <c r="G82" s="514"/>
      <c r="H82" s="514"/>
      <c r="I82" s="514"/>
      <c r="J82" s="514"/>
      <c r="K82" s="514"/>
      <c r="L82" s="514"/>
      <c r="M82" s="514"/>
      <c r="N82" s="513"/>
      <c r="O82" s="517"/>
    </row>
    <row r="83" spans="2:15" ht="15" x14ac:dyDescent="0.25">
      <c r="B83" s="516"/>
      <c r="C83" s="512"/>
      <c r="D83" s="512"/>
      <c r="E83" s="514"/>
      <c r="F83" s="514"/>
      <c r="G83" s="514"/>
      <c r="H83" s="514"/>
      <c r="I83" s="514"/>
      <c r="J83" s="514"/>
      <c r="K83" s="514"/>
      <c r="L83" s="514"/>
      <c r="M83" s="514"/>
      <c r="N83" s="513"/>
      <c r="O83" s="517"/>
    </row>
    <row r="84" spans="2:15" ht="15" x14ac:dyDescent="0.25">
      <c r="B84" s="516"/>
      <c r="C84" s="512"/>
      <c r="D84" s="512"/>
      <c r="E84" s="514"/>
      <c r="F84" s="514"/>
      <c r="G84" s="514"/>
      <c r="H84" s="514"/>
      <c r="I84" s="514"/>
      <c r="J84" s="514"/>
      <c r="K84" s="514"/>
      <c r="L84" s="514"/>
      <c r="M84" s="514"/>
      <c r="N84" s="513"/>
      <c r="O84" s="517"/>
    </row>
    <row r="85" spans="2:15" ht="15" x14ac:dyDescent="0.25">
      <c r="B85" s="516"/>
      <c r="C85" s="512"/>
      <c r="D85" s="512"/>
      <c r="E85" s="514"/>
      <c r="F85" s="514"/>
      <c r="G85" s="514"/>
      <c r="H85" s="514"/>
      <c r="I85" s="514"/>
      <c r="J85" s="514"/>
      <c r="K85" s="514"/>
      <c r="L85" s="514"/>
      <c r="M85" s="514"/>
      <c r="N85" s="513"/>
      <c r="O85" s="517"/>
    </row>
    <row r="86" spans="2:15" ht="15" x14ac:dyDescent="0.25">
      <c r="B86" s="516"/>
      <c r="C86" s="512"/>
      <c r="D86" s="512"/>
      <c r="E86" s="514"/>
      <c r="F86" s="514"/>
      <c r="G86" s="514"/>
      <c r="H86" s="514"/>
      <c r="I86" s="514"/>
      <c r="J86" s="514"/>
      <c r="K86" s="514"/>
      <c r="L86" s="514"/>
      <c r="M86" s="514"/>
      <c r="N86" s="513"/>
      <c r="O86" s="517"/>
    </row>
    <row r="87" spans="2:15" ht="15" x14ac:dyDescent="0.25">
      <c r="B87" s="516"/>
      <c r="C87" s="512"/>
      <c r="D87" s="512"/>
      <c r="E87" s="514"/>
      <c r="F87" s="514"/>
      <c r="G87" s="514"/>
      <c r="H87" s="514"/>
      <c r="I87" s="514"/>
      <c r="J87" s="514"/>
      <c r="K87" s="514"/>
      <c r="L87" s="514"/>
      <c r="M87" s="514"/>
      <c r="N87" s="513"/>
      <c r="O87" s="517"/>
    </row>
    <row r="88" spans="2:15" ht="15" x14ac:dyDescent="0.25">
      <c r="B88" s="516"/>
      <c r="C88" s="512"/>
      <c r="D88" s="512"/>
      <c r="E88" s="514"/>
      <c r="F88" s="514"/>
      <c r="G88" s="514"/>
      <c r="H88" s="514"/>
      <c r="I88" s="514"/>
      <c r="J88" s="514"/>
      <c r="K88" s="514"/>
      <c r="L88" s="514"/>
      <c r="M88" s="514"/>
      <c r="N88" s="513"/>
      <c r="O88" s="517"/>
    </row>
    <row r="89" spans="2:15" ht="15" x14ac:dyDescent="0.25">
      <c r="B89" s="516"/>
      <c r="C89" s="512"/>
      <c r="D89" s="512"/>
      <c r="E89" s="514"/>
      <c r="F89" s="514"/>
      <c r="G89" s="514"/>
      <c r="H89" s="514"/>
      <c r="I89" s="514"/>
      <c r="J89" s="514"/>
      <c r="K89" s="514"/>
      <c r="L89" s="514"/>
      <c r="M89" s="514"/>
      <c r="N89" s="513"/>
      <c r="O89" s="517"/>
    </row>
    <row r="90" spans="2:15" ht="15" x14ac:dyDescent="0.25">
      <c r="B90" s="516"/>
      <c r="C90" s="512"/>
      <c r="D90" s="512"/>
      <c r="E90" s="514"/>
      <c r="F90" s="514"/>
      <c r="G90" s="514"/>
      <c r="H90" s="514"/>
      <c r="I90" s="514"/>
      <c r="J90" s="514"/>
      <c r="K90" s="514"/>
      <c r="L90" s="514"/>
      <c r="M90" s="514"/>
      <c r="N90" s="513"/>
      <c r="O90" s="517"/>
    </row>
    <row r="91" spans="2:15" ht="15" x14ac:dyDescent="0.25">
      <c r="B91" s="516"/>
      <c r="C91" s="512"/>
      <c r="D91" s="512"/>
      <c r="E91" s="514"/>
      <c r="F91" s="514"/>
      <c r="G91" s="514"/>
      <c r="H91" s="514"/>
      <c r="I91" s="514"/>
      <c r="J91" s="514"/>
      <c r="K91" s="514"/>
      <c r="L91" s="514"/>
      <c r="M91" s="514"/>
      <c r="N91" s="513"/>
      <c r="O91" s="517"/>
    </row>
    <row r="92" spans="2:15" ht="15" x14ac:dyDescent="0.25">
      <c r="B92" s="516"/>
      <c r="C92" s="512"/>
      <c r="D92" s="512"/>
      <c r="E92" s="514"/>
      <c r="F92" s="514"/>
      <c r="G92" s="514"/>
      <c r="H92" s="514"/>
      <c r="I92" s="514"/>
      <c r="J92" s="514"/>
      <c r="K92" s="514"/>
      <c r="L92" s="514"/>
      <c r="M92" s="514"/>
      <c r="N92" s="513"/>
      <c r="O92" s="517"/>
    </row>
    <row r="93" spans="2:15" ht="15" x14ac:dyDescent="0.25">
      <c r="B93" s="516"/>
      <c r="C93" s="512"/>
      <c r="D93" s="512"/>
      <c r="E93" s="514"/>
      <c r="F93" s="514"/>
      <c r="G93" s="514"/>
      <c r="H93" s="514"/>
      <c r="I93" s="514"/>
      <c r="J93" s="514"/>
      <c r="K93" s="514"/>
      <c r="L93" s="514"/>
      <c r="M93" s="514"/>
      <c r="N93" s="513"/>
      <c r="O93" s="517"/>
    </row>
    <row r="94" spans="2:15" ht="15" x14ac:dyDescent="0.25">
      <c r="B94" s="516"/>
      <c r="C94" s="512"/>
      <c r="D94" s="512"/>
      <c r="E94" s="514"/>
      <c r="F94" s="514"/>
      <c r="G94" s="514"/>
      <c r="H94" s="514"/>
      <c r="I94" s="514"/>
      <c r="J94" s="514"/>
      <c r="K94" s="514"/>
      <c r="L94" s="514"/>
      <c r="M94" s="514"/>
      <c r="N94" s="513"/>
      <c r="O94" s="517"/>
    </row>
    <row r="95" spans="2:15" ht="15" x14ac:dyDescent="0.25">
      <c r="B95" s="516"/>
      <c r="C95" s="512"/>
      <c r="D95" s="512"/>
      <c r="E95" s="514"/>
      <c r="F95" s="514"/>
      <c r="G95" s="514"/>
      <c r="H95" s="514"/>
      <c r="I95" s="514"/>
      <c r="J95" s="514"/>
      <c r="K95" s="514"/>
      <c r="L95" s="514"/>
      <c r="M95" s="514"/>
      <c r="N95" s="513"/>
      <c r="O95" s="517"/>
    </row>
    <row r="96" spans="2:15" ht="15" x14ac:dyDescent="0.25">
      <c r="B96" s="516"/>
      <c r="C96" s="512"/>
      <c r="D96" s="512"/>
      <c r="E96" s="514"/>
      <c r="F96" s="514"/>
      <c r="G96" s="514"/>
      <c r="H96" s="514"/>
      <c r="I96" s="514"/>
      <c r="J96" s="514"/>
      <c r="K96" s="514"/>
      <c r="L96" s="514"/>
      <c r="M96" s="514"/>
      <c r="N96" s="513"/>
      <c r="O96" s="517"/>
    </row>
    <row r="97" spans="2:15" ht="15" x14ac:dyDescent="0.25">
      <c r="B97" s="516"/>
      <c r="C97" s="512"/>
      <c r="D97" s="512"/>
      <c r="E97" s="514"/>
      <c r="F97" s="514"/>
      <c r="G97" s="514"/>
      <c r="H97" s="514"/>
      <c r="I97" s="514"/>
      <c r="J97" s="514"/>
      <c r="K97" s="514"/>
      <c r="L97" s="514"/>
      <c r="M97" s="514"/>
      <c r="N97" s="513"/>
      <c r="O97" s="517"/>
    </row>
    <row r="98" spans="2:15" ht="15" x14ac:dyDescent="0.25">
      <c r="B98" s="516"/>
      <c r="C98" s="512"/>
      <c r="D98" s="512"/>
      <c r="E98" s="514"/>
      <c r="F98" s="514"/>
      <c r="G98" s="514"/>
      <c r="H98" s="514"/>
      <c r="I98" s="514"/>
      <c r="J98" s="514"/>
      <c r="K98" s="514"/>
      <c r="L98" s="514"/>
      <c r="M98" s="514"/>
      <c r="N98" s="513"/>
      <c r="O98" s="517"/>
    </row>
    <row r="99" spans="2:15" ht="15" x14ac:dyDescent="0.25">
      <c r="B99" s="516"/>
      <c r="C99" s="512"/>
      <c r="D99" s="512"/>
      <c r="E99" s="514"/>
      <c r="F99" s="514"/>
      <c r="G99" s="514"/>
      <c r="H99" s="514"/>
      <c r="I99" s="514"/>
      <c r="J99" s="514"/>
      <c r="K99" s="514"/>
      <c r="L99" s="514"/>
      <c r="M99" s="514"/>
      <c r="N99" s="513"/>
      <c r="O99" s="517"/>
    </row>
    <row r="100" spans="2:15" ht="15" x14ac:dyDescent="0.25">
      <c r="B100" s="516"/>
      <c r="C100" s="512"/>
      <c r="D100" s="512"/>
      <c r="E100" s="514"/>
      <c r="F100" s="514"/>
      <c r="G100" s="514"/>
      <c r="H100" s="514"/>
      <c r="I100" s="514"/>
      <c r="J100" s="514"/>
      <c r="K100" s="514"/>
      <c r="L100" s="514"/>
      <c r="M100" s="514"/>
      <c r="N100" s="513"/>
      <c r="O100" s="517"/>
    </row>
    <row r="101" spans="2:15" ht="15" x14ac:dyDescent="0.25">
      <c r="B101" s="516"/>
      <c r="C101" s="512"/>
      <c r="D101" s="512"/>
      <c r="E101" s="514"/>
      <c r="F101" s="514"/>
      <c r="G101" s="514"/>
      <c r="H101" s="514"/>
      <c r="I101" s="514"/>
      <c r="J101" s="514"/>
      <c r="K101" s="514"/>
      <c r="L101" s="514"/>
      <c r="M101" s="514"/>
      <c r="N101" s="513"/>
      <c r="O101" s="517"/>
    </row>
    <row r="102" spans="2:15" ht="15" x14ac:dyDescent="0.25">
      <c r="B102" s="516"/>
      <c r="C102" s="512"/>
      <c r="D102" s="512"/>
      <c r="E102" s="514"/>
      <c r="F102" s="514"/>
      <c r="G102" s="514"/>
      <c r="H102" s="514"/>
      <c r="I102" s="514"/>
      <c r="J102" s="514"/>
      <c r="K102" s="514"/>
      <c r="L102" s="514"/>
      <c r="M102" s="514"/>
      <c r="N102" s="513"/>
      <c r="O102" s="517"/>
    </row>
    <row r="103" spans="2:15" ht="15" x14ac:dyDescent="0.25">
      <c r="B103" s="516"/>
      <c r="C103" s="512"/>
      <c r="D103" s="512"/>
      <c r="E103" s="514"/>
      <c r="F103" s="514"/>
      <c r="G103" s="514"/>
      <c r="H103" s="514"/>
      <c r="I103" s="514"/>
      <c r="J103" s="514"/>
      <c r="K103" s="514"/>
      <c r="L103" s="514"/>
      <c r="M103" s="514"/>
      <c r="N103" s="513"/>
      <c r="O103" s="517"/>
    </row>
    <row r="104" spans="2:15" ht="15" x14ac:dyDescent="0.25">
      <c r="B104" s="516"/>
      <c r="C104" s="512"/>
      <c r="D104" s="512"/>
      <c r="E104" s="514"/>
      <c r="F104" s="514"/>
      <c r="G104" s="514"/>
      <c r="H104" s="514"/>
      <c r="I104" s="514"/>
      <c r="J104" s="514"/>
      <c r="K104" s="514"/>
      <c r="L104" s="514"/>
      <c r="M104" s="514"/>
      <c r="N104" s="513"/>
      <c r="O104" s="517"/>
    </row>
    <row r="105" spans="2:15" ht="15" x14ac:dyDescent="0.25">
      <c r="B105" s="516"/>
      <c r="C105" s="512"/>
      <c r="D105" s="512"/>
      <c r="E105" s="514"/>
      <c r="F105" s="514"/>
      <c r="G105" s="514"/>
      <c r="H105" s="514"/>
      <c r="I105" s="514"/>
      <c r="J105" s="514"/>
      <c r="K105" s="514"/>
      <c r="L105" s="514"/>
      <c r="M105" s="514"/>
      <c r="N105" s="513"/>
      <c r="O105" s="517"/>
    </row>
    <row r="106" spans="2:15" ht="15" x14ac:dyDescent="0.25">
      <c r="B106" s="516"/>
      <c r="C106" s="512"/>
      <c r="D106" s="512"/>
      <c r="E106" s="514"/>
      <c r="F106" s="514"/>
      <c r="G106" s="514"/>
      <c r="H106" s="514"/>
      <c r="I106" s="514"/>
      <c r="J106" s="514"/>
      <c r="K106" s="514"/>
      <c r="L106" s="514"/>
      <c r="M106" s="514"/>
      <c r="N106" s="513"/>
      <c r="O106" s="517"/>
    </row>
    <row r="107" spans="2:15" ht="15" x14ac:dyDescent="0.25">
      <c r="B107" s="516"/>
      <c r="C107" s="512"/>
      <c r="D107" s="512"/>
      <c r="E107" s="514"/>
      <c r="F107" s="514"/>
      <c r="G107" s="514"/>
      <c r="H107" s="514"/>
      <c r="I107" s="514"/>
      <c r="J107" s="514"/>
      <c r="K107" s="514"/>
      <c r="L107" s="514"/>
      <c r="M107" s="514"/>
      <c r="N107" s="513"/>
      <c r="O107" s="517"/>
    </row>
    <row r="108" spans="2:15" ht="15" x14ac:dyDescent="0.25">
      <c r="B108" s="516"/>
      <c r="C108" s="512"/>
      <c r="D108" s="512"/>
      <c r="E108" s="514"/>
      <c r="F108" s="514"/>
      <c r="G108" s="514"/>
      <c r="H108" s="514"/>
      <c r="I108" s="514"/>
      <c r="J108" s="514"/>
      <c r="K108" s="514"/>
      <c r="L108" s="514"/>
      <c r="M108" s="514"/>
      <c r="N108" s="513"/>
      <c r="O108" s="517"/>
    </row>
    <row r="109" spans="2:15" ht="15" x14ac:dyDescent="0.25">
      <c r="B109" s="516"/>
      <c r="C109" s="512"/>
      <c r="D109" s="512"/>
      <c r="E109" s="514"/>
      <c r="F109" s="514"/>
      <c r="G109" s="514"/>
      <c r="H109" s="514"/>
      <c r="I109" s="514"/>
      <c r="J109" s="514"/>
      <c r="K109" s="514"/>
      <c r="L109" s="514"/>
      <c r="M109" s="514"/>
      <c r="N109" s="513"/>
      <c r="O109" s="517"/>
    </row>
    <row r="110" spans="2:15" ht="15" x14ac:dyDescent="0.25">
      <c r="B110" s="516"/>
      <c r="C110" s="512"/>
      <c r="D110" s="512"/>
      <c r="E110" s="514"/>
      <c r="F110" s="514"/>
      <c r="G110" s="514"/>
      <c r="H110" s="514"/>
      <c r="I110" s="514"/>
      <c r="J110" s="514"/>
      <c r="K110" s="514"/>
      <c r="L110" s="514"/>
      <c r="M110" s="514"/>
      <c r="N110" s="513"/>
      <c r="O110" s="517"/>
    </row>
  </sheetData>
  <mergeCells count="9">
    <mergeCell ref="N5:N7"/>
    <mergeCell ref="B2:N2"/>
    <mergeCell ref="D5:D7"/>
    <mergeCell ref="E5:E7"/>
    <mergeCell ref="F6:F7"/>
    <mergeCell ref="G6:G7"/>
    <mergeCell ref="H6:J6"/>
    <mergeCell ref="C5:C7"/>
    <mergeCell ref="K5:M6"/>
  </mergeCells>
  <phoneticPr fontId="13" type="noConversion"/>
  <pageMargins left="0.75000000000000011" right="0.75000000000000011" top="1" bottom="1" header="0.5" footer="0.5"/>
  <pageSetup paperSize="9" scale="63" orientation="landscape" horizontalDpi="4294967292" verticalDpi="4294967292"/>
  <extLst>
    <ext xmlns:mx="http://schemas.microsoft.com/office/mac/excel/2008/main" uri="{64002731-A6B0-56B0-2670-7721B7C09600}">
      <mx:PLV Mode="0" OnePage="0" WScale="100"/>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2:T39"/>
  <sheetViews>
    <sheetView zoomScale="70" zoomScaleNormal="70" zoomScalePageLayoutView="70" workbookViewId="0">
      <pane xSplit="1" ySplit="5" topLeftCell="B6" activePane="bottomRight" state="frozen"/>
      <selection activeCell="D21" sqref="D21"/>
      <selection pane="topRight" activeCell="D21" sqref="D21"/>
      <selection pane="bottomLeft" activeCell="D21" sqref="D21"/>
      <selection pane="bottomRight" activeCell="R38" sqref="R6:T38"/>
    </sheetView>
  </sheetViews>
  <sheetFormatPr baseColWidth="10" defaultColWidth="10.7265625" defaultRowHeight="15" x14ac:dyDescent="0.25"/>
  <cols>
    <col min="1" max="16384" width="10.7265625" style="273"/>
  </cols>
  <sheetData>
    <row r="2" spans="1:17" ht="39" customHeight="1" x14ac:dyDescent="0.5">
      <c r="A2" s="728" t="s">
        <v>858</v>
      </c>
      <c r="B2" s="728"/>
      <c r="C2" s="728"/>
      <c r="D2" s="728"/>
      <c r="E2" s="728"/>
      <c r="F2" s="728"/>
      <c r="G2" s="728"/>
      <c r="H2" s="728"/>
      <c r="I2" s="728"/>
      <c r="J2" s="728"/>
      <c r="K2" s="728"/>
      <c r="L2" s="728"/>
      <c r="M2" s="728"/>
      <c r="N2" s="728"/>
      <c r="O2" s="728"/>
    </row>
    <row r="3" spans="1:17" ht="15.6" thickBot="1" x14ac:dyDescent="0.3">
      <c r="A3" s="274"/>
      <c r="B3" s="274"/>
      <c r="C3" s="274"/>
      <c r="D3" s="274"/>
      <c r="E3" s="274"/>
      <c r="F3" s="274"/>
      <c r="G3" s="274"/>
      <c r="H3" s="274"/>
      <c r="I3" s="274"/>
      <c r="J3" s="274"/>
      <c r="K3" s="274"/>
      <c r="L3" s="274"/>
      <c r="M3" s="274"/>
      <c r="N3" s="274"/>
      <c r="O3" s="274"/>
    </row>
    <row r="4" spans="1:17" ht="15.6" thickTop="1" x14ac:dyDescent="0.25">
      <c r="B4" s="287" t="s">
        <v>85</v>
      </c>
      <c r="C4" s="287" t="s">
        <v>86</v>
      </c>
      <c r="D4" s="287" t="s">
        <v>87</v>
      </c>
      <c r="E4" s="287" t="s">
        <v>88</v>
      </c>
      <c r="F4" s="287" t="s">
        <v>89</v>
      </c>
      <c r="G4" s="287" t="s">
        <v>90</v>
      </c>
      <c r="H4" s="287" t="s">
        <v>91</v>
      </c>
      <c r="I4" s="287" t="s">
        <v>92</v>
      </c>
      <c r="J4" s="287" t="s">
        <v>93</v>
      </c>
      <c r="K4" s="288" t="s">
        <v>94</v>
      </c>
      <c r="L4" s="287" t="s">
        <v>95</v>
      </c>
      <c r="M4" s="287" t="s">
        <v>96</v>
      </c>
      <c r="N4" s="287" t="s">
        <v>97</v>
      </c>
      <c r="O4" s="585" t="s">
        <v>104</v>
      </c>
    </row>
    <row r="5" spans="1:17" ht="46.8" x14ac:dyDescent="0.3">
      <c r="B5" s="275" t="s">
        <v>675</v>
      </c>
      <c r="C5" s="275" t="s">
        <v>666</v>
      </c>
      <c r="D5" s="275" t="s">
        <v>667</v>
      </c>
      <c r="E5" s="275" t="s">
        <v>668</v>
      </c>
      <c r="F5" s="275" t="s">
        <v>669</v>
      </c>
      <c r="G5" s="275" t="s">
        <v>670</v>
      </c>
      <c r="H5" s="275" t="s">
        <v>671</v>
      </c>
      <c r="I5" s="275" t="s">
        <v>672</v>
      </c>
      <c r="J5" s="275" t="s">
        <v>676</v>
      </c>
      <c r="K5" s="277" t="s">
        <v>102</v>
      </c>
      <c r="L5" s="275" t="s">
        <v>673</v>
      </c>
      <c r="M5" s="276" t="s">
        <v>677</v>
      </c>
      <c r="N5" s="275" t="s">
        <v>674</v>
      </c>
      <c r="O5" s="276" t="s">
        <v>678</v>
      </c>
      <c r="Q5" s="275" t="s">
        <v>922</v>
      </c>
    </row>
    <row r="6" spans="1:17" ht="15.6" x14ac:dyDescent="0.3">
      <c r="A6" s="273">
        <v>1976</v>
      </c>
      <c r="B6" s="278">
        <v>7536</v>
      </c>
      <c r="C6" s="278">
        <v>9190</v>
      </c>
      <c r="D6" s="278">
        <v>3440</v>
      </c>
      <c r="E6" s="278">
        <v>1266</v>
      </c>
      <c r="F6" s="278">
        <v>775</v>
      </c>
      <c r="G6" s="278">
        <v>1076</v>
      </c>
      <c r="H6" s="278">
        <v>695</v>
      </c>
      <c r="I6" s="278">
        <v>0</v>
      </c>
      <c r="J6" s="278">
        <f>SUM(C6:I6)</f>
        <v>16442</v>
      </c>
      <c r="K6" s="279">
        <f>J6+B6</f>
        <v>23978</v>
      </c>
      <c r="L6" s="278">
        <v>9039</v>
      </c>
      <c r="M6" s="280">
        <v>7666</v>
      </c>
      <c r="N6" s="278">
        <v>7404</v>
      </c>
      <c r="O6" s="280">
        <f t="shared" ref="O6:O38" si="0">N6-D6</f>
        <v>3964</v>
      </c>
      <c r="Q6" s="273">
        <v>29</v>
      </c>
    </row>
    <row r="7" spans="1:17" ht="15.6" x14ac:dyDescent="0.3">
      <c r="A7" s="273">
        <v>1977</v>
      </c>
      <c r="B7" s="281">
        <v>9620</v>
      </c>
      <c r="C7" s="281">
        <v>11642</v>
      </c>
      <c r="D7" s="281">
        <v>3421</v>
      </c>
      <c r="E7" s="281">
        <v>1498</v>
      </c>
      <c r="F7" s="281">
        <v>954</v>
      </c>
      <c r="G7" s="281">
        <v>1337</v>
      </c>
      <c r="H7" s="281">
        <v>620</v>
      </c>
      <c r="I7" s="281">
        <v>0</v>
      </c>
      <c r="J7" s="281">
        <f t="shared" ref="J7:J38" si="1">SUM(C7:I7)</f>
        <v>19472</v>
      </c>
      <c r="K7" s="282">
        <f t="shared" ref="K7:K38" si="2">J7+B7</f>
        <v>29092</v>
      </c>
      <c r="L7" s="281">
        <v>11259</v>
      </c>
      <c r="M7" s="283">
        <v>8970</v>
      </c>
      <c r="N7" s="281">
        <v>8213</v>
      </c>
      <c r="O7" s="283">
        <f t="shared" si="0"/>
        <v>4792</v>
      </c>
      <c r="Q7" s="273">
        <v>35</v>
      </c>
    </row>
    <row r="8" spans="1:17" ht="15.6" x14ac:dyDescent="0.3">
      <c r="A8" s="273">
        <v>1978</v>
      </c>
      <c r="B8" s="281">
        <v>12004</v>
      </c>
      <c r="C8" s="281">
        <v>12487</v>
      </c>
      <c r="D8" s="281">
        <v>4931</v>
      </c>
      <c r="E8" s="281">
        <v>1843</v>
      </c>
      <c r="F8" s="281">
        <v>948</v>
      </c>
      <c r="G8" s="281">
        <v>1925</v>
      </c>
      <c r="H8" s="281">
        <v>817</v>
      </c>
      <c r="I8" s="281">
        <v>0</v>
      </c>
      <c r="J8" s="281">
        <f t="shared" si="1"/>
        <v>22951</v>
      </c>
      <c r="K8" s="282">
        <f t="shared" si="2"/>
        <v>34955</v>
      </c>
      <c r="L8" s="281">
        <v>12108</v>
      </c>
      <c r="M8" s="283">
        <v>10235</v>
      </c>
      <c r="N8" s="281">
        <v>10844</v>
      </c>
      <c r="O8" s="283">
        <f t="shared" si="0"/>
        <v>5913</v>
      </c>
      <c r="Q8" s="273">
        <v>47</v>
      </c>
    </row>
    <row r="9" spans="1:17" ht="15.6" x14ac:dyDescent="0.3">
      <c r="A9" s="273">
        <v>1979</v>
      </c>
      <c r="B9" s="281">
        <v>15744</v>
      </c>
      <c r="C9" s="281">
        <v>19535</v>
      </c>
      <c r="D9" s="281">
        <v>7096</v>
      </c>
      <c r="E9" s="281">
        <v>2730</v>
      </c>
      <c r="F9" s="281">
        <v>1350</v>
      </c>
      <c r="G9" s="281">
        <v>2795</v>
      </c>
      <c r="H9" s="281">
        <v>1328</v>
      </c>
      <c r="I9" s="281">
        <v>0</v>
      </c>
      <c r="J9" s="281">
        <f t="shared" si="1"/>
        <v>34834</v>
      </c>
      <c r="K9" s="282">
        <f t="shared" si="2"/>
        <v>50578</v>
      </c>
      <c r="L9" s="281">
        <v>18915</v>
      </c>
      <c r="M9" s="283">
        <v>15666</v>
      </c>
      <c r="N9" s="281">
        <v>15918</v>
      </c>
      <c r="O9" s="283">
        <f t="shared" si="0"/>
        <v>8822</v>
      </c>
      <c r="Q9" s="273">
        <v>89</v>
      </c>
    </row>
    <row r="10" spans="1:17" ht="15.6" x14ac:dyDescent="0.3">
      <c r="A10" s="273">
        <v>1980</v>
      </c>
      <c r="B10" s="281">
        <v>19219</v>
      </c>
      <c r="C10" s="281">
        <v>29102</v>
      </c>
      <c r="D10" s="281">
        <v>10121</v>
      </c>
      <c r="E10" s="281">
        <v>4055</v>
      </c>
      <c r="F10" s="281">
        <v>2043</v>
      </c>
      <c r="G10" s="281">
        <v>3484</v>
      </c>
      <c r="H10" s="281">
        <v>1808</v>
      </c>
      <c r="I10" s="281">
        <v>0</v>
      </c>
      <c r="J10" s="281">
        <f t="shared" si="1"/>
        <v>50613</v>
      </c>
      <c r="K10" s="282">
        <f t="shared" si="2"/>
        <v>69832</v>
      </c>
      <c r="L10" s="281">
        <v>28107</v>
      </c>
      <c r="M10" s="283">
        <v>22344</v>
      </c>
      <c r="N10" s="281">
        <v>22506</v>
      </c>
      <c r="O10" s="283">
        <f t="shared" si="0"/>
        <v>12385</v>
      </c>
      <c r="Q10" s="273">
        <v>160</v>
      </c>
    </row>
    <row r="11" spans="1:17" ht="15.6" x14ac:dyDescent="0.3">
      <c r="A11" s="273">
        <v>1981</v>
      </c>
      <c r="B11" s="281">
        <v>22997</v>
      </c>
      <c r="C11" s="281">
        <v>39495</v>
      </c>
      <c r="D11" s="281">
        <v>11481</v>
      </c>
      <c r="E11" s="281">
        <v>6454</v>
      </c>
      <c r="F11" s="281">
        <v>2476</v>
      </c>
      <c r="G11" s="281">
        <v>3941</v>
      </c>
      <c r="H11" s="281">
        <v>2342</v>
      </c>
      <c r="I11" s="281">
        <v>0</v>
      </c>
      <c r="J11" s="281">
        <f t="shared" si="1"/>
        <v>66189</v>
      </c>
      <c r="K11" s="282">
        <f t="shared" si="2"/>
        <v>89186</v>
      </c>
      <c r="L11" s="281">
        <v>38335</v>
      </c>
      <c r="M11" s="283">
        <v>29529</v>
      </c>
      <c r="N11" s="281">
        <v>27854</v>
      </c>
      <c r="O11" s="283">
        <f t="shared" si="0"/>
        <v>16373</v>
      </c>
      <c r="Q11" s="273">
        <v>150</v>
      </c>
    </row>
    <row r="12" spans="1:17" ht="15.6" x14ac:dyDescent="0.3">
      <c r="A12" s="273">
        <v>1982</v>
      </c>
      <c r="B12" s="281">
        <v>23622</v>
      </c>
      <c r="C12" s="281">
        <v>34564</v>
      </c>
      <c r="D12" s="281">
        <v>15066</v>
      </c>
      <c r="E12" s="281">
        <v>5790</v>
      </c>
      <c r="F12" s="281">
        <v>2725</v>
      </c>
      <c r="G12" s="281">
        <v>3912</v>
      </c>
      <c r="H12" s="281">
        <v>2337</v>
      </c>
      <c r="I12" s="281">
        <v>0</v>
      </c>
      <c r="J12" s="281">
        <f t="shared" si="1"/>
        <v>64394</v>
      </c>
      <c r="K12" s="282">
        <f t="shared" si="2"/>
        <v>88016</v>
      </c>
      <c r="L12" s="281">
        <v>33062</v>
      </c>
      <c r="M12" s="283">
        <v>25652</v>
      </c>
      <c r="N12" s="281">
        <v>31333</v>
      </c>
      <c r="O12" s="283">
        <f t="shared" si="0"/>
        <v>16267</v>
      </c>
      <c r="Q12" s="273">
        <v>168</v>
      </c>
    </row>
    <row r="13" spans="1:17" ht="15.6" x14ac:dyDescent="0.3">
      <c r="A13" s="273">
        <v>1983</v>
      </c>
      <c r="B13" s="281">
        <v>26083</v>
      </c>
      <c r="C13" s="281">
        <v>31940</v>
      </c>
      <c r="D13" s="281">
        <v>16740</v>
      </c>
      <c r="E13" s="281">
        <v>5619</v>
      </c>
      <c r="F13" s="281">
        <v>3157</v>
      </c>
      <c r="G13" s="281">
        <v>3868</v>
      </c>
      <c r="H13" s="281">
        <v>2545</v>
      </c>
      <c r="I13" s="281">
        <v>0</v>
      </c>
      <c r="J13" s="281">
        <f t="shared" si="1"/>
        <v>63869</v>
      </c>
      <c r="K13" s="282">
        <f t="shared" si="2"/>
        <v>89952</v>
      </c>
      <c r="L13" s="281">
        <v>30183</v>
      </c>
      <c r="M13" s="283">
        <v>22525</v>
      </c>
      <c r="N13" s="281">
        <v>33685</v>
      </c>
      <c r="O13" s="283">
        <f t="shared" si="0"/>
        <v>16945</v>
      </c>
      <c r="Q13" s="273">
        <v>212</v>
      </c>
    </row>
    <row r="14" spans="1:17" ht="15.6" x14ac:dyDescent="0.3">
      <c r="A14" s="273">
        <v>1984</v>
      </c>
      <c r="B14" s="281">
        <v>31287</v>
      </c>
      <c r="C14" s="281">
        <v>30573</v>
      </c>
      <c r="D14" s="281">
        <v>20519</v>
      </c>
      <c r="E14" s="281">
        <v>6290</v>
      </c>
      <c r="F14" s="281">
        <v>4408</v>
      </c>
      <c r="G14" s="281">
        <v>3156</v>
      </c>
      <c r="H14" s="281">
        <v>3221</v>
      </c>
      <c r="I14" s="281">
        <v>27</v>
      </c>
      <c r="J14" s="281">
        <f t="shared" si="1"/>
        <v>68194</v>
      </c>
      <c r="K14" s="282">
        <f t="shared" si="2"/>
        <v>99481</v>
      </c>
      <c r="L14" s="281">
        <v>34132</v>
      </c>
      <c r="M14" s="283">
        <v>24513</v>
      </c>
      <c r="N14" s="281">
        <v>34061</v>
      </c>
      <c r="O14" s="283">
        <f t="shared" si="0"/>
        <v>13542</v>
      </c>
      <c r="Q14" s="273">
        <v>248</v>
      </c>
    </row>
    <row r="15" spans="1:17" ht="15.6" x14ac:dyDescent="0.3">
      <c r="A15" s="273">
        <v>1985</v>
      </c>
      <c r="B15" s="281">
        <v>36054</v>
      </c>
      <c r="C15" s="281">
        <v>34110</v>
      </c>
      <c r="D15" s="281">
        <v>22954</v>
      </c>
      <c r="E15" s="281">
        <v>6773</v>
      </c>
      <c r="F15" s="281">
        <v>5396</v>
      </c>
      <c r="G15" s="281">
        <v>3437</v>
      </c>
      <c r="H15" s="281">
        <v>3527</v>
      </c>
      <c r="I15" s="281">
        <v>23</v>
      </c>
      <c r="J15" s="281">
        <f t="shared" si="1"/>
        <v>76220</v>
      </c>
      <c r="K15" s="282">
        <f t="shared" si="2"/>
        <v>112274</v>
      </c>
      <c r="L15" s="281">
        <v>38048</v>
      </c>
      <c r="M15" s="283">
        <v>27244</v>
      </c>
      <c r="N15" s="281">
        <v>38173</v>
      </c>
      <c r="O15" s="283">
        <f t="shared" si="0"/>
        <v>15219</v>
      </c>
      <c r="Q15" s="273">
        <v>273</v>
      </c>
    </row>
    <row r="16" spans="1:17" ht="15.6" x14ac:dyDescent="0.3">
      <c r="A16" s="273">
        <v>1986</v>
      </c>
      <c r="B16" s="281">
        <v>41891</v>
      </c>
      <c r="C16" s="281">
        <v>37954</v>
      </c>
      <c r="D16" s="281">
        <v>22495</v>
      </c>
      <c r="E16" s="281">
        <v>7698</v>
      </c>
      <c r="F16" s="281">
        <v>6088</v>
      </c>
      <c r="G16" s="281">
        <v>3756</v>
      </c>
      <c r="H16" s="281">
        <v>4169</v>
      </c>
      <c r="I16" s="281">
        <v>27</v>
      </c>
      <c r="J16" s="281">
        <f t="shared" si="1"/>
        <v>82187</v>
      </c>
      <c r="K16" s="282">
        <f t="shared" si="2"/>
        <v>124078</v>
      </c>
      <c r="L16" s="281">
        <v>42638</v>
      </c>
      <c r="M16" s="283">
        <v>30521</v>
      </c>
      <c r="N16" s="281">
        <v>39549</v>
      </c>
      <c r="O16" s="283">
        <f t="shared" si="0"/>
        <v>17054</v>
      </c>
      <c r="Q16" s="273">
        <v>327</v>
      </c>
    </row>
    <row r="17" spans="1:20" ht="15.6" x14ac:dyDescent="0.3">
      <c r="A17" s="273">
        <v>1987</v>
      </c>
      <c r="B17" s="281">
        <v>54532</v>
      </c>
      <c r="C17" s="281">
        <v>49199</v>
      </c>
      <c r="D17" s="281">
        <v>26023</v>
      </c>
      <c r="E17" s="281">
        <v>9840</v>
      </c>
      <c r="F17" s="281">
        <v>7323</v>
      </c>
      <c r="G17" s="281">
        <v>4647</v>
      </c>
      <c r="H17" s="281">
        <v>5709</v>
      </c>
      <c r="I17" s="281">
        <v>31</v>
      </c>
      <c r="J17" s="281">
        <f t="shared" si="1"/>
        <v>102772</v>
      </c>
      <c r="K17" s="282">
        <f t="shared" si="2"/>
        <v>157304</v>
      </c>
      <c r="L17" s="281">
        <v>55549</v>
      </c>
      <c r="M17" s="283">
        <v>38484</v>
      </c>
      <c r="N17" s="281">
        <v>47224</v>
      </c>
      <c r="O17" s="283">
        <f t="shared" si="0"/>
        <v>21201</v>
      </c>
      <c r="Q17" s="273">
        <v>415</v>
      </c>
    </row>
    <row r="18" spans="1:20" ht="15.6" x14ac:dyDescent="0.3">
      <c r="A18" s="273">
        <v>1988</v>
      </c>
      <c r="B18" s="281">
        <v>55527</v>
      </c>
      <c r="C18" s="281">
        <v>51157</v>
      </c>
      <c r="D18" s="281">
        <v>26382</v>
      </c>
      <c r="E18" s="281">
        <v>10825</v>
      </c>
      <c r="F18" s="281">
        <v>7361</v>
      </c>
      <c r="G18" s="281">
        <v>4454</v>
      </c>
      <c r="H18" s="281">
        <v>5894</v>
      </c>
      <c r="I18" s="281">
        <v>36</v>
      </c>
      <c r="J18" s="281">
        <f t="shared" si="1"/>
        <v>106109</v>
      </c>
      <c r="K18" s="282">
        <f t="shared" si="2"/>
        <v>161636</v>
      </c>
      <c r="L18" s="281">
        <v>57803</v>
      </c>
      <c r="M18" s="283">
        <v>39847</v>
      </c>
      <c r="N18" s="281">
        <v>48306</v>
      </c>
      <c r="O18" s="283">
        <f t="shared" si="0"/>
        <v>21924</v>
      </c>
      <c r="Q18" s="273">
        <v>397</v>
      </c>
    </row>
    <row r="19" spans="1:20" ht="15.6" x14ac:dyDescent="0.3">
      <c r="A19" s="273">
        <v>1989</v>
      </c>
      <c r="B19" s="281">
        <v>73037</v>
      </c>
      <c r="C19" s="281">
        <v>63877</v>
      </c>
      <c r="D19" s="281">
        <v>28649</v>
      </c>
      <c r="E19" s="281">
        <v>13791</v>
      </c>
      <c r="F19" s="281">
        <v>7942</v>
      </c>
      <c r="G19" s="281">
        <v>5462</v>
      </c>
      <c r="H19" s="281">
        <v>7257</v>
      </c>
      <c r="I19" s="281">
        <v>21</v>
      </c>
      <c r="J19" s="281">
        <f t="shared" si="1"/>
        <v>126999</v>
      </c>
      <c r="K19" s="282">
        <f t="shared" si="2"/>
        <v>200036</v>
      </c>
      <c r="L19" s="281">
        <v>71947</v>
      </c>
      <c r="M19" s="283">
        <v>52642</v>
      </c>
      <c r="N19" s="281">
        <v>55052</v>
      </c>
      <c r="O19" s="283">
        <f t="shared" si="0"/>
        <v>26403</v>
      </c>
      <c r="Q19" s="273">
        <v>469</v>
      </c>
    </row>
    <row r="20" spans="1:20" ht="15.6" x14ac:dyDescent="0.3">
      <c r="A20" s="273">
        <v>1990</v>
      </c>
      <c r="B20" s="281">
        <v>95234</v>
      </c>
      <c r="C20" s="281">
        <v>86870</v>
      </c>
      <c r="D20" s="281">
        <v>35428</v>
      </c>
      <c r="E20" s="281">
        <v>19175</v>
      </c>
      <c r="F20" s="281">
        <v>9134</v>
      </c>
      <c r="G20" s="281">
        <v>6375</v>
      </c>
      <c r="H20" s="281">
        <v>9154</v>
      </c>
      <c r="I20" s="281">
        <v>29</v>
      </c>
      <c r="J20" s="281">
        <f t="shared" si="1"/>
        <v>166165</v>
      </c>
      <c r="K20" s="282">
        <f t="shared" si="2"/>
        <v>261399</v>
      </c>
      <c r="L20" s="281">
        <v>97106</v>
      </c>
      <c r="M20" s="283">
        <v>72110</v>
      </c>
      <c r="N20" s="281">
        <v>69059</v>
      </c>
      <c r="O20" s="283">
        <f t="shared" si="0"/>
        <v>33631</v>
      </c>
      <c r="Q20" s="273">
        <v>620</v>
      </c>
    </row>
    <row r="21" spans="1:20" ht="15.6" x14ac:dyDescent="0.3">
      <c r="A21" s="273">
        <v>1991</v>
      </c>
      <c r="B21" s="281">
        <v>90378</v>
      </c>
      <c r="C21" s="281">
        <v>85304</v>
      </c>
      <c r="D21" s="281">
        <v>36051</v>
      </c>
      <c r="E21" s="281">
        <v>17818</v>
      </c>
      <c r="F21" s="281">
        <v>9463</v>
      </c>
      <c r="G21" s="281">
        <v>6353</v>
      </c>
      <c r="H21" s="281">
        <v>8733</v>
      </c>
      <c r="I21" s="281">
        <v>31</v>
      </c>
      <c r="J21" s="281">
        <f t="shared" si="1"/>
        <v>163753</v>
      </c>
      <c r="K21" s="282">
        <f t="shared" si="2"/>
        <v>254131</v>
      </c>
      <c r="L21" s="281">
        <v>94987</v>
      </c>
      <c r="M21" s="283">
        <v>71803</v>
      </c>
      <c r="N21" s="281">
        <v>68766</v>
      </c>
      <c r="O21" s="283">
        <f t="shared" si="0"/>
        <v>32715</v>
      </c>
      <c r="Q21" s="273">
        <v>630</v>
      </c>
    </row>
    <row r="22" spans="1:20" ht="15.6" x14ac:dyDescent="0.3">
      <c r="A22" s="273">
        <v>1992</v>
      </c>
      <c r="B22" s="281">
        <v>84407</v>
      </c>
      <c r="C22" s="281">
        <v>84516</v>
      </c>
      <c r="D22" s="281">
        <v>34032</v>
      </c>
      <c r="E22" s="281">
        <v>14611</v>
      </c>
      <c r="F22" s="281">
        <v>9053</v>
      </c>
      <c r="G22" s="281">
        <v>5746</v>
      </c>
      <c r="H22" s="281">
        <v>9916</v>
      </c>
      <c r="I22" s="281">
        <v>42</v>
      </c>
      <c r="J22" s="281">
        <f t="shared" si="1"/>
        <v>157916</v>
      </c>
      <c r="K22" s="282">
        <f t="shared" si="2"/>
        <v>242323</v>
      </c>
      <c r="L22" s="281">
        <v>95206</v>
      </c>
      <c r="M22" s="283">
        <v>72500</v>
      </c>
      <c r="N22" s="281">
        <v>62711</v>
      </c>
      <c r="O22" s="283">
        <f t="shared" si="0"/>
        <v>28679</v>
      </c>
      <c r="Q22" s="273">
        <v>679</v>
      </c>
      <c r="S22" s="617"/>
      <c r="T22" s="493"/>
    </row>
    <row r="23" spans="1:20" ht="15.6" x14ac:dyDescent="0.3">
      <c r="A23" s="273">
        <v>1993</v>
      </c>
      <c r="B23" s="281">
        <v>78767</v>
      </c>
      <c r="C23" s="281">
        <v>75297</v>
      </c>
      <c r="D23" s="281">
        <v>32620</v>
      </c>
      <c r="E23" s="281">
        <v>11881</v>
      </c>
      <c r="F23" s="281">
        <v>8466</v>
      </c>
      <c r="G23" s="281">
        <v>5620</v>
      </c>
      <c r="H23" s="281">
        <v>7443</v>
      </c>
      <c r="I23" s="281">
        <v>30</v>
      </c>
      <c r="J23" s="281">
        <f t="shared" si="1"/>
        <v>141357</v>
      </c>
      <c r="K23" s="282">
        <f t="shared" si="2"/>
        <v>220124</v>
      </c>
      <c r="L23" s="281">
        <v>83362</v>
      </c>
      <c r="M23" s="283">
        <v>64204</v>
      </c>
      <c r="N23" s="281">
        <v>57996</v>
      </c>
      <c r="O23" s="283">
        <f t="shared" si="0"/>
        <v>25376</v>
      </c>
      <c r="Q23" s="273">
        <v>611</v>
      </c>
      <c r="S23" s="617"/>
      <c r="T23" s="493"/>
    </row>
    <row r="24" spans="1:20" ht="15.6" x14ac:dyDescent="0.3">
      <c r="A24" s="273">
        <v>1994</v>
      </c>
      <c r="B24" s="281">
        <v>92095</v>
      </c>
      <c r="C24" s="281">
        <v>79398</v>
      </c>
      <c r="D24" s="281">
        <v>34653</v>
      </c>
      <c r="E24" s="281">
        <v>13853</v>
      </c>
      <c r="F24" s="281">
        <v>10125</v>
      </c>
      <c r="G24" s="281">
        <v>6178</v>
      </c>
      <c r="H24" s="281">
        <v>6523</v>
      </c>
      <c r="I24" s="281">
        <v>63</v>
      </c>
      <c r="J24" s="281">
        <f t="shared" si="1"/>
        <v>150793</v>
      </c>
      <c r="K24" s="282">
        <f t="shared" si="2"/>
        <v>242888</v>
      </c>
      <c r="L24" s="281">
        <v>86556</v>
      </c>
      <c r="M24" s="283">
        <v>68837</v>
      </c>
      <c r="N24" s="281">
        <v>64237</v>
      </c>
      <c r="O24" s="283">
        <f t="shared" si="0"/>
        <v>29584</v>
      </c>
      <c r="Q24" s="273">
        <v>669</v>
      </c>
      <c r="S24" s="617"/>
      <c r="T24" s="493"/>
    </row>
    <row r="25" spans="1:20" ht="15.6" x14ac:dyDescent="0.3">
      <c r="A25" s="273">
        <v>1995</v>
      </c>
      <c r="B25" s="281">
        <v>101769</v>
      </c>
      <c r="C25" s="281">
        <v>84249</v>
      </c>
      <c r="D25" s="281">
        <v>36385</v>
      </c>
      <c r="E25" s="281">
        <v>14286</v>
      </c>
      <c r="F25" s="281">
        <v>11658</v>
      </c>
      <c r="G25" s="281">
        <v>5879</v>
      </c>
      <c r="H25" s="281">
        <v>7179</v>
      </c>
      <c r="I25" s="281">
        <v>71</v>
      </c>
      <c r="J25" s="281">
        <f t="shared" si="1"/>
        <v>159707</v>
      </c>
      <c r="K25" s="282">
        <f t="shared" si="2"/>
        <v>261476</v>
      </c>
      <c r="L25" s="281">
        <v>92089</v>
      </c>
      <c r="M25" s="283">
        <v>73412</v>
      </c>
      <c r="N25" s="281">
        <v>67617</v>
      </c>
      <c r="O25" s="283">
        <f t="shared" si="0"/>
        <v>31232</v>
      </c>
      <c r="Q25" s="273">
        <v>669</v>
      </c>
      <c r="S25" s="617"/>
      <c r="T25" s="493"/>
    </row>
    <row r="26" spans="1:20" ht="15.6" x14ac:dyDescent="0.3">
      <c r="A26" s="273">
        <v>1996</v>
      </c>
      <c r="B26" s="281">
        <v>108209</v>
      </c>
      <c r="C26" s="281">
        <v>81342</v>
      </c>
      <c r="D26" s="281">
        <v>36268</v>
      </c>
      <c r="E26" s="281">
        <v>14559</v>
      </c>
      <c r="F26" s="281">
        <v>12852</v>
      </c>
      <c r="G26" s="281">
        <v>5637</v>
      </c>
      <c r="H26" s="281">
        <v>7918</v>
      </c>
      <c r="I26" s="281">
        <v>94</v>
      </c>
      <c r="J26" s="281">
        <f t="shared" si="1"/>
        <v>158670</v>
      </c>
      <c r="K26" s="282">
        <f t="shared" si="2"/>
        <v>266879</v>
      </c>
      <c r="L26" s="281">
        <v>89536</v>
      </c>
      <c r="M26" s="283">
        <v>70040</v>
      </c>
      <c r="N26" s="281">
        <v>69134</v>
      </c>
      <c r="O26" s="283">
        <f t="shared" si="0"/>
        <v>32866</v>
      </c>
      <c r="Q26" s="273">
        <v>733</v>
      </c>
      <c r="S26" s="617"/>
      <c r="T26" s="493"/>
    </row>
    <row r="27" spans="1:20" ht="15.6" x14ac:dyDescent="0.3">
      <c r="A27" s="273">
        <v>1997</v>
      </c>
      <c r="B27" s="281">
        <v>112745</v>
      </c>
      <c r="C27" s="281">
        <v>78389</v>
      </c>
      <c r="D27" s="281">
        <v>35916</v>
      </c>
      <c r="E27" s="281">
        <v>15556</v>
      </c>
      <c r="F27" s="281">
        <v>14451</v>
      </c>
      <c r="G27" s="281">
        <v>5871</v>
      </c>
      <c r="H27" s="281">
        <v>7598</v>
      </c>
      <c r="I27" s="281">
        <v>52</v>
      </c>
      <c r="J27" s="281">
        <f t="shared" si="1"/>
        <v>157833</v>
      </c>
      <c r="K27" s="282">
        <f t="shared" si="2"/>
        <v>270578</v>
      </c>
      <c r="L27" s="281">
        <v>86561</v>
      </c>
      <c r="M27" s="283">
        <v>67540</v>
      </c>
      <c r="N27" s="281">
        <v>71273</v>
      </c>
      <c r="O27" s="283">
        <f t="shared" si="0"/>
        <v>35357</v>
      </c>
      <c r="Q27" s="273">
        <v>769</v>
      </c>
      <c r="S27" s="617"/>
      <c r="T27" s="493"/>
    </row>
    <row r="28" spans="1:20" ht="15.6" x14ac:dyDescent="0.3">
      <c r="A28" s="273">
        <v>1998</v>
      </c>
      <c r="B28" s="281">
        <v>118840</v>
      </c>
      <c r="C28" s="281">
        <v>82476</v>
      </c>
      <c r="D28" s="281">
        <v>35774</v>
      </c>
      <c r="E28" s="281">
        <v>16630</v>
      </c>
      <c r="F28" s="281">
        <v>15641</v>
      </c>
      <c r="G28" s="281">
        <v>6355</v>
      </c>
      <c r="H28" s="281">
        <v>8032</v>
      </c>
      <c r="I28" s="281">
        <v>65</v>
      </c>
      <c r="J28" s="281">
        <f t="shared" si="1"/>
        <v>164973</v>
      </c>
      <c r="K28" s="282">
        <f t="shared" si="2"/>
        <v>283813</v>
      </c>
      <c r="L28" s="281">
        <v>91533</v>
      </c>
      <c r="M28" s="283">
        <v>69691</v>
      </c>
      <c r="N28" s="281">
        <v>73440</v>
      </c>
      <c r="O28" s="283">
        <f t="shared" si="0"/>
        <v>37666</v>
      </c>
      <c r="Q28" s="273">
        <v>845</v>
      </c>
      <c r="S28" s="617"/>
      <c r="T28" s="493"/>
    </row>
    <row r="29" spans="1:20" ht="15.6" x14ac:dyDescent="0.3">
      <c r="A29" s="273">
        <v>1999</v>
      </c>
      <c r="B29" s="281">
        <v>113674</v>
      </c>
      <c r="C29" s="281">
        <v>75736</v>
      </c>
      <c r="D29" s="281">
        <v>32668</v>
      </c>
      <c r="E29" s="281">
        <v>17411</v>
      </c>
      <c r="F29" s="281">
        <v>16423</v>
      </c>
      <c r="G29" s="281">
        <v>5627</v>
      </c>
      <c r="H29" s="281">
        <v>7946</v>
      </c>
      <c r="I29" s="281">
        <v>53</v>
      </c>
      <c r="J29" s="281">
        <f t="shared" si="1"/>
        <v>155864</v>
      </c>
      <c r="K29" s="282">
        <f t="shared" si="2"/>
        <v>269538</v>
      </c>
      <c r="L29" s="281">
        <v>84617</v>
      </c>
      <c r="M29" s="283">
        <v>63688</v>
      </c>
      <c r="N29" s="281">
        <v>71247</v>
      </c>
      <c r="O29" s="283">
        <f t="shared" si="0"/>
        <v>38579</v>
      </c>
      <c r="Q29" s="273">
        <v>979</v>
      </c>
      <c r="S29" s="617"/>
      <c r="T29" s="493"/>
    </row>
    <row r="30" spans="1:20" ht="15.6" x14ac:dyDescent="0.3">
      <c r="A30" s="273">
        <v>2000</v>
      </c>
      <c r="B30" s="281">
        <v>132723</v>
      </c>
      <c r="C30" s="281">
        <v>75266</v>
      </c>
      <c r="D30" s="281">
        <v>33327</v>
      </c>
      <c r="E30" s="281">
        <v>19570</v>
      </c>
      <c r="F30" s="281">
        <v>17283</v>
      </c>
      <c r="G30" s="281">
        <v>5506</v>
      </c>
      <c r="H30" s="281">
        <v>8584</v>
      </c>
      <c r="I30" s="281">
        <v>64</v>
      </c>
      <c r="J30" s="281">
        <f t="shared" si="1"/>
        <v>159600</v>
      </c>
      <c r="K30" s="282">
        <f t="shared" si="2"/>
        <v>292323</v>
      </c>
      <c r="L30" s="281">
        <v>84536</v>
      </c>
      <c r="M30" s="283">
        <v>61901</v>
      </c>
      <c r="N30" s="281">
        <v>75064</v>
      </c>
      <c r="O30" s="283">
        <f t="shared" si="0"/>
        <v>41737</v>
      </c>
      <c r="Q30" s="273">
        <v>980</v>
      </c>
      <c r="S30" s="617"/>
      <c r="T30" s="493"/>
    </row>
    <row r="31" spans="1:20" ht="15.6" x14ac:dyDescent="0.3">
      <c r="A31" s="273">
        <v>2001</v>
      </c>
      <c r="B31" s="281">
        <v>135266</v>
      </c>
      <c r="C31" s="281">
        <v>76727</v>
      </c>
      <c r="D31" s="281">
        <v>30564</v>
      </c>
      <c r="E31" s="281">
        <v>16424</v>
      </c>
      <c r="F31" s="281">
        <v>17890</v>
      </c>
      <c r="G31" s="281">
        <v>5736</v>
      </c>
      <c r="H31" s="281">
        <v>8043</v>
      </c>
      <c r="I31" s="281">
        <v>64</v>
      </c>
      <c r="J31" s="281">
        <f t="shared" si="1"/>
        <v>155448</v>
      </c>
      <c r="K31" s="282">
        <f t="shared" si="2"/>
        <v>290714</v>
      </c>
      <c r="L31" s="281">
        <v>85578</v>
      </c>
      <c r="M31" s="283">
        <v>61466</v>
      </c>
      <c r="N31" s="281">
        <v>69870</v>
      </c>
      <c r="O31" s="283">
        <f t="shared" si="0"/>
        <v>39306</v>
      </c>
      <c r="Q31" s="273">
        <v>1019</v>
      </c>
      <c r="S31" s="617"/>
      <c r="T31" s="493"/>
    </row>
    <row r="32" spans="1:20" ht="15.6" x14ac:dyDescent="0.3">
      <c r="A32" s="273">
        <v>2002</v>
      </c>
      <c r="B32" s="281">
        <v>142367</v>
      </c>
      <c r="C32" s="281">
        <v>74435</v>
      </c>
      <c r="D32" s="281">
        <v>30721</v>
      </c>
      <c r="E32" s="281">
        <v>18107</v>
      </c>
      <c r="F32" s="281">
        <v>17533</v>
      </c>
      <c r="G32" s="281">
        <v>6276</v>
      </c>
      <c r="H32" s="281">
        <v>8007</v>
      </c>
      <c r="I32" s="281">
        <v>84</v>
      </c>
      <c r="J32" s="281">
        <f t="shared" si="1"/>
        <v>155163</v>
      </c>
      <c r="K32" s="282">
        <f t="shared" si="2"/>
        <v>297530</v>
      </c>
      <c r="L32" s="281">
        <v>83161</v>
      </c>
      <c r="M32" s="283">
        <v>59463</v>
      </c>
      <c r="N32" s="281">
        <v>72002</v>
      </c>
      <c r="O32" s="283">
        <f t="shared" si="0"/>
        <v>41281</v>
      </c>
      <c r="Q32" s="273">
        <v>909</v>
      </c>
      <c r="S32" s="617"/>
      <c r="T32" s="493"/>
    </row>
    <row r="33" spans="1:20" ht="15.6" x14ac:dyDescent="0.3">
      <c r="A33" s="273">
        <v>2003</v>
      </c>
      <c r="B33" s="281">
        <v>141122</v>
      </c>
      <c r="C33" s="281">
        <v>74793</v>
      </c>
      <c r="D33" s="281">
        <v>30697</v>
      </c>
      <c r="E33" s="281">
        <v>16406</v>
      </c>
      <c r="F33" s="281">
        <v>19742</v>
      </c>
      <c r="G33" s="281">
        <v>6398</v>
      </c>
      <c r="H33" s="281">
        <v>7903</v>
      </c>
      <c r="I33" s="281">
        <v>85</v>
      </c>
      <c r="J33" s="281">
        <f t="shared" si="1"/>
        <v>156024</v>
      </c>
      <c r="K33" s="282">
        <f t="shared" si="2"/>
        <v>297146</v>
      </c>
      <c r="L33" s="281">
        <v>83495</v>
      </c>
      <c r="M33" s="283">
        <v>60009</v>
      </c>
      <c r="N33" s="281">
        <v>72527</v>
      </c>
      <c r="O33" s="283">
        <f t="shared" si="0"/>
        <v>41830</v>
      </c>
      <c r="Q33" s="273">
        <v>905</v>
      </c>
      <c r="S33" s="617"/>
      <c r="T33" s="493"/>
    </row>
    <row r="34" spans="1:20" ht="15.6" x14ac:dyDescent="0.3">
      <c r="A34" s="273">
        <v>2004</v>
      </c>
      <c r="B34" s="281">
        <v>166646</v>
      </c>
      <c r="C34" s="281">
        <v>81664</v>
      </c>
      <c r="D34" s="281">
        <v>32591</v>
      </c>
      <c r="E34" s="281">
        <v>17074</v>
      </c>
      <c r="F34" s="281">
        <v>19048</v>
      </c>
      <c r="G34" s="281">
        <v>6676</v>
      </c>
      <c r="H34" s="281">
        <v>7997</v>
      </c>
      <c r="I34" s="281">
        <v>70</v>
      </c>
      <c r="J34" s="281">
        <f t="shared" si="1"/>
        <v>165120</v>
      </c>
      <c r="K34" s="282">
        <f t="shared" si="2"/>
        <v>331766</v>
      </c>
      <c r="L34" s="281">
        <v>90719</v>
      </c>
      <c r="M34" s="283">
        <v>64091</v>
      </c>
      <c r="N34" s="281">
        <v>74401</v>
      </c>
      <c r="O34" s="283">
        <f t="shared" si="0"/>
        <v>41810</v>
      </c>
      <c r="Q34" s="273">
        <v>1006</v>
      </c>
      <c r="S34" s="617"/>
      <c r="T34" s="493"/>
    </row>
    <row r="35" spans="1:20" ht="15.6" x14ac:dyDescent="0.3">
      <c r="A35" s="273">
        <v>2005</v>
      </c>
      <c r="B35" s="281">
        <v>207498</v>
      </c>
      <c r="C35" s="281">
        <v>51982</v>
      </c>
      <c r="D35" s="281">
        <v>38712</v>
      </c>
      <c r="E35" s="281">
        <v>19502</v>
      </c>
      <c r="F35" s="281">
        <v>20993</v>
      </c>
      <c r="G35" s="281">
        <v>7055</v>
      </c>
      <c r="H35" s="281">
        <v>8973</v>
      </c>
      <c r="I35" s="281">
        <v>75</v>
      </c>
      <c r="J35" s="281">
        <f t="shared" si="1"/>
        <v>147292</v>
      </c>
      <c r="K35" s="282">
        <f t="shared" si="2"/>
        <v>354790</v>
      </c>
      <c r="L35" s="281">
        <v>62104</v>
      </c>
      <c r="M35" s="283">
        <v>38856</v>
      </c>
      <c r="N35" s="281">
        <v>85188</v>
      </c>
      <c r="O35" s="283">
        <f t="shared" si="0"/>
        <v>46476</v>
      </c>
      <c r="Q35" s="273">
        <v>948</v>
      </c>
    </row>
    <row r="36" spans="1:20" ht="15.6" x14ac:dyDescent="0.3">
      <c r="A36" s="273">
        <v>2006</v>
      </c>
      <c r="B36" s="281">
        <v>267932</v>
      </c>
      <c r="C36" s="281">
        <v>64702</v>
      </c>
      <c r="D36" s="281">
        <v>44638</v>
      </c>
      <c r="E36" s="281">
        <v>22611</v>
      </c>
      <c r="F36" s="281">
        <v>26500</v>
      </c>
      <c r="G36" s="281">
        <v>7732</v>
      </c>
      <c r="H36" s="281">
        <v>13055</v>
      </c>
      <c r="I36" s="281">
        <v>116</v>
      </c>
      <c r="J36" s="281">
        <f t="shared" si="1"/>
        <v>179354</v>
      </c>
      <c r="K36" s="282">
        <f t="shared" si="2"/>
        <v>447286</v>
      </c>
      <c r="L36" s="281">
        <v>77789</v>
      </c>
      <c r="M36" s="283">
        <v>49149</v>
      </c>
      <c r="N36" s="281">
        <v>101565</v>
      </c>
      <c r="O36" s="283">
        <f t="shared" si="0"/>
        <v>56927</v>
      </c>
      <c r="Q36" s="273">
        <v>1189</v>
      </c>
    </row>
    <row r="37" spans="1:20" ht="15.6" x14ac:dyDescent="0.3">
      <c r="A37" s="273">
        <v>2007</v>
      </c>
      <c r="B37" s="281">
        <v>356950</v>
      </c>
      <c r="C37" s="281">
        <v>84119</v>
      </c>
      <c r="D37" s="281">
        <v>49419</v>
      </c>
      <c r="E37" s="281">
        <v>26704</v>
      </c>
      <c r="F37" s="281">
        <v>29214</v>
      </c>
      <c r="G37" s="281">
        <v>9345</v>
      </c>
      <c r="H37" s="281">
        <v>13990</v>
      </c>
      <c r="I37" s="281">
        <v>169</v>
      </c>
      <c r="J37" s="281">
        <f t="shared" si="1"/>
        <v>212960</v>
      </c>
      <c r="K37" s="282">
        <f t="shared" si="2"/>
        <v>569910</v>
      </c>
      <c r="L37" s="281">
        <v>98719</v>
      </c>
      <c r="M37" s="283">
        <v>66376</v>
      </c>
      <c r="N37" s="281">
        <v>114241</v>
      </c>
      <c r="O37" s="283">
        <f t="shared" si="0"/>
        <v>64822</v>
      </c>
      <c r="Q37" s="273">
        <v>1462</v>
      </c>
    </row>
    <row r="38" spans="1:20" ht="16.2" thickBot="1" x14ac:dyDescent="0.35">
      <c r="A38" s="274">
        <v>2008</v>
      </c>
      <c r="B38" s="284">
        <v>293305</v>
      </c>
      <c r="C38" s="284">
        <v>74898</v>
      </c>
      <c r="D38" s="284">
        <v>37434</v>
      </c>
      <c r="E38" s="284">
        <v>21732</v>
      </c>
      <c r="F38" s="284">
        <v>29824</v>
      </c>
      <c r="G38" s="284">
        <v>8338</v>
      </c>
      <c r="H38" s="284">
        <v>11949</v>
      </c>
      <c r="I38" s="284">
        <v>203</v>
      </c>
      <c r="J38" s="284">
        <f t="shared" si="1"/>
        <v>184378</v>
      </c>
      <c r="K38" s="285">
        <f t="shared" si="2"/>
        <v>477683</v>
      </c>
      <c r="L38" s="284">
        <v>87146</v>
      </c>
      <c r="M38" s="286">
        <v>61707</v>
      </c>
      <c r="N38" s="284">
        <v>97231</v>
      </c>
      <c r="O38" s="286">
        <f t="shared" si="0"/>
        <v>59797</v>
      </c>
      <c r="Q38" s="273">
        <v>1545</v>
      </c>
    </row>
    <row r="39" spans="1:20" ht="15.6" thickTop="1" x14ac:dyDescent="0.25"/>
  </sheetData>
  <mergeCells count="1">
    <mergeCell ref="A2:O2"/>
  </mergeCells>
  <phoneticPr fontId="13" type="noConversion"/>
  <pageMargins left="0.75000000000000011" right="0.75000000000000011" top="1" bottom="1" header="0.5" footer="0.5"/>
  <pageSetup paperSize="9" scale="64" orientation="landscape" horizontalDpi="4294967292" verticalDpi="4294967292"/>
  <extLst>
    <ext xmlns:mx="http://schemas.microsoft.com/office/mac/excel/2008/main" uri="{64002731-A6B0-56B0-2670-7721B7C09600}">
      <mx:PLV Mode="0" OnePage="0" WScale="100"/>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2:O39"/>
  <sheetViews>
    <sheetView zoomScale="70" zoomScaleNormal="70" zoomScalePageLayoutView="70" workbookViewId="0">
      <pane xSplit="1" ySplit="5" topLeftCell="B6" activePane="bottomRight" state="frozen"/>
      <selection activeCell="D21" sqref="D21"/>
      <selection pane="topRight" activeCell="D21" sqref="D21"/>
      <selection pane="bottomLeft" activeCell="D21" sqref="D21"/>
      <selection pane="bottomRight" activeCell="Q6" sqref="Q6"/>
    </sheetView>
  </sheetViews>
  <sheetFormatPr baseColWidth="10" defaultColWidth="10.7265625" defaultRowHeight="15" x14ac:dyDescent="0.25"/>
  <cols>
    <col min="1" max="15" width="12" style="273" customWidth="1"/>
    <col min="16" max="16384" width="10.7265625" style="273"/>
  </cols>
  <sheetData>
    <row r="2" spans="1:15" ht="37.950000000000003" customHeight="1" x14ac:dyDescent="0.4">
      <c r="A2" s="811" t="s">
        <v>859</v>
      </c>
      <c r="B2" s="811"/>
      <c r="C2" s="811"/>
      <c r="D2" s="811"/>
      <c r="E2" s="811"/>
      <c r="F2" s="811"/>
      <c r="G2" s="811"/>
      <c r="H2" s="811"/>
      <c r="I2" s="811"/>
      <c r="J2" s="811"/>
      <c r="K2" s="811"/>
      <c r="L2" s="811"/>
      <c r="M2" s="811"/>
      <c r="N2" s="811"/>
      <c r="O2" s="811"/>
    </row>
    <row r="3" spans="1:15" ht="19.95" customHeight="1" thickBot="1" x14ac:dyDescent="0.3">
      <c r="A3" s="274"/>
      <c r="B3" s="274"/>
      <c r="C3" s="274"/>
      <c r="D3" s="274"/>
      <c r="E3" s="274"/>
      <c r="F3" s="274"/>
      <c r="G3" s="274"/>
      <c r="H3" s="274"/>
      <c r="I3" s="274"/>
      <c r="J3" s="274"/>
      <c r="K3" s="274"/>
      <c r="L3" s="274"/>
      <c r="M3" s="274"/>
      <c r="N3" s="274"/>
      <c r="O3" s="274"/>
    </row>
    <row r="4" spans="1:15" ht="15.6" thickTop="1" x14ac:dyDescent="0.25">
      <c r="B4" s="287" t="s">
        <v>85</v>
      </c>
      <c r="C4" s="287" t="s">
        <v>86</v>
      </c>
      <c r="D4" s="287" t="s">
        <v>87</v>
      </c>
      <c r="E4" s="287" t="s">
        <v>88</v>
      </c>
      <c r="F4" s="287" t="s">
        <v>89</v>
      </c>
      <c r="G4" s="287" t="s">
        <v>90</v>
      </c>
      <c r="H4" s="287" t="s">
        <v>91</v>
      </c>
      <c r="I4" s="287" t="s">
        <v>92</v>
      </c>
      <c r="J4" s="287" t="s">
        <v>93</v>
      </c>
      <c r="K4" s="289" t="s">
        <v>94</v>
      </c>
      <c r="L4" s="287" t="s">
        <v>95</v>
      </c>
      <c r="M4" s="287" t="s">
        <v>96</v>
      </c>
      <c r="N4" s="287" t="s">
        <v>97</v>
      </c>
      <c r="O4" s="287" t="s">
        <v>104</v>
      </c>
    </row>
    <row r="5" spans="1:15" ht="54" x14ac:dyDescent="0.35">
      <c r="A5" s="360"/>
      <c r="B5" s="361" t="s">
        <v>675</v>
      </c>
      <c r="C5" s="361" t="s">
        <v>666</v>
      </c>
      <c r="D5" s="361" t="s">
        <v>667</v>
      </c>
      <c r="E5" s="361" t="s">
        <v>668</v>
      </c>
      <c r="F5" s="361" t="s">
        <v>669</v>
      </c>
      <c r="G5" s="361" t="s">
        <v>670</v>
      </c>
      <c r="H5" s="361" t="s">
        <v>671</v>
      </c>
      <c r="I5" s="361" t="s">
        <v>672</v>
      </c>
      <c r="J5" s="361" t="s">
        <v>676</v>
      </c>
      <c r="K5" s="362" t="s">
        <v>102</v>
      </c>
      <c r="L5" s="361" t="s">
        <v>673</v>
      </c>
      <c r="M5" s="363" t="s">
        <v>677</v>
      </c>
      <c r="N5" s="361" t="s">
        <v>674</v>
      </c>
      <c r="O5" s="363" t="s">
        <v>678</v>
      </c>
    </row>
    <row r="6" spans="1:15" ht="19.05" customHeight="1" x14ac:dyDescent="0.35">
      <c r="A6" s="360">
        <v>1976</v>
      </c>
      <c r="B6" s="364">
        <f>'Table A24'!B6/'Table A24'!$K6</f>
        <v>0.31428809742263741</v>
      </c>
      <c r="C6" s="364">
        <f>'Table A24'!C6/'Table A24'!$K6</f>
        <v>0.38326799566269082</v>
      </c>
      <c r="D6" s="364">
        <f>'Table A24'!D6/'Table A24'!$K6</f>
        <v>0.14346484277254148</v>
      </c>
      <c r="E6" s="364">
        <f>'Table A24'!E6/'Table A24'!$K6</f>
        <v>5.2798398531987659E-2</v>
      </c>
      <c r="F6" s="364">
        <f>'Table A24'!F6/'Table A24'!$K6</f>
        <v>3.2321294519976645E-2</v>
      </c>
      <c r="G6" s="364">
        <f>'Table A24'!G6/'Table A24'!$K6</f>
        <v>4.4874468262574026E-2</v>
      </c>
      <c r="H6" s="364">
        <f>'Table A24'!H6/'Table A24'!$K6</f>
        <v>2.898490282759196E-2</v>
      </c>
      <c r="I6" s="364">
        <f>'Table A24'!I6/'Table A24'!$K6</f>
        <v>0</v>
      </c>
      <c r="J6" s="364">
        <f>'Table A24'!J6/'Table A24'!$K6</f>
        <v>0.68571190257736259</v>
      </c>
      <c r="K6" s="365">
        <f>'Table A24'!K6/'Table A24'!$K6</f>
        <v>1</v>
      </c>
      <c r="L6" s="364">
        <f>'Table A24'!L6/'Table A24'!$K6</f>
        <v>0.37697055634331472</v>
      </c>
      <c r="M6" s="366">
        <f>'Table A24'!M6/'Table A24'!$K6</f>
        <v>0.31970973392276253</v>
      </c>
      <c r="N6" s="364">
        <f>'Table A24'!N6/'Table A24'!$K6</f>
        <v>0.30878305113020271</v>
      </c>
      <c r="O6" s="367">
        <f t="shared" ref="O6:O38" si="0">N6-D6</f>
        <v>0.16531820835766123</v>
      </c>
    </row>
    <row r="7" spans="1:15" ht="19.05" customHeight="1" x14ac:dyDescent="0.35">
      <c r="A7" s="360">
        <v>1977</v>
      </c>
      <c r="B7" s="368">
        <f>'Table A24'!B7/'Table A24'!$K7</f>
        <v>0.33067509968376185</v>
      </c>
      <c r="C7" s="368">
        <f>'Table A24'!C7/'Table A24'!$K7</f>
        <v>0.40017874329712638</v>
      </c>
      <c r="D7" s="368">
        <f>'Table A24'!D7/'Table A24'!$K7</f>
        <v>0.11759246528255191</v>
      </c>
      <c r="E7" s="368">
        <f>'Table A24'!E7/'Table A24'!$K7</f>
        <v>5.1491819056785369E-2</v>
      </c>
      <c r="F7" s="368">
        <f>'Table A24'!F7/'Table A24'!$K7</f>
        <v>3.2792520280489484E-2</v>
      </c>
      <c r="G7" s="368">
        <f>'Table A24'!G7/'Table A24'!$K7</f>
        <v>4.5957651588065446E-2</v>
      </c>
      <c r="H7" s="368">
        <f>'Table A24'!H7/'Table A24'!$K7</f>
        <v>2.131170081121958E-2</v>
      </c>
      <c r="I7" s="368">
        <f>'Table A24'!I7/'Table A24'!$K7</f>
        <v>0</v>
      </c>
      <c r="J7" s="368">
        <f>'Table A24'!J7/'Table A24'!$K7</f>
        <v>0.66932490031623815</v>
      </c>
      <c r="K7" s="369">
        <f>'Table A24'!K7/'Table A24'!$K7</f>
        <v>1</v>
      </c>
      <c r="L7" s="368">
        <f>'Table A24'!L7/'Table A24'!$K7</f>
        <v>0.38701361198955037</v>
      </c>
      <c r="M7" s="370">
        <f>'Table A24'!M7/'Table A24'!$K7</f>
        <v>0.30833218754296715</v>
      </c>
      <c r="N7" s="368">
        <f>'Table A24'!N7/'Table A24'!$K7</f>
        <v>0.28231128832668773</v>
      </c>
      <c r="O7" s="371">
        <f t="shared" si="0"/>
        <v>0.16471882304413582</v>
      </c>
    </row>
    <row r="8" spans="1:15" ht="19.05" customHeight="1" x14ac:dyDescent="0.35">
      <c r="A8" s="360">
        <v>1978</v>
      </c>
      <c r="B8" s="368">
        <f>'Table A24'!B8/'Table A24'!$K8</f>
        <v>0.34341295951938205</v>
      </c>
      <c r="C8" s="368">
        <f>'Table A24'!C8/'Table A24'!$K8</f>
        <v>0.35723072521813759</v>
      </c>
      <c r="D8" s="368">
        <f>'Table A24'!D8/'Table A24'!$K8</f>
        <v>0.14106708625375483</v>
      </c>
      <c r="E8" s="368">
        <f>'Table A24'!E8/'Table A24'!$K8</f>
        <v>5.2724932055499926E-2</v>
      </c>
      <c r="F8" s="368">
        <f>'Table A24'!F8/'Table A24'!$K8</f>
        <v>2.7120583607495353E-2</v>
      </c>
      <c r="G8" s="368">
        <f>'Table A24'!G8/'Table A24'!$K8</f>
        <v>5.507080532112716E-2</v>
      </c>
      <c r="H8" s="368">
        <f>'Table A24'!H8/'Table A24'!$K8</f>
        <v>2.337290802460306E-2</v>
      </c>
      <c r="I8" s="368">
        <f>'Table A24'!I8/'Table A24'!$K8</f>
        <v>0</v>
      </c>
      <c r="J8" s="368">
        <f>'Table A24'!J8/'Table A24'!$K8</f>
        <v>0.65658704048061789</v>
      </c>
      <c r="K8" s="369">
        <f>'Table A24'!K8/'Table A24'!$K8</f>
        <v>1</v>
      </c>
      <c r="L8" s="368">
        <f>'Table A24'!L8/'Table A24'!$K8</f>
        <v>0.34638821341725073</v>
      </c>
      <c r="M8" s="370">
        <f>'Table A24'!M8/'Table A24'!$K8</f>
        <v>0.29280503504505795</v>
      </c>
      <c r="N8" s="368">
        <f>'Table A24'!N8/'Table A24'!$K8</f>
        <v>0.3102274352739236</v>
      </c>
      <c r="O8" s="371">
        <f t="shared" si="0"/>
        <v>0.16916034902016877</v>
      </c>
    </row>
    <row r="9" spans="1:15" ht="19.05" customHeight="1" x14ac:dyDescent="0.35">
      <c r="A9" s="360">
        <v>1979</v>
      </c>
      <c r="B9" s="368">
        <f>'Table A24'!B9/'Table A24'!$K9</f>
        <v>0.31128158487880109</v>
      </c>
      <c r="C9" s="368">
        <f>'Table A24'!C9/'Table A24'!$K9</f>
        <v>0.38623512198979792</v>
      </c>
      <c r="D9" s="368">
        <f>'Table A24'!D9/'Table A24'!$K9</f>
        <v>0.14029815334730517</v>
      </c>
      <c r="E9" s="368">
        <f>'Table A24'!E9/'Table A24'!$K9</f>
        <v>5.3976037012139669E-2</v>
      </c>
      <c r="F9" s="368">
        <f>'Table A24'!F9/'Table A24'!$K9</f>
        <v>2.6691446874135001E-2</v>
      </c>
      <c r="G9" s="368">
        <f>'Table A24'!G9/'Table A24'!$K9</f>
        <v>5.5261180750523942E-2</v>
      </c>
      <c r="H9" s="368">
        <f>'Table A24'!H9/'Table A24'!$K9</f>
        <v>2.6256475147297245E-2</v>
      </c>
      <c r="I9" s="368">
        <f>'Table A24'!I9/'Table A24'!$K9</f>
        <v>0</v>
      </c>
      <c r="J9" s="368">
        <f>'Table A24'!J9/'Table A24'!$K9</f>
        <v>0.68871841512119891</v>
      </c>
      <c r="K9" s="369">
        <f>'Table A24'!K9/'Table A24'!$K9</f>
        <v>1</v>
      </c>
      <c r="L9" s="368">
        <f>'Table A24'!L9/'Table A24'!$K9</f>
        <v>0.37397682786982483</v>
      </c>
      <c r="M9" s="370">
        <f>'Table A24'!M9/'Table A24'!$K9</f>
        <v>0.30973941239273994</v>
      </c>
      <c r="N9" s="368">
        <f>'Table A24'!N9/'Table A24'!$K9</f>
        <v>0.31472181580924513</v>
      </c>
      <c r="O9" s="371">
        <f t="shared" si="0"/>
        <v>0.17442366246193997</v>
      </c>
    </row>
    <row r="10" spans="1:15" ht="19.05" customHeight="1" x14ac:dyDescent="0.35">
      <c r="A10" s="360">
        <v>1980</v>
      </c>
      <c r="B10" s="368">
        <f>'Table A24'!B10/'Table A24'!$K10</f>
        <v>0.27521766525375185</v>
      </c>
      <c r="C10" s="368">
        <f>'Table A24'!C10/'Table A24'!$K10</f>
        <v>0.41674304043991295</v>
      </c>
      <c r="D10" s="368">
        <f>'Table A24'!D10/'Table A24'!$K10</f>
        <v>0.14493355481727574</v>
      </c>
      <c r="E10" s="368">
        <f>'Table A24'!E10/'Table A24'!$K10</f>
        <v>5.8067934471302554E-2</v>
      </c>
      <c r="F10" s="368">
        <f>'Table A24'!F10/'Table A24'!$K10</f>
        <v>2.9255928514148242E-2</v>
      </c>
      <c r="G10" s="368">
        <f>'Table A24'!G10/'Table A24'!$K10</f>
        <v>4.9891167373124067E-2</v>
      </c>
      <c r="H10" s="368">
        <f>'Table A24'!H10/'Table A24'!$K10</f>
        <v>2.5890709130484593E-2</v>
      </c>
      <c r="I10" s="368">
        <f>'Table A24'!I10/'Table A24'!$K10</f>
        <v>0</v>
      </c>
      <c r="J10" s="368">
        <f>'Table A24'!J10/'Table A24'!$K10</f>
        <v>0.72478233474624809</v>
      </c>
      <c r="K10" s="369">
        <f>'Table A24'!K10/'Table A24'!$K10</f>
        <v>1</v>
      </c>
      <c r="L10" s="368">
        <f>'Table A24'!L10/'Table A24'!$K10</f>
        <v>0.40249455836865622</v>
      </c>
      <c r="M10" s="370">
        <f>'Table A24'!M10/'Table A24'!$K10</f>
        <v>0.31996792301523658</v>
      </c>
      <c r="N10" s="368">
        <f>'Table A24'!N10/'Table A24'!$K10</f>
        <v>0.32228777637759193</v>
      </c>
      <c r="O10" s="371">
        <f t="shared" si="0"/>
        <v>0.17735422156031619</v>
      </c>
    </row>
    <row r="11" spans="1:15" ht="19.05" customHeight="1" x14ac:dyDescent="0.35">
      <c r="A11" s="360">
        <v>1981</v>
      </c>
      <c r="B11" s="368">
        <f>'Table A24'!B11/'Table A24'!$K11</f>
        <v>0.25785437176238424</v>
      </c>
      <c r="C11" s="368">
        <f>'Table A24'!C11/'Table A24'!$K11</f>
        <v>0.44283856210616018</v>
      </c>
      <c r="D11" s="368">
        <f>'Table A24'!D11/'Table A24'!$K11</f>
        <v>0.12873096674365933</v>
      </c>
      <c r="E11" s="368">
        <f>'Table A24'!E11/'Table A24'!$K11</f>
        <v>7.2365617922095393E-2</v>
      </c>
      <c r="F11" s="368">
        <f>'Table A24'!F11/'Table A24'!$K11</f>
        <v>2.7762204830354541E-2</v>
      </c>
      <c r="G11" s="368">
        <f>'Table A24'!G11/'Table A24'!$K11</f>
        <v>4.4188549772385802E-2</v>
      </c>
      <c r="H11" s="368">
        <f>'Table A24'!H11/'Table A24'!$K11</f>
        <v>2.6259726862960554E-2</v>
      </c>
      <c r="I11" s="368">
        <f>'Table A24'!I11/'Table A24'!$K11</f>
        <v>0</v>
      </c>
      <c r="J11" s="368">
        <f>'Table A24'!J11/'Table A24'!$K11</f>
        <v>0.74214562823761576</v>
      </c>
      <c r="K11" s="369">
        <f>'Table A24'!K11/'Table A24'!$K11</f>
        <v>1</v>
      </c>
      <c r="L11" s="368">
        <f>'Table A24'!L11/'Table A24'!$K11</f>
        <v>0.42983203641827195</v>
      </c>
      <c r="M11" s="370">
        <f>'Table A24'!M11/'Table A24'!$K11</f>
        <v>0.33109456641176865</v>
      </c>
      <c r="N11" s="368">
        <f>'Table A24'!N11/'Table A24'!$K11</f>
        <v>0.31231359181934382</v>
      </c>
      <c r="O11" s="371">
        <f t="shared" si="0"/>
        <v>0.18358262507568449</v>
      </c>
    </row>
    <row r="12" spans="1:15" ht="19.05" customHeight="1" x14ac:dyDescent="0.35">
      <c r="A12" s="360">
        <v>1982</v>
      </c>
      <c r="B12" s="368">
        <f>'Table A24'!B12/'Table A24'!$K12</f>
        <v>0.26838302126886021</v>
      </c>
      <c r="C12" s="368">
        <f>'Table A24'!C12/'Table A24'!$K12</f>
        <v>0.39270132703144883</v>
      </c>
      <c r="D12" s="368">
        <f>'Table A24'!D12/'Table A24'!$K12</f>
        <v>0.17117342301399746</v>
      </c>
      <c r="E12" s="368">
        <f>'Table A24'!E12/'Table A24'!$K12</f>
        <v>6.5783493910198151E-2</v>
      </c>
      <c r="F12" s="368">
        <f>'Table A24'!F12/'Table A24'!$K12</f>
        <v>3.0960279949100163E-2</v>
      </c>
      <c r="G12" s="368">
        <f>'Table A24'!G12/'Table A24'!$K12</f>
        <v>4.4446464279221963E-2</v>
      </c>
      <c r="H12" s="368">
        <f>'Table A24'!H12/'Table A24'!$K12</f>
        <v>2.6551990547173242E-2</v>
      </c>
      <c r="I12" s="368">
        <f>'Table A24'!I12/'Table A24'!$K12</f>
        <v>0</v>
      </c>
      <c r="J12" s="368">
        <f>'Table A24'!J12/'Table A24'!$K12</f>
        <v>0.73161697873113984</v>
      </c>
      <c r="K12" s="369">
        <f>'Table A24'!K12/'Table A24'!$K12</f>
        <v>1</v>
      </c>
      <c r="L12" s="368">
        <f>'Table A24'!L12/'Table A24'!$K12</f>
        <v>0.37563624795491729</v>
      </c>
      <c r="M12" s="370">
        <f>'Table A24'!M12/'Table A24'!$K12</f>
        <v>0.2914470096346119</v>
      </c>
      <c r="N12" s="368">
        <f>'Table A24'!N12/'Table A24'!$K12</f>
        <v>0.35599209234684603</v>
      </c>
      <c r="O12" s="371">
        <f t="shared" si="0"/>
        <v>0.18481866933284857</v>
      </c>
    </row>
    <row r="13" spans="1:15" ht="19.05" customHeight="1" x14ac:dyDescent="0.35">
      <c r="A13" s="360">
        <v>1983</v>
      </c>
      <c r="B13" s="368">
        <f>'Table A24'!B13/'Table A24'!$K13</f>
        <v>0.28996575951618642</v>
      </c>
      <c r="C13" s="368">
        <f>'Table A24'!C13/'Table A24'!$K13</f>
        <v>0.35507826396300252</v>
      </c>
      <c r="D13" s="368">
        <f>'Table A24'!D13/'Table A24'!$K13</f>
        <v>0.18609925293489862</v>
      </c>
      <c r="E13" s="368">
        <f>'Table A24'!E13/'Table A24'!$K13</f>
        <v>6.2466648879402349E-2</v>
      </c>
      <c r="F13" s="368">
        <f>'Table A24'!F13/'Table A24'!$K13</f>
        <v>3.5096495908929208E-2</v>
      </c>
      <c r="G13" s="368">
        <f>'Table A24'!G13/'Table A24'!$K13</f>
        <v>4.3000711490572753E-2</v>
      </c>
      <c r="H13" s="368">
        <f>'Table A24'!H13/'Table A24'!$K13</f>
        <v>2.8292867307008182E-2</v>
      </c>
      <c r="I13" s="368">
        <f>'Table A24'!I13/'Table A24'!$K13</f>
        <v>0</v>
      </c>
      <c r="J13" s="368">
        <f>'Table A24'!J13/'Table A24'!$K13</f>
        <v>0.71003424048381358</v>
      </c>
      <c r="K13" s="369">
        <f>'Table A24'!K13/'Table A24'!$K13</f>
        <v>1</v>
      </c>
      <c r="L13" s="368">
        <f>'Table A24'!L13/'Table A24'!$K13</f>
        <v>0.33554562433297758</v>
      </c>
      <c r="M13" s="370">
        <f>'Table A24'!M13/'Table A24'!$K13</f>
        <v>0.25041133048737102</v>
      </c>
      <c r="N13" s="368">
        <f>'Table A24'!N13/'Table A24'!$K13</f>
        <v>0.37447749911063677</v>
      </c>
      <c r="O13" s="371">
        <f t="shared" si="0"/>
        <v>0.18837824617573815</v>
      </c>
    </row>
    <row r="14" spans="1:15" ht="19.05" customHeight="1" x14ac:dyDescent="0.35">
      <c r="A14" s="360">
        <v>1984</v>
      </c>
      <c r="B14" s="368">
        <f>'Table A24'!B14/'Table A24'!$K14</f>
        <v>0.31450226676450782</v>
      </c>
      <c r="C14" s="368">
        <f>'Table A24'!C14/'Table A24'!$K14</f>
        <v>0.30732501683738606</v>
      </c>
      <c r="D14" s="368">
        <f>'Table A24'!D14/'Table A24'!$K14</f>
        <v>0.20626049195323731</v>
      </c>
      <c r="E14" s="368">
        <f>'Table A24'!E14/'Table A24'!$K14</f>
        <v>6.3228154119882182E-2</v>
      </c>
      <c r="F14" s="368">
        <f>'Table A24'!F14/'Table A24'!$K14</f>
        <v>4.4309968737748916E-2</v>
      </c>
      <c r="G14" s="368">
        <f>'Table A24'!G14/'Table A24'!$K14</f>
        <v>3.1724650938370139E-2</v>
      </c>
      <c r="H14" s="368">
        <f>'Table A24'!H14/'Table A24'!$K14</f>
        <v>3.2378042038178144E-2</v>
      </c>
      <c r="I14" s="368">
        <f>'Table A24'!I14/'Table A24'!$K14</f>
        <v>2.7140861068947837E-4</v>
      </c>
      <c r="J14" s="368">
        <f>'Table A24'!J14/'Table A24'!$K14</f>
        <v>0.68549773323549223</v>
      </c>
      <c r="K14" s="369">
        <f>'Table A24'!K14/'Table A24'!$K14</f>
        <v>1</v>
      </c>
      <c r="L14" s="368">
        <f>'Table A24'!L14/'Table A24'!$K14</f>
        <v>0.34310069259456577</v>
      </c>
      <c r="M14" s="370">
        <f>'Table A24'!M14/'Table A24'!$K14</f>
        <v>0.24640886199374756</v>
      </c>
      <c r="N14" s="368">
        <f>'Table A24'!N14/'Table A24'!$K14</f>
        <v>0.34238698847016014</v>
      </c>
      <c r="O14" s="371">
        <f t="shared" si="0"/>
        <v>0.13612649651692282</v>
      </c>
    </row>
    <row r="15" spans="1:15" ht="19.05" customHeight="1" x14ac:dyDescent="0.35">
      <c r="A15" s="360">
        <v>1985</v>
      </c>
      <c r="B15" s="368">
        <f>'Table A24'!B15/'Table A24'!$K15</f>
        <v>0.32112510465468408</v>
      </c>
      <c r="C15" s="368">
        <f>'Table A24'!C15/'Table A24'!$K15</f>
        <v>0.30381032117854534</v>
      </c>
      <c r="D15" s="368">
        <f>'Table A24'!D15/'Table A24'!$K15</f>
        <v>0.20444626538646526</v>
      </c>
      <c r="E15" s="368">
        <f>'Table A24'!E15/'Table A24'!$K15</f>
        <v>6.0325631936156192E-2</v>
      </c>
      <c r="F15" s="368">
        <f>'Table A24'!F15/'Table A24'!$K15</f>
        <v>4.8060993640557922E-2</v>
      </c>
      <c r="G15" s="368">
        <f>'Table A24'!G15/'Table A24'!$K15</f>
        <v>3.0612608440066268E-2</v>
      </c>
      <c r="H15" s="368">
        <f>'Table A24'!H15/'Table A24'!$K15</f>
        <v>3.1414218786183799E-2</v>
      </c>
      <c r="I15" s="368">
        <f>'Table A24'!I15/'Table A24'!$K15</f>
        <v>2.0485597734114756E-4</v>
      </c>
      <c r="J15" s="368">
        <f>'Table A24'!J15/'Table A24'!$K15</f>
        <v>0.67887489534531598</v>
      </c>
      <c r="K15" s="369">
        <f>'Table A24'!K15/'Table A24'!$K15</f>
        <v>1</v>
      </c>
      <c r="L15" s="368">
        <f>'Table A24'!L15/'Table A24'!$K15</f>
        <v>0.33888522721199921</v>
      </c>
      <c r="M15" s="370">
        <f>'Table A24'!M15/'Table A24'!$K15</f>
        <v>0.24265635855140102</v>
      </c>
      <c r="N15" s="368">
        <f>'Table A24'!N15/'Table A24'!$K15</f>
        <v>0.33999857491494023</v>
      </c>
      <c r="O15" s="371">
        <f t="shared" si="0"/>
        <v>0.13555230952847497</v>
      </c>
    </row>
    <row r="16" spans="1:15" ht="19.05" customHeight="1" x14ac:dyDescent="0.35">
      <c r="A16" s="360">
        <v>1986</v>
      </c>
      <c r="B16" s="368">
        <f>'Table A24'!B16/'Table A24'!$K16</f>
        <v>0.33761827237705316</v>
      </c>
      <c r="C16" s="368">
        <f>'Table A24'!C16/'Table A24'!$K16</f>
        <v>0.30588823159625395</v>
      </c>
      <c r="D16" s="368">
        <f>'Table A24'!D16/'Table A24'!$K16</f>
        <v>0.18129724850497267</v>
      </c>
      <c r="E16" s="368">
        <f>'Table A24'!E16/'Table A24'!$K16</f>
        <v>6.2041618981608343E-2</v>
      </c>
      <c r="F16" s="368">
        <f>'Table A24'!F16/'Table A24'!$K16</f>
        <v>4.9065910153290669E-2</v>
      </c>
      <c r="G16" s="368">
        <f>'Table A24'!G16/'Table A24'!$K16</f>
        <v>3.0271280968423089E-2</v>
      </c>
      <c r="H16" s="368">
        <f>'Table A24'!H16/'Table A24'!$K16</f>
        <v>3.3599832363513271E-2</v>
      </c>
      <c r="I16" s="368">
        <f>'Table A24'!I16/'Table A24'!$K16</f>
        <v>2.1760505488483051E-4</v>
      </c>
      <c r="J16" s="368">
        <f>'Table A24'!J16/'Table A24'!$K16</f>
        <v>0.66238172762294689</v>
      </c>
      <c r="K16" s="369">
        <f>'Table A24'!K16/'Table A24'!$K16</f>
        <v>1</v>
      </c>
      <c r="L16" s="368">
        <f>'Table A24'!L16/'Table A24'!$K16</f>
        <v>0.34363867889553346</v>
      </c>
      <c r="M16" s="370">
        <f>'Table A24'!M16/'Table A24'!$K16</f>
        <v>0.24598236593110784</v>
      </c>
      <c r="N16" s="368">
        <f>'Table A24'!N16/'Table A24'!$K16</f>
        <v>0.31874304872741338</v>
      </c>
      <c r="O16" s="371">
        <f t="shared" si="0"/>
        <v>0.13744580022244071</v>
      </c>
    </row>
    <row r="17" spans="1:15" ht="19.05" customHeight="1" x14ac:dyDescent="0.35">
      <c r="A17" s="360">
        <v>1987</v>
      </c>
      <c r="B17" s="368">
        <f>'Table A24'!B17/'Table A24'!$K17</f>
        <v>0.34666632762040378</v>
      </c>
      <c r="C17" s="368">
        <f>'Table A24'!C17/'Table A24'!$K17</f>
        <v>0.31276382037328992</v>
      </c>
      <c r="D17" s="368">
        <f>'Table A24'!D17/'Table A24'!$K17</f>
        <v>0.1654312668463612</v>
      </c>
      <c r="E17" s="368">
        <f>'Table A24'!E17/'Table A24'!$K17</f>
        <v>6.2554035498143729E-2</v>
      </c>
      <c r="F17" s="368">
        <f>'Table A24'!F17/'Table A24'!$K17</f>
        <v>4.6553170930173422E-2</v>
      </c>
      <c r="G17" s="368">
        <f>'Table A24'!G17/'Table A24'!$K17</f>
        <v>2.9541524691044093E-2</v>
      </c>
      <c r="H17" s="368">
        <f>'Table A24'!H17/'Table A24'!$K17</f>
        <v>3.6292783400294973E-2</v>
      </c>
      <c r="I17" s="368">
        <f>'Table A24'!I17/'Table A24'!$K17</f>
        <v>1.9707064028886743E-4</v>
      </c>
      <c r="J17" s="368">
        <f>'Table A24'!J17/'Table A24'!$K17</f>
        <v>0.65333367237959616</v>
      </c>
      <c r="K17" s="369">
        <f>'Table A24'!K17/'Table A24'!$K17</f>
        <v>1</v>
      </c>
      <c r="L17" s="368">
        <f>'Table A24'!L17/'Table A24'!$K17</f>
        <v>0.35313151604536441</v>
      </c>
      <c r="M17" s="370">
        <f>'Table A24'!M17/'Table A24'!$K17</f>
        <v>0.24464730712505722</v>
      </c>
      <c r="N17" s="368">
        <f>'Table A24'!N17/'Table A24'!$K17</f>
        <v>0.3002085134516605</v>
      </c>
      <c r="O17" s="371">
        <f t="shared" si="0"/>
        <v>0.1347772466052993</v>
      </c>
    </row>
    <row r="18" spans="1:15" ht="19.05" customHeight="1" x14ac:dyDescent="0.35">
      <c r="A18" s="360">
        <v>1988</v>
      </c>
      <c r="B18" s="368">
        <f>'Table A24'!B18/'Table A24'!$K18</f>
        <v>0.34353114405206758</v>
      </c>
      <c r="C18" s="368">
        <f>'Table A24'!C18/'Table A24'!$K18</f>
        <v>0.31649508772798141</v>
      </c>
      <c r="D18" s="368">
        <f>'Table A24'!D18/'Table A24'!$K18</f>
        <v>0.16321858991808755</v>
      </c>
      <c r="E18" s="368">
        <f>'Table A24'!E18/'Table A24'!$K18</f>
        <v>6.6971466752456132E-2</v>
      </c>
      <c r="F18" s="368">
        <f>'Table A24'!F18/'Table A24'!$K18</f>
        <v>4.5540597391670171E-2</v>
      </c>
      <c r="G18" s="368">
        <f>'Table A24'!G18/'Table A24'!$K18</f>
        <v>2.7555742532604122E-2</v>
      </c>
      <c r="H18" s="368">
        <f>'Table A24'!H18/'Table A24'!$K18</f>
        <v>3.6464648964339624E-2</v>
      </c>
      <c r="I18" s="368">
        <f>'Table A24'!I18/'Table A24'!$K18</f>
        <v>2.227226607933876E-4</v>
      </c>
      <c r="J18" s="368">
        <f>'Table A24'!J18/'Table A24'!$K18</f>
        <v>0.65646885594793236</v>
      </c>
      <c r="K18" s="369">
        <f>'Table A24'!K18/'Table A24'!$K18</f>
        <v>1</v>
      </c>
      <c r="L18" s="368">
        <f>'Table A24'!L18/'Table A24'!$K18</f>
        <v>0.35761216560667181</v>
      </c>
      <c r="M18" s="370">
        <f>'Table A24'!M18/'Table A24'!$K18</f>
        <v>0.24652305179539211</v>
      </c>
      <c r="N18" s="368">
        <f>'Table A24'!N18/'Table A24'!$K18</f>
        <v>0.29885669034126061</v>
      </c>
      <c r="O18" s="371">
        <f t="shared" si="0"/>
        <v>0.13563810042317306</v>
      </c>
    </row>
    <row r="19" spans="1:15" ht="19.05" customHeight="1" x14ac:dyDescent="0.35">
      <c r="A19" s="360">
        <v>1989</v>
      </c>
      <c r="B19" s="368">
        <f>'Table A24'!B19/'Table A24'!$K19</f>
        <v>0.36511927852986464</v>
      </c>
      <c r="C19" s="368">
        <f>'Table A24'!C19/'Table A24'!$K19</f>
        <v>0.3193275210462117</v>
      </c>
      <c r="D19" s="368">
        <f>'Table A24'!D19/'Table A24'!$K19</f>
        <v>0.14321922054030276</v>
      </c>
      <c r="E19" s="368">
        <f>'Table A24'!E19/'Table A24'!$K19</f>
        <v>6.8942590333739923E-2</v>
      </c>
      <c r="F19" s="368">
        <f>'Table A24'!F19/'Table A24'!$K19</f>
        <v>3.9702853486372452E-2</v>
      </c>
      <c r="G19" s="368">
        <f>'Table A24'!G19/'Table A24'!$K19</f>
        <v>2.7305085084684756E-2</v>
      </c>
      <c r="H19" s="368">
        <f>'Table A24'!H19/'Table A24'!$K19</f>
        <v>3.6278469875422423E-2</v>
      </c>
      <c r="I19" s="368">
        <f>'Table A24'!I19/'Table A24'!$K19</f>
        <v>1.0498110340138776E-4</v>
      </c>
      <c r="J19" s="368">
        <f>'Table A24'!J19/'Table A24'!$K19</f>
        <v>0.63488072147013541</v>
      </c>
      <c r="K19" s="369">
        <f>'Table A24'!K19/'Table A24'!$K19</f>
        <v>1</v>
      </c>
      <c r="L19" s="368">
        <f>'Table A24'!L19/'Table A24'!$K19</f>
        <v>0.35967025935331642</v>
      </c>
      <c r="M19" s="370">
        <f>'Table A24'!M19/'Table A24'!$K19</f>
        <v>0.26316263072646923</v>
      </c>
      <c r="N19" s="368">
        <f>'Table A24'!N19/'Table A24'!$K19</f>
        <v>0.27521046211681899</v>
      </c>
      <c r="O19" s="371">
        <f t="shared" si="0"/>
        <v>0.13199124157651623</v>
      </c>
    </row>
    <row r="20" spans="1:15" ht="19.05" customHeight="1" x14ac:dyDescent="0.35">
      <c r="A20" s="360">
        <v>1990</v>
      </c>
      <c r="B20" s="368">
        <f>'Table A24'!B20/'Table A24'!$K20</f>
        <v>0.36432427055956601</v>
      </c>
      <c r="C20" s="368">
        <f>'Table A24'!C20/'Table A24'!$K20</f>
        <v>0.33232720859681941</v>
      </c>
      <c r="D20" s="368">
        <f>'Table A24'!D20/'Table A24'!$K20</f>
        <v>0.13553227059017059</v>
      </c>
      <c r="E20" s="368">
        <f>'Table A24'!E20/'Table A24'!$K20</f>
        <v>7.3355292101346989E-2</v>
      </c>
      <c r="F20" s="368">
        <f>'Table A24'!F20/'Table A24'!$K20</f>
        <v>3.4942750354821556E-2</v>
      </c>
      <c r="G20" s="368">
        <f>'Table A24'!G20/'Table A24'!$K20</f>
        <v>2.4388004544776375E-2</v>
      </c>
      <c r="H20" s="368">
        <f>'Table A24'!H20/'Table A24'!$K20</f>
        <v>3.5019261741628699E-2</v>
      </c>
      <c r="I20" s="368">
        <f>'Table A24'!I20/'Table A24'!$K20</f>
        <v>1.1094151087035528E-4</v>
      </c>
      <c r="J20" s="368">
        <f>'Table A24'!J20/'Table A24'!$K20</f>
        <v>0.63567572944043393</v>
      </c>
      <c r="K20" s="369">
        <f>'Table A24'!K20/'Table A24'!$K20</f>
        <v>1</v>
      </c>
      <c r="L20" s="368">
        <f>'Table A24'!L20/'Table A24'!$K20</f>
        <v>0.37148573636471449</v>
      </c>
      <c r="M20" s="370">
        <f>'Table A24'!M20/'Table A24'!$K20</f>
        <v>0.27586180513314895</v>
      </c>
      <c r="N20" s="368">
        <f>'Table A24'!N20/'Table A24'!$K20</f>
        <v>0.2641899930757195</v>
      </c>
      <c r="O20" s="371">
        <f t="shared" si="0"/>
        <v>0.12865772248554891</v>
      </c>
    </row>
    <row r="21" spans="1:15" ht="19.05" customHeight="1" x14ac:dyDescent="0.35">
      <c r="A21" s="360">
        <v>1991</v>
      </c>
      <c r="B21" s="368">
        <f>'Table A24'!B21/'Table A24'!$K21</f>
        <v>0.35563547933939582</v>
      </c>
      <c r="C21" s="368">
        <f>'Table A24'!C21/'Table A24'!$K21</f>
        <v>0.33566939885334729</v>
      </c>
      <c r="D21" s="368">
        <f>'Table A24'!D21/'Table A24'!$K21</f>
        <v>0.14185990689841066</v>
      </c>
      <c r="E21" s="368">
        <f>'Table A24'!E21/'Table A24'!$K21</f>
        <v>7.011344542775183E-2</v>
      </c>
      <c r="F21" s="368">
        <f>'Table A24'!F21/'Table A24'!$K21</f>
        <v>3.7236700756696349E-2</v>
      </c>
      <c r="G21" s="368">
        <f>'Table A24'!G21/'Table A24'!$K21</f>
        <v>2.4998917880935424E-2</v>
      </c>
      <c r="H21" s="368">
        <f>'Table A24'!H21/'Table A24'!$K21</f>
        <v>3.436416651254668E-2</v>
      </c>
      <c r="I21" s="368">
        <f>'Table A24'!I21/'Table A24'!$K21</f>
        <v>1.2198433091594493E-4</v>
      </c>
      <c r="J21" s="368">
        <f>'Table A24'!J21/'Table A24'!$K21</f>
        <v>0.64436452066060412</v>
      </c>
      <c r="K21" s="369">
        <f>'Table A24'!K21/'Table A24'!$K21</f>
        <v>1</v>
      </c>
      <c r="L21" s="368">
        <f>'Table A24'!L21/'Table A24'!$K21</f>
        <v>0.3737717948617052</v>
      </c>
      <c r="M21" s="370">
        <f>'Table A24'!M21/'Table A24'!$K21</f>
        <v>0.28254325525024493</v>
      </c>
      <c r="N21" s="368">
        <f>'Table A24'!N21/'Table A24'!$K21</f>
        <v>0.27059272579889898</v>
      </c>
      <c r="O21" s="371">
        <f t="shared" si="0"/>
        <v>0.12873281890048832</v>
      </c>
    </row>
    <row r="22" spans="1:15" ht="19.05" customHeight="1" x14ac:dyDescent="0.35">
      <c r="A22" s="360">
        <v>1992</v>
      </c>
      <c r="B22" s="368">
        <f>'Table A24'!B22/'Table A24'!$K22</f>
        <v>0.34832434395414386</v>
      </c>
      <c r="C22" s="368">
        <f>'Table A24'!C22/'Table A24'!$K22</f>
        <v>0.34877415680723661</v>
      </c>
      <c r="D22" s="368">
        <f>'Table A24'!D22/'Table A24'!$K22</f>
        <v>0.14044065152709401</v>
      </c>
      <c r="E22" s="368">
        <f>'Table A24'!E22/'Table A24'!$K22</f>
        <v>6.0295555931545911E-2</v>
      </c>
      <c r="F22" s="368">
        <f>'Table A24'!F22/'Table A24'!$K22</f>
        <v>3.7359227147237363E-2</v>
      </c>
      <c r="G22" s="368">
        <f>'Table A24'!G22/'Table A24'!$K22</f>
        <v>2.371215278780801E-2</v>
      </c>
      <c r="H22" s="368">
        <f>'Table A24'!H22/'Table A24'!$K22</f>
        <v>4.0920589461173724E-2</v>
      </c>
      <c r="I22" s="368">
        <f>'Table A24'!I22/'Table A24'!$K22</f>
        <v>1.73322383760518E-4</v>
      </c>
      <c r="J22" s="368">
        <f>'Table A24'!J22/'Table A24'!$K22</f>
        <v>0.6516756560458562</v>
      </c>
      <c r="K22" s="369">
        <f>'Table A24'!K22/'Table A24'!$K22</f>
        <v>1</v>
      </c>
      <c r="L22" s="368">
        <f>'Table A24'!L22/'Table A24'!$K22</f>
        <v>0.39288883019771131</v>
      </c>
      <c r="M22" s="370">
        <f>'Table A24'!M22/'Table A24'!$K22</f>
        <v>0.29918744815803699</v>
      </c>
      <c r="N22" s="368">
        <f>'Table A24'!N22/'Table A24'!$K22</f>
        <v>0.2587909525715677</v>
      </c>
      <c r="O22" s="371">
        <f t="shared" si="0"/>
        <v>0.11835030104447369</v>
      </c>
    </row>
    <row r="23" spans="1:15" ht="19.05" customHeight="1" x14ac:dyDescent="0.35">
      <c r="A23" s="360">
        <v>1993</v>
      </c>
      <c r="B23" s="368">
        <f>'Table A24'!B23/'Table A24'!$K23</f>
        <v>0.35783013210735765</v>
      </c>
      <c r="C23" s="368">
        <f>'Table A24'!C23/'Table A24'!$K23</f>
        <v>0.34206628990932386</v>
      </c>
      <c r="D23" s="368">
        <f>'Table A24'!D23/'Table A24'!$K23</f>
        <v>0.14818920244952843</v>
      </c>
      <c r="E23" s="368">
        <f>'Table A24'!E23/'Table A24'!$K23</f>
        <v>5.3974123675746395E-2</v>
      </c>
      <c r="F23" s="368">
        <f>'Table A24'!F23/'Table A24'!$K23</f>
        <v>3.8460140647998402E-2</v>
      </c>
      <c r="G23" s="368">
        <f>'Table A24'!G23/'Table A24'!$K23</f>
        <v>2.5531064309207537E-2</v>
      </c>
      <c r="H23" s="368">
        <f>'Table A24'!H23/'Table A24'!$K23</f>
        <v>3.3812760080681799E-2</v>
      </c>
      <c r="I23" s="368">
        <f>'Table A24'!I23/'Table A24'!$K23</f>
        <v>1.3628682015591213E-4</v>
      </c>
      <c r="J23" s="368">
        <f>'Table A24'!J23/'Table A24'!$K23</f>
        <v>0.6421698678926423</v>
      </c>
      <c r="K23" s="369">
        <f>'Table A24'!K23/'Table A24'!$K23</f>
        <v>1</v>
      </c>
      <c r="L23" s="368">
        <f>'Table A24'!L23/'Table A24'!$K23</f>
        <v>0.37870473006123823</v>
      </c>
      <c r="M23" s="370">
        <f>'Table A24'!M23/'Table A24'!$K23</f>
        <v>0.29167196670967271</v>
      </c>
      <c r="N23" s="368">
        <f>'Table A24'!N23/'Table A24'!$K23</f>
        <v>0.26346968072540933</v>
      </c>
      <c r="O23" s="371">
        <f t="shared" si="0"/>
        <v>0.11528047827588089</v>
      </c>
    </row>
    <row r="24" spans="1:15" ht="19.05" customHeight="1" x14ac:dyDescent="0.35">
      <c r="A24" s="360">
        <v>1994</v>
      </c>
      <c r="B24" s="368">
        <f>'Table A24'!B24/'Table A24'!$K24</f>
        <v>0.37916652942920193</v>
      </c>
      <c r="C24" s="368">
        <f>'Table A24'!C24/'Table A24'!$K24</f>
        <v>0.32689140673890849</v>
      </c>
      <c r="D24" s="368">
        <f>'Table A24'!D24/'Table A24'!$K24</f>
        <v>0.14267069595863113</v>
      </c>
      <c r="E24" s="368">
        <f>'Table A24'!E24/'Table A24'!$K24</f>
        <v>5.7034517967128884E-2</v>
      </c>
      <c r="F24" s="368">
        <f>'Table A24'!F24/'Table A24'!$K24</f>
        <v>4.1685879911728861E-2</v>
      </c>
      <c r="G24" s="368">
        <f>'Table A24'!G24/'Table A24'!$K24</f>
        <v>2.543559171305293E-2</v>
      </c>
      <c r="H24" s="368">
        <f>'Table A24'!H24/'Table A24'!$K24</f>
        <v>2.6855999473008135E-2</v>
      </c>
      <c r="I24" s="368">
        <f>'Table A24'!I24/'Table A24'!$K24</f>
        <v>2.5937880833964625E-4</v>
      </c>
      <c r="J24" s="368">
        <f>'Table A24'!J24/'Table A24'!$K24</f>
        <v>0.62083347057079807</v>
      </c>
      <c r="K24" s="369">
        <f>'Table A24'!K24/'Table A24'!$K24</f>
        <v>1</v>
      </c>
      <c r="L24" s="368">
        <f>'Table A24'!L24/'Table A24'!$K24</f>
        <v>0.35636177991502255</v>
      </c>
      <c r="M24" s="370">
        <f>'Table A24'!M24/'Table A24'!$K24</f>
        <v>0.28341046078851156</v>
      </c>
      <c r="N24" s="368">
        <f>'Table A24'!N24/'Table A24'!$K24</f>
        <v>0.26447169065577553</v>
      </c>
      <c r="O24" s="371">
        <f t="shared" si="0"/>
        <v>0.12180099469714439</v>
      </c>
    </row>
    <row r="25" spans="1:15" ht="19.05" customHeight="1" x14ac:dyDescent="0.35">
      <c r="A25" s="360">
        <v>1995</v>
      </c>
      <c r="B25" s="368">
        <f>'Table A24'!B25/'Table A24'!$K25</f>
        <v>0.3892097171442121</v>
      </c>
      <c r="C25" s="368">
        <f>'Table A24'!C25/'Table A24'!$K25</f>
        <v>0.32220547966161328</v>
      </c>
      <c r="D25" s="368">
        <f>'Table A24'!D25/'Table A24'!$K25</f>
        <v>0.13915235050253177</v>
      </c>
      <c r="E25" s="368">
        <f>'Table A24'!E25/'Table A24'!$K25</f>
        <v>5.4635989536324557E-2</v>
      </c>
      <c r="F25" s="368">
        <f>'Table A24'!F25/'Table A24'!$K25</f>
        <v>4.4585353913934742E-2</v>
      </c>
      <c r="G25" s="368">
        <f>'Table A24'!G25/'Table A24'!$K25</f>
        <v>2.2483899095901726E-2</v>
      </c>
      <c r="H25" s="368">
        <f>'Table A24'!H25/'Table A24'!$K25</f>
        <v>2.7455674708195016E-2</v>
      </c>
      <c r="I25" s="368">
        <f>'Table A24'!I25/'Table A24'!$K25</f>
        <v>2.7153543728678734E-4</v>
      </c>
      <c r="J25" s="368">
        <f>'Table A24'!J25/'Table A24'!$K25</f>
        <v>0.61079028285578796</v>
      </c>
      <c r="K25" s="369">
        <f>'Table A24'!K25/'Table A24'!$K25</f>
        <v>1</v>
      </c>
      <c r="L25" s="368">
        <f>'Table A24'!L25/'Table A24'!$K25</f>
        <v>0.35218911104652051</v>
      </c>
      <c r="M25" s="370">
        <f>'Table A24'!M25/'Table A24'!$K25</f>
        <v>0.28075999326898071</v>
      </c>
      <c r="N25" s="368">
        <f>'Table A24'!N25/'Table A24'!$K25</f>
        <v>0.25859734736648871</v>
      </c>
      <c r="O25" s="371">
        <f t="shared" si="0"/>
        <v>0.11944499686395693</v>
      </c>
    </row>
    <row r="26" spans="1:15" ht="19.05" customHeight="1" x14ac:dyDescent="0.35">
      <c r="A26" s="360">
        <v>1996</v>
      </c>
      <c r="B26" s="368">
        <f>'Table A24'!B26/'Table A24'!$K26</f>
        <v>0.40546090175697602</v>
      </c>
      <c r="C26" s="368">
        <f>'Table A24'!C26/'Table A24'!$K26</f>
        <v>0.30478981111290138</v>
      </c>
      <c r="D26" s="368">
        <f>'Table A24'!D26/'Table A24'!$K26</f>
        <v>0.13589679217922729</v>
      </c>
      <c r="E26" s="368">
        <f>'Table A24'!E26/'Table A24'!$K26</f>
        <v>5.4552812323187663E-2</v>
      </c>
      <c r="F26" s="368">
        <f>'Table A24'!F26/'Table A24'!$K26</f>
        <v>4.8156655263246639E-2</v>
      </c>
      <c r="G26" s="368">
        <f>'Table A24'!G26/'Table A24'!$K26</f>
        <v>2.1121931661914201E-2</v>
      </c>
      <c r="H26" s="368">
        <f>'Table A24'!H26/'Table A24'!$K26</f>
        <v>2.9668876157359702E-2</v>
      </c>
      <c r="I26" s="368">
        <f>'Table A24'!I26/'Table A24'!$K26</f>
        <v>3.5221954518714475E-4</v>
      </c>
      <c r="J26" s="368">
        <f>'Table A24'!J26/'Table A24'!$K26</f>
        <v>0.59453909824302398</v>
      </c>
      <c r="K26" s="369">
        <f>'Table A24'!K26/'Table A24'!$K26</f>
        <v>1</v>
      </c>
      <c r="L26" s="368">
        <f>'Table A24'!L26/'Table A24'!$K26</f>
        <v>0.33549286380719351</v>
      </c>
      <c r="M26" s="370">
        <f>'Table A24'!M26/'Table A24'!$K26</f>
        <v>0.26244103132880442</v>
      </c>
      <c r="N26" s="368">
        <f>'Table A24'!N26/'Table A24'!$K26</f>
        <v>0.25904623443583047</v>
      </c>
      <c r="O26" s="371">
        <f t="shared" si="0"/>
        <v>0.12314944225660318</v>
      </c>
    </row>
    <row r="27" spans="1:15" ht="19.05" customHeight="1" x14ac:dyDescent="0.35">
      <c r="A27" s="360">
        <v>1997</v>
      </c>
      <c r="B27" s="368">
        <f>'Table A24'!B27/'Table A24'!$K27</f>
        <v>0.41668206579988026</v>
      </c>
      <c r="C27" s="368">
        <f>'Table A24'!C27/'Table A24'!$K27</f>
        <v>0.28970943683521944</v>
      </c>
      <c r="D27" s="368">
        <f>'Table A24'!D27/'Table A24'!$K27</f>
        <v>0.1327380644398288</v>
      </c>
      <c r="E27" s="368">
        <f>'Table A24'!E27/'Table A24'!$K27</f>
        <v>5.7491739904944231E-2</v>
      </c>
      <c r="F27" s="368">
        <f>'Table A24'!F27/'Table A24'!$K27</f>
        <v>5.3407889776700246E-2</v>
      </c>
      <c r="G27" s="368">
        <f>'Table A24'!G27/'Table A24'!$K27</f>
        <v>2.1697994663276394E-2</v>
      </c>
      <c r="H27" s="368">
        <f>'Table A24'!H27/'Table A24'!$K27</f>
        <v>2.8080627397645042E-2</v>
      </c>
      <c r="I27" s="368">
        <f>'Table A24'!I27/'Table A24'!$K27</f>
        <v>1.9218118250559913E-4</v>
      </c>
      <c r="J27" s="368">
        <f>'Table A24'!J27/'Table A24'!$K27</f>
        <v>0.58331793420011979</v>
      </c>
      <c r="K27" s="369">
        <f>'Table A24'!K27/'Table A24'!$K27</f>
        <v>1</v>
      </c>
      <c r="L27" s="368">
        <f>'Table A24'!L27/'Table A24'!$K27</f>
        <v>0.31991144882436856</v>
      </c>
      <c r="M27" s="370">
        <f>'Table A24'!M27/'Table A24'!$K27</f>
        <v>0.24961378973900317</v>
      </c>
      <c r="N27" s="368">
        <f>'Table A24'!N27/'Table A24'!$K27</f>
        <v>0.26341018116772241</v>
      </c>
      <c r="O27" s="371">
        <f t="shared" si="0"/>
        <v>0.13067211672789361</v>
      </c>
    </row>
    <row r="28" spans="1:15" ht="19.05" customHeight="1" x14ac:dyDescent="0.35">
      <c r="A28" s="360">
        <v>1998</v>
      </c>
      <c r="B28" s="368">
        <f>'Table A24'!B28/'Table A24'!$K28</f>
        <v>0.41872641492813928</v>
      </c>
      <c r="C28" s="368">
        <f>'Table A24'!C28/'Table A24'!$K28</f>
        <v>0.29059979634477634</v>
      </c>
      <c r="D28" s="368">
        <f>'Table A24'!D28/'Table A24'!$K28</f>
        <v>0.1260477849851839</v>
      </c>
      <c r="E28" s="368">
        <f>'Table A24'!E28/'Table A24'!$K28</f>
        <v>5.8594919894437533E-2</v>
      </c>
      <c r="F28" s="368">
        <f>'Table A24'!F28/'Table A24'!$K28</f>
        <v>5.5110231032405137E-2</v>
      </c>
      <c r="G28" s="368">
        <f>'Table A24'!G28/'Table A24'!$K28</f>
        <v>2.2391504265132322E-2</v>
      </c>
      <c r="H28" s="368">
        <f>'Table A24'!H28/'Table A24'!$K28</f>
        <v>2.8300324509448121E-2</v>
      </c>
      <c r="I28" s="368">
        <f>'Table A24'!I28/'Table A24'!$K28</f>
        <v>2.2902404047735658E-4</v>
      </c>
      <c r="J28" s="368">
        <f>'Table A24'!J28/'Table A24'!$K28</f>
        <v>0.58127358507186067</v>
      </c>
      <c r="K28" s="369">
        <f>'Table A24'!K28/'Table A24'!$K28</f>
        <v>1</v>
      </c>
      <c r="L28" s="368">
        <f>'Table A24'!L28/'Table A24'!$K28</f>
        <v>0.32251165380021352</v>
      </c>
      <c r="M28" s="370">
        <f>'Table A24'!M28/'Table A24'!$K28</f>
        <v>0.24555252930626856</v>
      </c>
      <c r="N28" s="368">
        <f>'Table A24'!N28/'Table A24'!$K28</f>
        <v>0.25876193127164715</v>
      </c>
      <c r="O28" s="371">
        <f t="shared" si="0"/>
        <v>0.13271414628646325</v>
      </c>
    </row>
    <row r="29" spans="1:15" ht="19.05" customHeight="1" x14ac:dyDescent="0.35">
      <c r="A29" s="360">
        <v>1999</v>
      </c>
      <c r="B29" s="368">
        <f>'Table A24'!B29/'Table A24'!$K29</f>
        <v>0.42173645274506749</v>
      </c>
      <c r="C29" s="368">
        <f>'Table A24'!C29/'Table A24'!$K29</f>
        <v>0.28098449940268161</v>
      </c>
      <c r="D29" s="368">
        <f>'Table A24'!D29/'Table A24'!$K29</f>
        <v>0.12119997922370872</v>
      </c>
      <c r="E29" s="368">
        <f>'Table A24'!E29/'Table A24'!$K29</f>
        <v>6.4595715631933157E-2</v>
      </c>
      <c r="F29" s="368">
        <f>'Table A24'!F29/'Table A24'!$K29</f>
        <v>6.0930184241183058E-2</v>
      </c>
      <c r="G29" s="368">
        <f>'Table A24'!G29/'Table A24'!$K29</f>
        <v>2.0876462688006886E-2</v>
      </c>
      <c r="H29" s="368">
        <f>'Table A24'!H29/'Table A24'!$K29</f>
        <v>2.9480073310627814E-2</v>
      </c>
      <c r="I29" s="368">
        <f>'Table A24'!I29/'Table A24'!$K29</f>
        <v>1.9663275679125022E-4</v>
      </c>
      <c r="J29" s="368">
        <f>'Table A24'!J29/'Table A24'!$K29</f>
        <v>0.57826354725493256</v>
      </c>
      <c r="K29" s="369">
        <f>'Table A24'!K29/'Table A24'!$K29</f>
        <v>1</v>
      </c>
      <c r="L29" s="368">
        <f>'Table A24'!L29/'Table A24'!$K29</f>
        <v>0.31393347134726829</v>
      </c>
      <c r="M29" s="370">
        <f>'Table A24'!M29/'Table A24'!$K29</f>
        <v>0.23628579272681402</v>
      </c>
      <c r="N29" s="368">
        <f>'Table A24'!N29/'Table A24'!$K29</f>
        <v>0.26433007590766422</v>
      </c>
      <c r="O29" s="371">
        <f t="shared" si="0"/>
        <v>0.14313009668395549</v>
      </c>
    </row>
    <row r="30" spans="1:15" ht="19.05" customHeight="1" x14ac:dyDescent="0.35">
      <c r="A30" s="360">
        <v>2000</v>
      </c>
      <c r="B30" s="368">
        <f>'Table A24'!B30/'Table A24'!$K30</f>
        <v>0.45402859166059462</v>
      </c>
      <c r="C30" s="368">
        <f>'Table A24'!C30/'Table A24'!$K30</f>
        <v>0.25747546378492286</v>
      </c>
      <c r="D30" s="368">
        <f>'Table A24'!D30/'Table A24'!$K30</f>
        <v>0.11400745066245214</v>
      </c>
      <c r="E30" s="368">
        <f>'Table A24'!E30/'Table A24'!$K30</f>
        <v>6.6946494117808036E-2</v>
      </c>
      <c r="F30" s="368">
        <f>'Table A24'!F30/'Table A24'!$K30</f>
        <v>5.9122956455701398E-2</v>
      </c>
      <c r="G30" s="368">
        <f>'Table A24'!G30/'Table A24'!$K30</f>
        <v>1.883532941301232E-2</v>
      </c>
      <c r="H30" s="368">
        <f>'Table A24'!H30/'Table A24'!$K30</f>
        <v>2.9364778002415135E-2</v>
      </c>
      <c r="I30" s="368">
        <f>'Table A24'!I30/'Table A24'!$K30</f>
        <v>2.1893590309349589E-4</v>
      </c>
      <c r="J30" s="368">
        <f>'Table A24'!J30/'Table A24'!$K30</f>
        <v>0.54597140833940538</v>
      </c>
      <c r="K30" s="369">
        <f>'Table A24'!K30/'Table A24'!$K30</f>
        <v>1</v>
      </c>
      <c r="L30" s="368">
        <f>'Table A24'!L30/'Table A24'!$K30</f>
        <v>0.2891869609986214</v>
      </c>
      <c r="M30" s="370">
        <f>'Table A24'!M30/'Table A24'!$K30</f>
        <v>0.21175548964672639</v>
      </c>
      <c r="N30" s="368">
        <f>'Table A24'!N30/'Table A24'!$K30</f>
        <v>0.25678444734078398</v>
      </c>
      <c r="O30" s="371">
        <f t="shared" si="0"/>
        <v>0.14277699667833182</v>
      </c>
    </row>
    <row r="31" spans="1:15" ht="19.05" customHeight="1" x14ac:dyDescent="0.35">
      <c r="A31" s="360">
        <v>2001</v>
      </c>
      <c r="B31" s="368">
        <f>'Table A24'!B31/'Table A24'!$K31</f>
        <v>0.46528890937484951</v>
      </c>
      <c r="C31" s="368">
        <f>'Table A24'!C31/'Table A24'!$K31</f>
        <v>0.26392605791258761</v>
      </c>
      <c r="D31" s="368">
        <f>'Table A24'!D31/'Table A24'!$K31</f>
        <v>0.10513425566020212</v>
      </c>
      <c r="E31" s="368">
        <f>'Table A24'!E31/'Table A24'!$K31</f>
        <v>5.6495387219053776E-2</v>
      </c>
      <c r="F31" s="368">
        <f>'Table A24'!F31/'Table A24'!$K31</f>
        <v>6.1538144017831961E-2</v>
      </c>
      <c r="G31" s="368">
        <f>'Table A24'!G31/'Table A24'!$K31</f>
        <v>1.9730731922095256E-2</v>
      </c>
      <c r="H31" s="368">
        <f>'Table A24'!H31/'Table A24'!$K31</f>
        <v>2.7666366256871015E-2</v>
      </c>
      <c r="I31" s="368">
        <f>'Table A24'!I31/'Table A24'!$K31</f>
        <v>2.2014763650873368E-4</v>
      </c>
      <c r="J31" s="368">
        <f>'Table A24'!J31/'Table A24'!$K31</f>
        <v>0.53471109062515054</v>
      </c>
      <c r="K31" s="369">
        <f>'Table A24'!K31/'Table A24'!$K31</f>
        <v>1</v>
      </c>
      <c r="L31" s="368">
        <f>'Table A24'!L31/'Table A24'!$K31</f>
        <v>0.29437178808038139</v>
      </c>
      <c r="M31" s="370">
        <f>'Table A24'!M31/'Table A24'!$K31</f>
        <v>0.21143116602571599</v>
      </c>
      <c r="N31" s="368">
        <f>'Table A24'!N31/'Table A24'!$K31</f>
        <v>0.2403393025447691</v>
      </c>
      <c r="O31" s="371">
        <f t="shared" si="0"/>
        <v>0.13520504688456697</v>
      </c>
    </row>
    <row r="32" spans="1:15" ht="19.05" customHeight="1" x14ac:dyDescent="0.35">
      <c r="A32" s="360">
        <v>2002</v>
      </c>
      <c r="B32" s="368">
        <f>'Table A24'!B32/'Table A24'!$K32</f>
        <v>0.4784962860887978</v>
      </c>
      <c r="C32" s="368">
        <f>'Table A24'!C32/'Table A24'!$K32</f>
        <v>0.25017645279467615</v>
      </c>
      <c r="D32" s="368">
        <f>'Table A24'!D32/'Table A24'!$K32</f>
        <v>0.10325345343326724</v>
      </c>
      <c r="E32" s="368">
        <f>'Table A24'!E32/'Table A24'!$K32</f>
        <v>6.0857728632406814E-2</v>
      </c>
      <c r="F32" s="368">
        <f>'Table A24'!F32/'Table A24'!$K32</f>
        <v>5.8928511410614053E-2</v>
      </c>
      <c r="G32" s="368">
        <f>'Table A24'!G32/'Table A24'!$K32</f>
        <v>2.1093671226430948E-2</v>
      </c>
      <c r="H32" s="368">
        <f>'Table A24'!H32/'Table A24'!$K32</f>
        <v>2.6911571942325144E-2</v>
      </c>
      <c r="I32" s="368">
        <f>'Table A24'!I32/'Table A24'!$K32</f>
        <v>2.8232447148186736E-4</v>
      </c>
      <c r="J32" s="368">
        <f>'Table A24'!J32/'Table A24'!$K32</f>
        <v>0.5215037139112022</v>
      </c>
      <c r="K32" s="369">
        <f>'Table A24'!K32/'Table A24'!$K32</f>
        <v>1</v>
      </c>
      <c r="L32" s="368">
        <f>'Table A24'!L32/'Table A24'!$K32</f>
        <v>0.27950458777266157</v>
      </c>
      <c r="M32" s="370">
        <f>'Table A24'!M32/'Table A24'!$K32</f>
        <v>0.19985547675864618</v>
      </c>
      <c r="N32" s="368">
        <f>'Table A24'!N32/'Table A24'!$K32</f>
        <v>0.24199912613854066</v>
      </c>
      <c r="O32" s="371">
        <f t="shared" si="0"/>
        <v>0.13874567270527344</v>
      </c>
    </row>
    <row r="33" spans="1:15" ht="19.05" customHeight="1" x14ac:dyDescent="0.35">
      <c r="A33" s="360">
        <v>2003</v>
      </c>
      <c r="B33" s="368">
        <f>'Table A24'!B33/'Table A24'!$K33</f>
        <v>0.47492478444939523</v>
      </c>
      <c r="C33" s="368">
        <f>'Table A24'!C33/'Table A24'!$K33</f>
        <v>0.2517045492788057</v>
      </c>
      <c r="D33" s="368">
        <f>'Table A24'!D33/'Table A24'!$K33</f>
        <v>0.1033061188775888</v>
      </c>
      <c r="E33" s="368">
        <f>'Table A24'!E33/'Table A24'!$K33</f>
        <v>5.5211916027811246E-2</v>
      </c>
      <c r="F33" s="368">
        <f>'Table A24'!F33/'Table A24'!$K33</f>
        <v>6.6438720359688508E-2</v>
      </c>
      <c r="G33" s="368">
        <f>'Table A24'!G33/'Table A24'!$K33</f>
        <v>2.1531503032179468E-2</v>
      </c>
      <c r="H33" s="368">
        <f>'Table A24'!H33/'Table A24'!$K33</f>
        <v>2.6596353307801551E-2</v>
      </c>
      <c r="I33" s="368">
        <f>'Table A24'!I33/'Table A24'!$K33</f>
        <v>2.860546667294865E-4</v>
      </c>
      <c r="J33" s="368">
        <f>'Table A24'!J33/'Table A24'!$K33</f>
        <v>0.52507521555060477</v>
      </c>
      <c r="K33" s="369">
        <f>'Table A24'!K33/'Table A24'!$K33</f>
        <v>1</v>
      </c>
      <c r="L33" s="368">
        <f>'Table A24'!L33/'Table A24'!$K33</f>
        <v>0.28098981645386445</v>
      </c>
      <c r="M33" s="370">
        <f>'Table A24'!M33/'Table A24'!$K33</f>
        <v>0.20195122936199714</v>
      </c>
      <c r="N33" s="368">
        <f>'Table A24'!N33/'Table A24'!$K33</f>
        <v>0.24407866839869963</v>
      </c>
      <c r="O33" s="371">
        <f t="shared" si="0"/>
        <v>0.14077254952111085</v>
      </c>
    </row>
    <row r="34" spans="1:15" ht="19.05" customHeight="1" x14ac:dyDescent="0.35">
      <c r="A34" s="360">
        <v>2004</v>
      </c>
      <c r="B34" s="368">
        <f>'Table A24'!B34/'Table A24'!$K34</f>
        <v>0.50229981372413091</v>
      </c>
      <c r="C34" s="368">
        <f>'Table A24'!C34/'Table A24'!$K34</f>
        <v>0.24614939445271666</v>
      </c>
      <c r="D34" s="368">
        <f>'Table A24'!D34/'Table A24'!$K34</f>
        <v>9.823490050216116E-2</v>
      </c>
      <c r="E34" s="368">
        <f>'Table A24'!E34/'Table A24'!$K34</f>
        <v>5.1463983651127601E-2</v>
      </c>
      <c r="F34" s="368">
        <f>'Table A24'!F34/'Table A24'!$K34</f>
        <v>5.7413960441998278E-2</v>
      </c>
      <c r="G34" s="368">
        <f>'Table A24'!G34/'Table A24'!$K34</f>
        <v>2.0122616542985115E-2</v>
      </c>
      <c r="H34" s="368">
        <f>'Table A24'!H34/'Table A24'!$K34</f>
        <v>2.4104338600097659E-2</v>
      </c>
      <c r="I34" s="368">
        <f>'Table A24'!I34/'Table A24'!$K34</f>
        <v>2.1099208478264801E-4</v>
      </c>
      <c r="J34" s="368">
        <f>'Table A24'!J34/'Table A24'!$K34</f>
        <v>0.49770018627586915</v>
      </c>
      <c r="K34" s="369">
        <f>'Table A24'!K34/'Table A24'!$K34</f>
        <v>1</v>
      </c>
      <c r="L34" s="368">
        <f>'Table A24'!L34/'Table A24'!$K34</f>
        <v>0.27344272770567207</v>
      </c>
      <c r="M34" s="370">
        <f>'Table A24'!M34/'Table A24'!$K34</f>
        <v>0.19318133865435277</v>
      </c>
      <c r="N34" s="368">
        <f>'Table A24'!N34/'Table A24'!$K34</f>
        <v>0.22425745857019708</v>
      </c>
      <c r="O34" s="371">
        <f t="shared" si="0"/>
        <v>0.12602255806803592</v>
      </c>
    </row>
    <row r="35" spans="1:15" ht="19.05" customHeight="1" x14ac:dyDescent="0.35">
      <c r="A35" s="360">
        <v>2005</v>
      </c>
      <c r="B35" s="368">
        <f>'Table A24'!B35/'Table A24'!$K35</f>
        <v>0.58484737450322721</v>
      </c>
      <c r="C35" s="368">
        <f>'Table A24'!C35/'Table A24'!$K35</f>
        <v>0.14651483976436766</v>
      </c>
      <c r="D35" s="368">
        <f>'Table A24'!D35/'Table A24'!$K35</f>
        <v>0.10911243270667155</v>
      </c>
      <c r="E35" s="368">
        <f>'Table A24'!E35/'Table A24'!$K35</f>
        <v>5.4967727388032357E-2</v>
      </c>
      <c r="F35" s="368">
        <f>'Table A24'!F35/'Table A24'!$K35</f>
        <v>5.9170213365652924E-2</v>
      </c>
      <c r="G35" s="368">
        <f>'Table A24'!G35/'Table A24'!$K35</f>
        <v>1.9885002395783422E-2</v>
      </c>
      <c r="H35" s="368">
        <f>'Table A24'!H35/'Table A24'!$K35</f>
        <v>2.5291017221454944E-2</v>
      </c>
      <c r="I35" s="368">
        <f>'Table A24'!I35/'Table A24'!$K35</f>
        <v>2.1139265480988754E-4</v>
      </c>
      <c r="J35" s="368">
        <f>'Table A24'!J35/'Table A24'!$K35</f>
        <v>0.41515262549677273</v>
      </c>
      <c r="K35" s="369">
        <f>'Table A24'!K35/'Table A24'!$K35</f>
        <v>1</v>
      </c>
      <c r="L35" s="368">
        <f>'Table A24'!L35/'Table A24'!$K35</f>
        <v>0.17504439245751008</v>
      </c>
      <c r="M35" s="370">
        <f>'Table A24'!M35/'Table A24'!$K35</f>
        <v>0.10951830660390653</v>
      </c>
      <c r="N35" s="368">
        <f>'Table A24'!N35/'Table A24'!$K35</f>
        <v>0.24010823303926265</v>
      </c>
      <c r="O35" s="371">
        <f t="shared" si="0"/>
        <v>0.13099580033259112</v>
      </c>
    </row>
    <row r="36" spans="1:15" ht="19.05" customHeight="1" x14ac:dyDescent="0.35">
      <c r="A36" s="360">
        <v>2006</v>
      </c>
      <c r="B36" s="368">
        <f>'Table A24'!B36/'Table A24'!$K36</f>
        <v>0.59901718363642054</v>
      </c>
      <c r="C36" s="368">
        <f>'Table A24'!C36/'Table A24'!$K36</f>
        <v>0.1446546504920789</v>
      </c>
      <c r="D36" s="368">
        <f>'Table A24'!D36/'Table A24'!$K36</f>
        <v>9.9797445035167659E-2</v>
      </c>
      <c r="E36" s="368">
        <f>'Table A24'!E36/'Table A24'!$K36</f>
        <v>5.0551548673555623E-2</v>
      </c>
      <c r="F36" s="368">
        <f>'Table A24'!F36/'Table A24'!$K36</f>
        <v>5.9246209360453939E-2</v>
      </c>
      <c r="G36" s="368">
        <f>'Table A24'!G36/'Table A24'!$K36</f>
        <v>1.7286478897170939E-2</v>
      </c>
      <c r="H36" s="368">
        <f>'Table A24'!H36/'Table A24'!$K36</f>
        <v>2.9187142007574572E-2</v>
      </c>
      <c r="I36" s="368">
        <f>'Table A24'!I36/'Table A24'!$K36</f>
        <v>2.5934189757783612E-4</v>
      </c>
      <c r="J36" s="368">
        <f>'Table A24'!J36/'Table A24'!$K36</f>
        <v>0.40098281636357946</v>
      </c>
      <c r="K36" s="369">
        <f>'Table A24'!K36/'Table A24'!$K36</f>
        <v>1</v>
      </c>
      <c r="L36" s="368">
        <f>'Table A24'!L36/'Table A24'!$K36</f>
        <v>0.17391333509208873</v>
      </c>
      <c r="M36" s="370">
        <f>'Table A24'!M36/'Table A24'!$K36</f>
        <v>0.10988271486252643</v>
      </c>
      <c r="N36" s="368">
        <f>'Table A24'!N36/'Table A24'!$K36</f>
        <v>0.22706948127149074</v>
      </c>
      <c r="O36" s="371">
        <f t="shared" si="0"/>
        <v>0.12727203623632308</v>
      </c>
    </row>
    <row r="37" spans="1:15" ht="19.05" customHeight="1" x14ac:dyDescent="0.35">
      <c r="A37" s="360">
        <v>2007</v>
      </c>
      <c r="B37" s="368">
        <f>'Table A24'!B37/'Table A24'!$K37</f>
        <v>0.62632696390658171</v>
      </c>
      <c r="C37" s="368">
        <f>'Table A24'!C37/'Table A24'!$K37</f>
        <v>0.14760049832429681</v>
      </c>
      <c r="D37" s="368">
        <f>'Table A24'!D37/'Table A24'!$K37</f>
        <v>8.6713691635521395E-2</v>
      </c>
      <c r="E37" s="368">
        <f>'Table A24'!E37/'Table A24'!$K37</f>
        <v>4.6856521205102558E-2</v>
      </c>
      <c r="F37" s="368">
        <f>'Table A24'!F37/'Table A24'!$K37</f>
        <v>5.1260725377691212E-2</v>
      </c>
      <c r="G37" s="368">
        <f>'Table A24'!G37/'Table A24'!$K37</f>
        <v>1.6397325893562142E-2</v>
      </c>
      <c r="H37" s="368">
        <f>'Table A24'!H37/'Table A24'!$K37</f>
        <v>2.4547735607376605E-2</v>
      </c>
      <c r="I37" s="368">
        <f>'Table A24'!I37/'Table A24'!$K37</f>
        <v>2.9653804986752292E-4</v>
      </c>
      <c r="J37" s="368">
        <f>'Table A24'!J37/'Table A24'!$K37</f>
        <v>0.37367303609341823</v>
      </c>
      <c r="K37" s="369">
        <f>'Table A24'!K37/'Table A24'!$K37</f>
        <v>1</v>
      </c>
      <c r="L37" s="368">
        <f>'Table A24'!L37/'Table A24'!$K37</f>
        <v>0.17321857837202365</v>
      </c>
      <c r="M37" s="370">
        <f>'Table A24'!M37/'Table A24'!$K37</f>
        <v>0.11646751241424085</v>
      </c>
      <c r="N37" s="368">
        <f>'Table A24'!N37/'Table A24'!$K37</f>
        <v>0.20045445772139461</v>
      </c>
      <c r="O37" s="371">
        <f t="shared" si="0"/>
        <v>0.11374076608587322</v>
      </c>
    </row>
    <row r="38" spans="1:15" ht="19.05" customHeight="1" thickBot="1" x14ac:dyDescent="0.4">
      <c r="A38" s="372">
        <v>2008</v>
      </c>
      <c r="B38" s="373">
        <f>'Table A24'!B38/'Table A24'!$K38</f>
        <v>0.61401598968353488</v>
      </c>
      <c r="C38" s="373">
        <f>'Table A24'!C38/'Table A24'!$K38</f>
        <v>0.15679435943920969</v>
      </c>
      <c r="D38" s="373">
        <f>'Table A24'!D38/'Table A24'!$K38</f>
        <v>7.8365778141570877E-2</v>
      </c>
      <c r="E38" s="373">
        <f>'Table A24'!E38/'Table A24'!$K38</f>
        <v>4.5494606255613031E-2</v>
      </c>
      <c r="F38" s="373">
        <f>'Table A24'!F38/'Table A24'!$K38</f>
        <v>6.2434710885671041E-2</v>
      </c>
      <c r="G38" s="373">
        <f>'Table A24'!G38/'Table A24'!$K38</f>
        <v>1.7455090509815085E-2</v>
      </c>
      <c r="H38" s="373">
        <f>'Table A24'!H38/'Table A24'!$K38</f>
        <v>2.5014497061859015E-2</v>
      </c>
      <c r="I38" s="373">
        <f>'Table A24'!I38/'Table A24'!$K38</f>
        <v>4.2496802272636876E-4</v>
      </c>
      <c r="J38" s="373">
        <f>'Table A24'!J38/'Table A24'!$K38</f>
        <v>0.38598401031646512</v>
      </c>
      <c r="K38" s="374">
        <f>'Table A24'!K38/'Table A24'!$K38</f>
        <v>1</v>
      </c>
      <c r="L38" s="373">
        <f>'Table A24'!L38/'Table A24'!$K38</f>
        <v>0.18243479462321247</v>
      </c>
      <c r="M38" s="375">
        <f>'Table A24'!M38/'Table A24'!$K38</f>
        <v>0.1291798117161381</v>
      </c>
      <c r="N38" s="373">
        <f>'Table A24'!N38/'Table A24'!$K38</f>
        <v>0.20354712225471705</v>
      </c>
      <c r="O38" s="376">
        <f t="shared" si="0"/>
        <v>0.12518134411314619</v>
      </c>
    </row>
    <row r="39" spans="1:15" ht="15.6" thickTop="1" x14ac:dyDescent="0.25"/>
  </sheetData>
  <mergeCells count="1">
    <mergeCell ref="A2:O2"/>
  </mergeCells>
  <phoneticPr fontId="13" type="noConversion"/>
  <pageMargins left="0.75000000000000011" right="0.75000000000000011" top="1" bottom="1" header="0.5" footer="0.5"/>
  <pageSetup paperSize="9" scale="57" orientation="landscape" horizontalDpi="4294967292" verticalDpi="4294967292"/>
  <extLst>
    <ext xmlns:mx="http://schemas.microsoft.com/office/mac/excel/2008/main" uri="{64002731-A6B0-56B0-2670-7721B7C09600}">
      <mx:PLV Mode="0" OnePage="0" WScale="42"/>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R38"/>
  <sheetViews>
    <sheetView zoomScale="70" zoomScaleNormal="70" zoomScalePageLayoutView="70" workbookViewId="0">
      <selection activeCell="L20" sqref="L20"/>
    </sheetView>
  </sheetViews>
  <sheetFormatPr baseColWidth="10" defaultColWidth="10.7265625" defaultRowHeight="15" x14ac:dyDescent="0.25"/>
  <cols>
    <col min="1" max="14" width="11.54296875" style="273" customWidth="1"/>
    <col min="15" max="16" width="10.7265625" style="273"/>
    <col min="17" max="17" width="19.7265625" style="273" bestFit="1" customWidth="1"/>
    <col min="18" max="18" width="24.453125" style="273" customWidth="1"/>
    <col min="19" max="16384" width="10.7265625" style="273"/>
  </cols>
  <sheetData>
    <row r="3" spans="1:18" ht="30" customHeight="1" x14ac:dyDescent="0.4">
      <c r="A3" s="812" t="s">
        <v>872</v>
      </c>
      <c r="B3" s="812"/>
      <c r="C3" s="812"/>
      <c r="D3" s="812"/>
      <c r="E3" s="812"/>
      <c r="F3" s="812"/>
      <c r="G3" s="812"/>
      <c r="H3" s="812"/>
      <c r="I3" s="812"/>
      <c r="J3" s="812"/>
      <c r="K3" s="812"/>
      <c r="L3" s="812"/>
      <c r="M3" s="812"/>
      <c r="N3" s="812"/>
    </row>
    <row r="4" spans="1:18" ht="15.6" thickBot="1" x14ac:dyDescent="0.3">
      <c r="A4" s="274"/>
      <c r="B4" s="274"/>
      <c r="C4" s="274"/>
      <c r="D4" s="274"/>
      <c r="E4" s="274"/>
      <c r="F4" s="274"/>
      <c r="G4" s="274"/>
      <c r="H4" s="274"/>
      <c r="I4" s="274"/>
      <c r="J4" s="274"/>
      <c r="K4" s="274"/>
      <c r="L4" s="274"/>
      <c r="M4" s="274"/>
      <c r="N4" s="274"/>
    </row>
    <row r="5" spans="1:18" ht="15.6" thickTop="1" x14ac:dyDescent="0.25">
      <c r="B5" s="287" t="s">
        <v>85</v>
      </c>
      <c r="C5" s="287" t="s">
        <v>86</v>
      </c>
      <c r="D5" s="287" t="s">
        <v>87</v>
      </c>
      <c r="E5" s="287" t="s">
        <v>88</v>
      </c>
      <c r="F5" s="287" t="s">
        <v>89</v>
      </c>
      <c r="G5" s="287" t="s">
        <v>90</v>
      </c>
      <c r="H5" s="287" t="s">
        <v>91</v>
      </c>
      <c r="I5" s="287" t="s">
        <v>92</v>
      </c>
      <c r="J5" s="288" t="s">
        <v>93</v>
      </c>
      <c r="K5" s="287" t="s">
        <v>94</v>
      </c>
      <c r="L5" s="287" t="s">
        <v>95</v>
      </c>
      <c r="M5" s="287" t="s">
        <v>96</v>
      </c>
      <c r="N5" s="287" t="s">
        <v>97</v>
      </c>
      <c r="O5" s="287"/>
    </row>
    <row r="6" spans="1:18" ht="46.8" x14ac:dyDescent="0.3">
      <c r="B6" s="275" t="s">
        <v>675</v>
      </c>
      <c r="C6" s="275" t="s">
        <v>666</v>
      </c>
      <c r="D6" s="275" t="s">
        <v>667</v>
      </c>
      <c r="E6" s="275" t="s">
        <v>668</v>
      </c>
      <c r="F6" s="275" t="s">
        <v>669</v>
      </c>
      <c r="G6" s="275" t="s">
        <v>670</v>
      </c>
      <c r="H6" s="275" t="s">
        <v>671</v>
      </c>
      <c r="I6" s="275" t="s">
        <v>672</v>
      </c>
      <c r="J6" s="277" t="s">
        <v>102</v>
      </c>
      <c r="K6" s="275" t="s">
        <v>673</v>
      </c>
      <c r="L6" s="276" t="s">
        <v>677</v>
      </c>
      <c r="M6" s="275" t="s">
        <v>674</v>
      </c>
      <c r="N6" s="276" t="s">
        <v>678</v>
      </c>
    </row>
    <row r="7" spans="1:18" ht="15.6" x14ac:dyDescent="0.3">
      <c r="A7" s="273">
        <v>1976</v>
      </c>
      <c r="B7" s="290">
        <v>0</v>
      </c>
      <c r="C7" s="290">
        <f>'Table A25'!C6+'Table A25'!$B6*'Table A24'!C6/('Table A24'!$J6-'Table A24'!$D6)</f>
        <v>0.60541132863562097</v>
      </c>
      <c r="D7" s="290">
        <f>'Table A24'!D6/'Table A24'!$K6</f>
        <v>0.14346484277254148</v>
      </c>
      <c r="E7" s="290">
        <f>'Table A25'!E6+'Table A25'!$B6*'Table A24'!E6/('Table A24'!$J6-'Table A24'!$D6)</f>
        <v>8.3400516001381514E-2</v>
      </c>
      <c r="F7" s="290">
        <f>'Table A25'!F6+'Table A25'!$B6*'Table A24'!F6/('Table A24'!$J6-'Table A24'!$D6)</f>
        <v>5.1054818247291217E-2</v>
      </c>
      <c r="G7" s="290">
        <f>'Table A25'!G6+'Table A25'!$B6*'Table A24'!G6/('Table A24'!$J6-'Table A24'!$D6)</f>
        <v>7.0883850882690766E-2</v>
      </c>
      <c r="H7" s="290">
        <f>'Table A25'!H6+'Table A25'!$B6*'Table A24'!H6/('Table A24'!$J6-'Table A24'!$D6)</f>
        <v>4.5784643460474055E-2</v>
      </c>
      <c r="I7" s="290">
        <f>'Table A25'!I6+'Table A25'!$B6*'Table A24'!I6/('Table A24'!$J6-'Table A24'!$D6)</f>
        <v>0</v>
      </c>
      <c r="J7" s="291">
        <f>SUM(B7:I7)</f>
        <v>1</v>
      </c>
      <c r="K7" s="290">
        <f>'Table A25'!L6+('Table A25'!L6/('Table A25'!L6+'Table A25'!O6)*'Table A25'!B6)</f>
        <v>0.59544707042492817</v>
      </c>
      <c r="L7" s="292">
        <f>'Table A25'!M6+'Table A25'!M6/('Table A25'!L6+'Table A25'!O6)*'Table A25'!B6</f>
        <v>0.50500024802273469</v>
      </c>
      <c r="M7" s="302">
        <f>N7+D7</f>
        <v>0.40459463447122668</v>
      </c>
      <c r="N7" s="292">
        <f>'Table A25'!O6+'Table A25'!O6/('Table A25'!O6+'Table A25'!L6)*'Table A25'!B6</f>
        <v>0.26112979169868522</v>
      </c>
      <c r="Q7" s="586"/>
      <c r="R7" s="586"/>
    </row>
    <row r="8" spans="1:18" ht="15.6" x14ac:dyDescent="0.3">
      <c r="A8" s="273">
        <v>1977</v>
      </c>
      <c r="B8" s="293">
        <v>0</v>
      </c>
      <c r="C8" s="293">
        <f>'Table A25'!C7+'Table A25'!$B7*'Table A24'!C7/('Table A24'!$J7-'Table A24'!$D7)</f>
        <v>0.64002171323783763</v>
      </c>
      <c r="D8" s="293">
        <f>'Table A24'!D7/'Table A24'!$K7</f>
        <v>0.11759246528255191</v>
      </c>
      <c r="E8" s="293">
        <f>'Table A25'!E7+'Table A25'!$B7*'Table A24'!E7/('Table A24'!$J7-'Table A24'!$D7)</f>
        <v>8.2352905551475744E-2</v>
      </c>
      <c r="F8" s="293">
        <f>'Table A25'!F7+'Table A25'!$B7*'Table A24'!F7/('Table A24'!$J7-'Table A24'!$D7)</f>
        <v>5.2446376432648781E-2</v>
      </c>
      <c r="G8" s="293">
        <f>'Table A25'!G7+'Table A25'!$B7*'Table A24'!G7/('Table A24'!$J7-'Table A24'!$D7)</f>
        <v>7.3501892337999378E-2</v>
      </c>
      <c r="H8" s="293">
        <f>'Table A25'!H7+'Table A25'!$B7*'Table A24'!H7/('Table A24'!$J7-'Table A24'!$D7)</f>
        <v>3.4084647157486631E-2</v>
      </c>
      <c r="I8" s="293">
        <f>'Table A25'!I7+'Table A25'!$B7*'Table A24'!I7/('Table A24'!$J7-'Table A24'!$D7)</f>
        <v>0</v>
      </c>
      <c r="J8" s="294">
        <f t="shared" ref="J8:J35" si="0">SUM(B8:I8)</f>
        <v>1.0000000000000002</v>
      </c>
      <c r="K8" s="293">
        <f>'Table A25'!L7+('Table A25'!L7/('Table A25'!L7+'Table A25'!O7)*'Table A25'!B7)</f>
        <v>0.61896619733248692</v>
      </c>
      <c r="L8" s="295">
        <f>'Table A25'!M7+'Table A25'!M7/('Table A25'!L7+'Table A25'!O7)*'Table A25'!B7</f>
        <v>0.49312787903654043</v>
      </c>
      <c r="M8" s="300">
        <f t="shared" ref="M8:M35" si="1">N8+D8</f>
        <v>0.38103380266751302</v>
      </c>
      <c r="N8" s="295">
        <f>'Table A25'!O7+'Table A25'!O7/('Table A25'!O7+'Table A25'!L7)*'Table A25'!B7</f>
        <v>0.26344133738496112</v>
      </c>
      <c r="Q8" s="586"/>
      <c r="R8" s="586"/>
    </row>
    <row r="9" spans="1:18" ht="15.6" x14ac:dyDescent="0.3">
      <c r="A9" s="273">
        <v>1978</v>
      </c>
      <c r="B9" s="293">
        <v>0</v>
      </c>
      <c r="C9" s="293">
        <f>'Table A25'!C8+'Table A25'!$B8*'Table A24'!C8/('Table A24'!$J8-'Table A24'!$D8)</f>
        <v>0.5951995168673343</v>
      </c>
      <c r="D9" s="293">
        <f>'Table A24'!D8/'Table A24'!$K8</f>
        <v>0.14106708625375483</v>
      </c>
      <c r="E9" s="293">
        <f>'Table A25'!E8+'Table A25'!$B8*'Table A24'!E8/('Table A24'!$J8-'Table A24'!$D8)</f>
        <v>8.7847578248297989E-2</v>
      </c>
      <c r="F9" s="293">
        <f>'Table A25'!F8+'Table A25'!$B8*'Table A24'!F8/('Table A24'!$J8-'Table A24'!$D8)</f>
        <v>4.5186925762011124E-2</v>
      </c>
      <c r="G9" s="293">
        <f>'Table A25'!G8+'Table A25'!$B8*'Table A24'!G8/('Table A24'!$J8-'Table A24'!$D8)</f>
        <v>9.1756151995644936E-2</v>
      </c>
      <c r="H9" s="293">
        <f>'Table A25'!H8+'Table A25'!$B8*'Table A24'!H8/('Table A24'!$J8-'Table A24'!$D8)</f>
        <v>3.8942740872956842E-2</v>
      </c>
      <c r="I9" s="293">
        <f>'Table A25'!I8+'Table A25'!$B8*'Table A24'!I8/('Table A24'!$J8-'Table A24'!$D8)</f>
        <v>0</v>
      </c>
      <c r="J9" s="294">
        <f t="shared" si="0"/>
        <v>1</v>
      </c>
      <c r="K9" s="293">
        <f>'Table A25'!L8+('Table A25'!L8/('Table A25'!L8+'Table A25'!O8)*'Table A25'!B8)</f>
        <v>0.57712147538166325</v>
      </c>
      <c r="L9" s="295">
        <f>'Table A25'!M8+'Table A25'!M8/('Table A25'!L8+'Table A25'!O8)*'Table A25'!B8</f>
        <v>0.48784591183773734</v>
      </c>
      <c r="M9" s="300">
        <f t="shared" si="1"/>
        <v>0.42290713282889314</v>
      </c>
      <c r="N9" s="295">
        <f>'Table A25'!O8+'Table A25'!O8/('Table A25'!O8+'Table A25'!L8)*'Table A25'!B8</f>
        <v>0.28184004657513828</v>
      </c>
      <c r="Q9" s="586"/>
      <c r="R9" s="586"/>
    </row>
    <row r="10" spans="1:18" ht="15.6" x14ac:dyDescent="0.3">
      <c r="A10" s="273">
        <v>1979</v>
      </c>
      <c r="B10" s="293">
        <v>0</v>
      </c>
      <c r="C10" s="293">
        <f>'Table A25'!C9+'Table A25'!$B9*'Table A24'!C9/('Table A24'!$J9-'Table A24'!$D9)</f>
        <v>0.60546094074411971</v>
      </c>
      <c r="D10" s="293">
        <f>'Table A24'!D9/'Table A24'!$K9</f>
        <v>0.14029815334730517</v>
      </c>
      <c r="E10" s="293">
        <f>'Table A25'!E9+'Table A25'!$B9*'Table A24'!E9/('Table A24'!$J9-'Table A24'!$D9)</f>
        <v>8.4612662822188225E-2</v>
      </c>
      <c r="F10" s="293">
        <f>'Table A25'!F9+'Table A25'!$B9*'Table A24'!F9/('Table A24'!$J9-'Table A24'!$D9)</f>
        <v>4.1841426670312862E-2</v>
      </c>
      <c r="G10" s="293">
        <f>'Table A25'!G9+'Table A25'!$B9*'Table A24'!G9/('Table A24'!$J9-'Table A24'!$D9)</f>
        <v>8.6627250032240324E-2</v>
      </c>
      <c r="H10" s="293">
        <f>'Table A25'!H9+'Table A25'!$B9*'Table A24'!H9/('Table A24'!$J9-'Table A24'!$D9)</f>
        <v>4.1159566383833689E-2</v>
      </c>
      <c r="I10" s="293">
        <f>'Table A25'!I9+'Table A25'!$B9*'Table A24'!I9/('Table A24'!$J9-'Table A24'!$D9)</f>
        <v>0</v>
      </c>
      <c r="J10" s="294">
        <f t="shared" si="0"/>
        <v>1.0000000000000002</v>
      </c>
      <c r="K10" s="293">
        <f>'Table A25'!L9+('Table A25'!L9/('Table A25'!L9+'Table A25'!O9)*'Table A25'!B9)</f>
        <v>0.58625253100940455</v>
      </c>
      <c r="L10" s="295">
        <f>'Table A25'!M9+'Table A25'!M9/('Table A25'!L9+'Table A25'!O9)*'Table A25'!B9</f>
        <v>0.48555284963221423</v>
      </c>
      <c r="M10" s="300">
        <f t="shared" si="1"/>
        <v>0.4137276975484665</v>
      </c>
      <c r="N10" s="295">
        <f>'Table A25'!O9+'Table A25'!O9/('Table A25'!O9+'Table A25'!L9)*'Table A25'!B9</f>
        <v>0.27342954420116133</v>
      </c>
      <c r="Q10" s="586"/>
      <c r="R10" s="586"/>
    </row>
    <row r="11" spans="1:18" ht="15.6" x14ac:dyDescent="0.3">
      <c r="A11" s="273">
        <v>1980</v>
      </c>
      <c r="B11" s="293">
        <v>0</v>
      </c>
      <c r="C11" s="293">
        <f>'Table A25'!C10+'Table A25'!$B10*'Table A24'!C10/('Table A24'!$J10-'Table A24'!$D10)</f>
        <v>0.61454469247524557</v>
      </c>
      <c r="D11" s="293">
        <f>'Table A24'!D10/'Table A24'!$K10</f>
        <v>0.14493355481727574</v>
      </c>
      <c r="E11" s="293">
        <f>'Table A25'!E10+'Table A25'!$B10*'Table A24'!E10/('Table A24'!$J10-'Table A24'!$D10)</f>
        <v>8.5629122671538743E-2</v>
      </c>
      <c r="F11" s="293">
        <f>'Table A25'!F10+'Table A25'!$B10*'Table A24'!F10/('Table A24'!$J10-'Table A24'!$D10)</f>
        <v>4.3141873641912118E-2</v>
      </c>
      <c r="G11" s="293">
        <f>'Table A25'!G10+'Table A25'!$B10*'Table A24'!G10/('Table A24'!$J10-'Table A24'!$D10)</f>
        <v>7.3571359651699378E-2</v>
      </c>
      <c r="H11" s="293">
        <f>'Table A25'!H10+'Table A25'!$B10*'Table A24'!H10/('Table A24'!$J10-'Table A24'!$D10)</f>
        <v>3.8179396742328495E-2</v>
      </c>
      <c r="I11" s="293">
        <f>'Table A25'!I10+'Table A25'!$B10*'Table A24'!I10/('Table A24'!$J10-'Table A24'!$D10)</f>
        <v>0</v>
      </c>
      <c r="J11" s="294">
        <f t="shared" si="0"/>
        <v>1</v>
      </c>
      <c r="K11" s="293">
        <f>'Table A25'!L10+('Table A25'!L10/('Table A25'!L10+'Table A25'!O10)*'Table A25'!B10)</f>
        <v>0.59353335411317865</v>
      </c>
      <c r="L11" s="295">
        <f>'Table A25'!M10+'Table A25'!M10/('Table A25'!L10+'Table A25'!O10)*'Table A25'!B10</f>
        <v>0.47183652699700662</v>
      </c>
      <c r="M11" s="300">
        <f t="shared" si="1"/>
        <v>0.40646664588682135</v>
      </c>
      <c r="N11" s="295">
        <f>'Table A25'!O10+'Table A25'!O10/('Table A25'!O10+'Table A25'!L10)*'Table A25'!B10</f>
        <v>0.26153309106954559</v>
      </c>
      <c r="Q11" s="586"/>
      <c r="R11" s="586"/>
    </row>
    <row r="12" spans="1:18" ht="15.6" x14ac:dyDescent="0.3">
      <c r="A12" s="273">
        <v>1981</v>
      </c>
      <c r="B12" s="293">
        <v>0</v>
      </c>
      <c r="C12" s="293">
        <f>'Table A25'!C11+'Table A25'!$B11*'Table A24'!C11/('Table A24'!$J11-'Table A24'!$D11)</f>
        <v>0.62898973584227491</v>
      </c>
      <c r="D12" s="293">
        <f>'Table A24'!D11/'Table A24'!$K11</f>
        <v>0.12873096674365933</v>
      </c>
      <c r="E12" s="293">
        <f>'Table A25'!E11+'Table A25'!$B11*'Table A24'!E11/('Table A24'!$J11-'Table A24'!$D11)</f>
        <v>0.10278515647869457</v>
      </c>
      <c r="F12" s="293">
        <f>'Table A25'!F11+'Table A25'!$B11*'Table A24'!F11/('Table A24'!$J11-'Table A24'!$D11)</f>
        <v>3.9432297403354161E-2</v>
      </c>
      <c r="G12" s="293">
        <f>'Table A25'!G11+'Table A25'!$B11*'Table A24'!G11/('Table A24'!$J11-'Table A24'!$D11)</f>
        <v>6.2763604227228903E-2</v>
      </c>
      <c r="H12" s="293">
        <f>'Table A25'!H11+'Table A25'!$B11*'Table A24'!H11/('Table A24'!$J11-'Table A24'!$D11)</f>
        <v>3.729823930478815E-2</v>
      </c>
      <c r="I12" s="293">
        <f>'Table A25'!I11+'Table A25'!$B11*'Table A24'!I11/('Table A24'!$J11-'Table A24'!$D11)</f>
        <v>0</v>
      </c>
      <c r="J12" s="294">
        <f t="shared" si="0"/>
        <v>1</v>
      </c>
      <c r="K12" s="293">
        <f>'Table A25'!L11+('Table A25'!L11/('Table A25'!L11+'Table A25'!O11)*'Table A25'!B11)</f>
        <v>0.6105158000636437</v>
      </c>
      <c r="L12" s="295">
        <f>'Table A25'!M11+'Table A25'!M11/('Table A25'!L11+'Table A25'!O11)*'Table A25'!B11</f>
        <v>0.47027314621310379</v>
      </c>
      <c r="M12" s="300">
        <f t="shared" si="1"/>
        <v>0.3894841999363563</v>
      </c>
      <c r="N12" s="295">
        <f>'Table A25'!O11+'Table A25'!O11/('Table A25'!O11+'Table A25'!L11)*'Table A25'!B11</f>
        <v>0.26075323319269694</v>
      </c>
      <c r="Q12" s="586"/>
      <c r="R12" s="586"/>
    </row>
    <row r="13" spans="1:18" ht="15.6" x14ac:dyDescent="0.3">
      <c r="A13" s="273">
        <v>1982</v>
      </c>
      <c r="B13" s="293">
        <v>0</v>
      </c>
      <c r="C13" s="293">
        <f>'Table A25'!C12+'Table A25'!$B12*'Table A24'!C12/('Table A24'!$J12-'Table A24'!$D12)</f>
        <v>0.58075660490885894</v>
      </c>
      <c r="D13" s="293">
        <f>'Table A24'!D12/'Table A24'!$K12</f>
        <v>0.17117342301399746</v>
      </c>
      <c r="E13" s="293">
        <f>'Table A25'!E12+'Table A25'!$B12*'Table A24'!E12/('Table A24'!$J12-'Table A24'!$D12)</f>
        <v>9.7285636570486445E-2</v>
      </c>
      <c r="F13" s="293">
        <f>'Table A25'!F12+'Table A25'!$B12*'Table A24'!F12/('Table A24'!$J12-'Table A24'!$D12)</f>
        <v>4.5786417902344653E-2</v>
      </c>
      <c r="G13" s="293">
        <f>'Table A25'!G12+'Table A25'!$B12*'Table A24'!G12/('Table A24'!$J12-'Table A24'!$D12)</f>
        <v>6.5730813517054051E-2</v>
      </c>
      <c r="H13" s="293">
        <f>'Table A25'!H12+'Table A25'!$B12*'Table A24'!H12/('Table A24'!$J12-'Table A24'!$D12)</f>
        <v>3.9267104087258517E-2</v>
      </c>
      <c r="I13" s="293">
        <f>'Table A25'!I12+'Table A25'!$B12*'Table A24'!I12/('Table A24'!$J12-'Table A24'!$D12)</f>
        <v>0</v>
      </c>
      <c r="J13" s="294">
        <f t="shared" si="0"/>
        <v>1</v>
      </c>
      <c r="K13" s="293">
        <f>'Table A25'!L12+('Table A25'!L12/('Table A25'!L12+'Table A25'!O12)*'Table A25'!B12)</f>
        <v>0.55551582080640538</v>
      </c>
      <c r="L13" s="295">
        <f>'Table A25'!M12+'Table A25'!M12/('Table A25'!L12+'Table A25'!O12)*'Table A25'!B12</f>
        <v>0.43101118611475142</v>
      </c>
      <c r="M13" s="300">
        <f t="shared" si="1"/>
        <v>0.44449554076421816</v>
      </c>
      <c r="N13" s="295">
        <f>'Table A25'!O12+'Table A25'!O12/('Table A25'!O12+'Table A25'!L12)*'Table A25'!B12</f>
        <v>0.27332211775022069</v>
      </c>
      <c r="Q13" s="586"/>
      <c r="R13" s="586"/>
    </row>
    <row r="14" spans="1:18" ht="15.6" x14ac:dyDescent="0.3">
      <c r="A14" s="273">
        <v>1983</v>
      </c>
      <c r="B14" s="293">
        <v>0</v>
      </c>
      <c r="C14" s="293">
        <f>'Table A25'!C13+'Table A25'!$B13*'Table A24'!C13/('Table A24'!$J13-'Table A24'!$D13)</f>
        <v>0.55159222264973451</v>
      </c>
      <c r="D14" s="293">
        <f>'Table A24'!D13/'Table A24'!$K13</f>
        <v>0.18609925293489862</v>
      </c>
      <c r="E14" s="293">
        <f>'Table A25'!E13+'Table A25'!$B13*'Table A24'!E13/('Table A24'!$J13-'Table A24'!$D13)</f>
        <v>9.7038093270784553E-2</v>
      </c>
      <c r="F14" s="293">
        <f>'Table A25'!F13+'Table A25'!$B13*'Table A24'!F13/('Table A24'!$J13-'Table A24'!$D13)</f>
        <v>5.4520245676431184E-2</v>
      </c>
      <c r="G14" s="293">
        <f>'Table A25'!G13+'Table A25'!$B13*'Table A24'!G13/('Table A24'!$J13-'Table A24'!$D13)</f>
        <v>6.6798957958959709E-2</v>
      </c>
      <c r="H14" s="293">
        <f>'Table A25'!H13+'Table A25'!$B13*'Table A24'!H13/('Table A24'!$J13-'Table A24'!$D13)</f>
        <v>4.3951227509191435E-2</v>
      </c>
      <c r="I14" s="293">
        <f>'Table A25'!I13+'Table A25'!$B13*'Table A24'!I13/('Table A24'!$J13-'Table A24'!$D13)</f>
        <v>0</v>
      </c>
      <c r="J14" s="294">
        <f t="shared" si="0"/>
        <v>1</v>
      </c>
      <c r="K14" s="293">
        <f>'Table A25'!L13+('Table A25'!L13/('Table A25'!L13+'Table A25'!O13)*'Table A25'!B13)</f>
        <v>0.52125340992704172</v>
      </c>
      <c r="L14" s="295">
        <f>'Table A25'!M13+'Table A25'!M13/('Table A25'!L13+'Table A25'!O13)*'Table A25'!B13</f>
        <v>0.38900152597841875</v>
      </c>
      <c r="M14" s="300">
        <f t="shared" si="1"/>
        <v>0.47873547303275898</v>
      </c>
      <c r="N14" s="295">
        <f>'Table A25'!O13+'Table A25'!O13/('Table A25'!O13+'Table A25'!L13)*'Table A25'!B13</f>
        <v>0.29263622009786039</v>
      </c>
      <c r="Q14" s="586"/>
      <c r="R14" s="586"/>
    </row>
    <row r="15" spans="1:18" ht="15.6" x14ac:dyDescent="0.3">
      <c r="A15" s="273">
        <v>1984</v>
      </c>
      <c r="B15" s="293">
        <v>0</v>
      </c>
      <c r="C15" s="293">
        <f>'Table A25'!C14+'Table A25'!$B14*'Table A24'!C14/('Table A24'!$J14-'Table A24'!$D14)</f>
        <v>0.50900887214501678</v>
      </c>
      <c r="D15" s="293">
        <f>'Table A24'!D14/'Table A24'!$K14</f>
        <v>0.20626049195323731</v>
      </c>
      <c r="E15" s="293">
        <f>'Table A25'!E14+'Table A25'!$B14*'Table A24'!E14/('Table A24'!$J14-'Table A24'!$D14)</f>
        <v>0.10472200326406161</v>
      </c>
      <c r="F15" s="293">
        <f>'Table A25'!F14+'Table A25'!$B14*'Table A24'!F14/('Table A24'!$J14-'Table A24'!$D14)</f>
        <v>7.3388647120506134E-2</v>
      </c>
      <c r="G15" s="293">
        <f>'Table A25'!G14+'Table A25'!$B14*'Table A24'!G14/('Table A24'!$J14-'Table A24'!$D14)</f>
        <v>5.2544140270489419E-2</v>
      </c>
      <c r="H15" s="293">
        <f>'Table A25'!H14+'Table A25'!$B14*'Table A24'!H14/('Table A24'!$J14-'Table A24'!$D14)</f>
        <v>5.3626323134108499E-2</v>
      </c>
      <c r="I15" s="293">
        <f>'Table A25'!I14+'Table A25'!$B14*'Table A24'!I14/('Table A24'!$J14-'Table A24'!$D14)</f>
        <v>4.4952211258023262E-4</v>
      </c>
      <c r="J15" s="294">
        <f t="shared" si="0"/>
        <v>1</v>
      </c>
      <c r="K15" s="293">
        <f>'Table A25'!L14+('Table A25'!L14/('Table A25'!L14+'Table A25'!O14)*'Table A25'!B14)</f>
        <v>0.56826726911858683</v>
      </c>
      <c r="L15" s="295">
        <f>'Table A25'!M14+'Table A25'!M14/('Table A25'!L14+'Table A25'!O14)*'Table A25'!B14</f>
        <v>0.40811952325981254</v>
      </c>
      <c r="M15" s="300">
        <f t="shared" si="1"/>
        <v>0.43172267871064685</v>
      </c>
      <c r="N15" s="295">
        <f>'Table A25'!O14+'Table A25'!O14/('Table A25'!O14+'Table A25'!L14)*'Table A25'!B14</f>
        <v>0.22546218675740956</v>
      </c>
      <c r="Q15" s="586"/>
      <c r="R15" s="586"/>
    </row>
    <row r="16" spans="1:18" ht="15.6" x14ac:dyDescent="0.3">
      <c r="A16" s="273">
        <v>1985</v>
      </c>
      <c r="B16" s="293">
        <v>0</v>
      </c>
      <c r="C16" s="293">
        <f>'Table A25'!C15+'Table A25'!$B15*'Table A24'!C15/('Table A24'!$J15-'Table A24'!$D15)</f>
        <v>0.50944951540697003</v>
      </c>
      <c r="D16" s="293">
        <f>'Table A24'!D15/'Table A24'!$K15</f>
        <v>0.20444626538646526</v>
      </c>
      <c r="E16" s="293">
        <f>'Table A25'!E15+'Table A25'!$B15*'Table A24'!E15/('Table A24'!$J15-'Table A24'!$D15)</f>
        <v>0.10115806414105566</v>
      </c>
      <c r="F16" s="293">
        <f>'Table A25'!F15+'Table A25'!$B15*'Table A24'!F15/('Table A24'!$J15-'Table A24'!$D15)</f>
        <v>8.0591896368689853E-2</v>
      </c>
      <c r="G16" s="293">
        <f>'Table A25'!G15+'Table A25'!$B15*'Table A24'!G15/('Table A24'!$J15-'Table A24'!$D15)</f>
        <v>5.1333274243733698E-2</v>
      </c>
      <c r="H16" s="293">
        <f>'Table A25'!H15+'Table A25'!$B15*'Table A24'!H15/('Table A24'!$J15-'Table A24'!$D15)</f>
        <v>5.2677468215783743E-2</v>
      </c>
      <c r="I16" s="293">
        <f>'Table A25'!I15+'Table A25'!$B15*'Table A24'!I15/('Table A24'!$J15-'Table A24'!$D15)</f>
        <v>3.4351623730168024E-4</v>
      </c>
      <c r="J16" s="294">
        <f t="shared" si="0"/>
        <v>1</v>
      </c>
      <c r="K16" s="293">
        <f>'Table A25'!L15+('Table A25'!L15/('Table A25'!L15+'Table A25'!O15)*'Table A25'!B15)</f>
        <v>0.56826116319302722</v>
      </c>
      <c r="L16" s="295">
        <f>'Table A25'!M15+'Table A25'!M15/('Table A25'!L15+'Table A25'!O15)*'Table A25'!B15</f>
        <v>0.40689936737885918</v>
      </c>
      <c r="M16" s="300">
        <f t="shared" si="1"/>
        <v>0.4317477435885963</v>
      </c>
      <c r="N16" s="295">
        <f>'Table A25'!O15+'Table A25'!O15/('Table A25'!O15+'Table A25'!L15)*'Table A25'!B15</f>
        <v>0.22730147820213104</v>
      </c>
      <c r="Q16" s="586"/>
      <c r="R16" s="586"/>
    </row>
    <row r="17" spans="1:18" ht="15.6" x14ac:dyDescent="0.3">
      <c r="A17" s="273">
        <v>1986</v>
      </c>
      <c r="B17" s="293">
        <v>0</v>
      </c>
      <c r="C17" s="293">
        <f>'Table A25'!C16+'Table A25'!$B16*'Table A24'!C16/('Table A24'!$J16-'Table A24'!$D16)</f>
        <v>0.52055625930178695</v>
      </c>
      <c r="D17" s="293">
        <f>'Table A24'!D16/'Table A24'!$K16</f>
        <v>0.18129724850497267</v>
      </c>
      <c r="E17" s="293">
        <f>'Table A25'!E16+'Table A25'!$B16*'Table A24'!E16/('Table A24'!$J16-'Table A24'!$D16)</f>
        <v>0.10558154829807546</v>
      </c>
      <c r="F17" s="293">
        <f>'Table A25'!F16+'Table A25'!$B16*'Table A24'!F16/('Table A24'!$J16-'Table A24'!$D16)</f>
        <v>8.3499670828615674E-2</v>
      </c>
      <c r="G17" s="293">
        <f>'Table A25'!G16+'Table A25'!$B16*'Table A24'!G16/('Table A24'!$J16-'Table A24'!$D16)</f>
        <v>5.1515237127509925E-2</v>
      </c>
      <c r="H17" s="293">
        <f>'Table A25'!H16+'Table A25'!$B16*'Table A24'!H16/('Table A24'!$J16-'Table A24'!$D16)</f>
        <v>5.7179718739240923E-2</v>
      </c>
      <c r="I17" s="293">
        <f>'Table A25'!I16+'Table A25'!$B16*'Table A24'!I16/('Table A24'!$J16-'Table A24'!$D16)</f>
        <v>3.7031719979839408E-4</v>
      </c>
      <c r="J17" s="294">
        <f t="shared" si="0"/>
        <v>0.99999999999999989</v>
      </c>
      <c r="K17" s="293">
        <f>'Table A25'!L16+('Table A25'!L16/('Table A25'!L16+'Table A25'!O16)*'Table A25'!B16)</f>
        <v>0.58479943574088611</v>
      </c>
      <c r="L17" s="295">
        <f>'Table A25'!M16+'Table A25'!M16/('Table A25'!L16+'Table A25'!O16)*'Table A25'!B16</f>
        <v>0.41860930574247351</v>
      </c>
      <c r="M17" s="300">
        <f t="shared" si="1"/>
        <v>0.41520056425911389</v>
      </c>
      <c r="N17" s="295">
        <f>'Table A25'!O16+'Table A25'!O16/('Table A25'!O16+'Table A25'!L16)*'Table A25'!B16</f>
        <v>0.23390331575414119</v>
      </c>
      <c r="Q17" s="586"/>
      <c r="R17" s="586"/>
    </row>
    <row r="18" spans="1:18" ht="15.6" x14ac:dyDescent="0.3">
      <c r="A18" s="273">
        <v>1987</v>
      </c>
      <c r="B18" s="293">
        <v>0</v>
      </c>
      <c r="C18" s="293">
        <f>'Table A25'!C17+'Table A25'!$B17*'Table A24'!C17/('Table A24'!$J17-'Table A24'!$D17)</f>
        <v>0.53498999468951869</v>
      </c>
      <c r="D18" s="293">
        <f>'Table A24'!D17/'Table A24'!$K17</f>
        <v>0.1654312668463612</v>
      </c>
      <c r="E18" s="293">
        <f>'Table A25'!E17+'Table A25'!$B17*'Table A24'!E17/('Table A24'!$J17-'Table A24'!$D17)</f>
        <v>0.10700017373818299</v>
      </c>
      <c r="F18" s="293">
        <f>'Table A25'!F17+'Table A25'!$B17*'Table A24'!F17/('Table A24'!$J17-'Table A24'!$D17)</f>
        <v>7.9630312224056296E-2</v>
      </c>
      <c r="G18" s="293">
        <f>'Table A25'!G17+'Table A25'!$B17*'Table A24'!G17/('Table A24'!$J17-'Table A24'!$D17)</f>
        <v>5.0531484487940682E-2</v>
      </c>
      <c r="H18" s="293">
        <f>'Table A25'!H17+'Table A25'!$B17*'Table A24'!H17/('Table A24'!$J17-'Table A24'!$D17)</f>
        <v>6.2079673970659215E-2</v>
      </c>
      <c r="I18" s="293">
        <f>'Table A25'!I17+'Table A25'!$B17*'Table A24'!I17/('Table A24'!$J17-'Table A24'!$D17)</f>
        <v>3.3709404328086101E-4</v>
      </c>
      <c r="J18" s="294">
        <f t="shared" si="0"/>
        <v>0.99999999999999989</v>
      </c>
      <c r="K18" s="293">
        <f>'Table A25'!L17+('Table A25'!L17/('Table A25'!L17+'Table A25'!O17)*'Table A25'!B17)</f>
        <v>0.60403663439045641</v>
      </c>
      <c r="L18" s="295">
        <f>'Table A25'!M17+'Table A25'!M17/('Table A25'!L17+'Table A25'!O17)*'Table A25'!B17</f>
        <v>0.41847280487285682</v>
      </c>
      <c r="M18" s="300">
        <f t="shared" si="1"/>
        <v>0.39596972272697228</v>
      </c>
      <c r="N18" s="295">
        <f>'Table A25'!O17+'Table A25'!O17/('Table A25'!O17+'Table A25'!L17)*'Table A25'!B17</f>
        <v>0.23053845588061109</v>
      </c>
      <c r="Q18" s="586"/>
      <c r="R18" s="586"/>
    </row>
    <row r="19" spans="1:18" ht="15.6" x14ac:dyDescent="0.3">
      <c r="A19" s="273">
        <v>1988</v>
      </c>
      <c r="B19" s="293">
        <v>0</v>
      </c>
      <c r="C19" s="293">
        <f>'Table A25'!C18+'Table A25'!$B18*'Table A24'!C18/('Table A24'!$J18-'Table A24'!$D18)</f>
        <v>0.53692258075131882</v>
      </c>
      <c r="D19" s="293">
        <f>'Table A24'!D18/'Table A24'!$K18</f>
        <v>0.16321858991808755</v>
      </c>
      <c r="E19" s="293">
        <f>'Table A25'!E18+'Table A25'!$B18*'Table A24'!E18/('Table A24'!$J18-'Table A24'!$D18)</f>
        <v>0.11361469469736352</v>
      </c>
      <c r="F19" s="293">
        <f>'Table A25'!F18+'Table A25'!$B18*'Table A24'!F18/('Table A24'!$J18-'Table A24'!$D18)</f>
        <v>7.7257992394207192E-2</v>
      </c>
      <c r="G19" s="293">
        <f>'Table A25'!G18+'Table A25'!$B18*'Table A24'!G18/('Table A24'!$J18-'Table A24'!$D18)</f>
        <v>4.6747330270859783E-2</v>
      </c>
      <c r="H19" s="293">
        <f>'Table A25'!H18+'Table A25'!$B18*'Table A24'!H18/('Table A24'!$J18-'Table A24'!$D18)</f>
        <v>6.1860970951155711E-2</v>
      </c>
      <c r="I19" s="293">
        <f>'Table A25'!I18+'Table A25'!$B18*'Table A24'!I18/('Table A24'!$J18-'Table A24'!$D18)</f>
        <v>3.7784101700739833E-4</v>
      </c>
      <c r="J19" s="294">
        <f t="shared" si="0"/>
        <v>1</v>
      </c>
      <c r="K19" s="293">
        <f>'Table A25'!L18+('Table A25'!L18/('Table A25'!L18+'Table A25'!O18)*'Table A25'!B18)</f>
        <v>0.60667623072440691</v>
      </c>
      <c r="L19" s="295">
        <f>'Table A25'!M18+'Table A25'!M18/('Table A25'!L18+'Table A25'!O18)*'Table A25'!B18</f>
        <v>0.41821752790816114</v>
      </c>
      <c r="M19" s="300">
        <f t="shared" si="1"/>
        <v>0.39332376927559309</v>
      </c>
      <c r="N19" s="295">
        <f>'Table A25'!O18+'Table A25'!O18/('Table A25'!O18+'Table A25'!L18)*'Table A25'!B18</f>
        <v>0.23010517935750557</v>
      </c>
      <c r="Q19" s="586"/>
      <c r="R19" s="586"/>
    </row>
    <row r="20" spans="1:18" ht="15.6" x14ac:dyDescent="0.3">
      <c r="A20" s="273">
        <v>1989</v>
      </c>
      <c r="B20" s="293">
        <v>0</v>
      </c>
      <c r="C20" s="293">
        <f>'Table A25'!C19+'Table A25'!$B19*'Table A24'!C19/('Table A24'!$J19-'Table A24'!$D19)</f>
        <v>0.55646757345751996</v>
      </c>
      <c r="D20" s="293">
        <f>'Table A24'!D19/'Table A24'!$K19</f>
        <v>0.14321922054030276</v>
      </c>
      <c r="E20" s="293">
        <f>'Table A25'!E19+'Table A25'!$B19*'Table A24'!E19/('Table A24'!$J19-'Table A24'!$D19)</f>
        <v>0.12014096318788697</v>
      </c>
      <c r="F20" s="293">
        <f>'Table A25'!F19+'Table A25'!$B19*'Table A24'!F19/('Table A24'!$J19-'Table A24'!$D19)</f>
        <v>6.9187116934101844E-2</v>
      </c>
      <c r="G20" s="293">
        <f>'Table A25'!G19+'Table A25'!$B19*'Table A24'!G19/('Table A24'!$J19-'Table A24'!$D19)</f>
        <v>4.7582477045336719E-2</v>
      </c>
      <c r="H20" s="293">
        <f>'Table A25'!H19+'Table A25'!$B19*'Table A24'!H19/('Table A24'!$J19-'Table A24'!$D19)</f>
        <v>6.3219706319664698E-2</v>
      </c>
      <c r="I20" s="293">
        <f>'Table A25'!I19+'Table A25'!$B19*'Table A24'!I19/('Table A24'!$J19-'Table A24'!$D19)</f>
        <v>1.8294251518712398E-4</v>
      </c>
      <c r="J20" s="294">
        <f t="shared" si="0"/>
        <v>1</v>
      </c>
      <c r="K20" s="293">
        <f>'Table A25'!L19+('Table A25'!L19/('Table A25'!L19+'Table A25'!O19)*'Table A25'!B19)</f>
        <v>0.62676976857942901</v>
      </c>
      <c r="L20" s="295">
        <f>'Table A25'!M19+'Table A25'!M19/('Table A25'!L19+'Table A25'!O19)*'Table A25'!B19</f>
        <v>0.45859332783240858</v>
      </c>
      <c r="M20" s="300">
        <f t="shared" si="1"/>
        <v>0.3732302314205711</v>
      </c>
      <c r="N20" s="295">
        <f>'Table A25'!O19+'Table A25'!O19/('Table A25'!O19+'Table A25'!L19)*'Table A25'!B19</f>
        <v>0.23001101088026832</v>
      </c>
      <c r="Q20" s="586"/>
      <c r="R20" s="586"/>
    </row>
    <row r="21" spans="1:18" ht="15.6" x14ac:dyDescent="0.3">
      <c r="A21" s="273">
        <v>1990</v>
      </c>
      <c r="B21" s="293">
        <v>0</v>
      </c>
      <c r="C21" s="293">
        <f>'Table A25'!C20+'Table A25'!$B20*'Table A24'!C20/('Table A24'!$J20-'Table A24'!$D20)</f>
        <v>0.57440748719820611</v>
      </c>
      <c r="D21" s="293">
        <f>'Table A24'!D20/'Table A24'!$K20</f>
        <v>0.13553227059017059</v>
      </c>
      <c r="E21" s="293">
        <f>'Table A25'!E20+'Table A25'!$B20*'Table A24'!E20/('Table A24'!$J20-'Table A24'!$D20)</f>
        <v>0.12679018725711527</v>
      </c>
      <c r="F21" s="293">
        <f>'Table A25'!F20+'Table A25'!$B20*'Table A24'!F20/('Table A24'!$J20-'Table A24'!$D20)</f>
        <v>6.0396431311942153E-2</v>
      </c>
      <c r="G21" s="293">
        <f>'Table A25'!G20+'Table A25'!$B20*'Table A24'!G20/('Table A24'!$J20-'Table A24'!$D20)</f>
        <v>4.2153191330592428E-2</v>
      </c>
      <c r="H21" s="293">
        <f>'Table A25'!H20+'Table A25'!$B20*'Table A24'!H20/('Table A24'!$J20-'Table A24'!$D20)</f>
        <v>6.052867661807735E-2</v>
      </c>
      <c r="I21" s="293">
        <f>'Table A25'!I20+'Table A25'!$B20*'Table A24'!I20/('Table A24'!$J20-'Table A24'!$D20)</f>
        <v>1.9175569389602831E-4</v>
      </c>
      <c r="J21" s="294">
        <f t="shared" si="0"/>
        <v>1</v>
      </c>
      <c r="K21" s="293">
        <f>'Table A25'!L20+('Table A25'!L20/('Table A25'!L20+'Table A25'!O20)*'Table A25'!B20)</f>
        <v>0.6420906348781974</v>
      </c>
      <c r="L21" s="295">
        <f>'Table A25'!M20+'Table A25'!M20/('Table A25'!L20+'Table A25'!O20)*'Table A25'!B20</f>
        <v>0.47681045127043453</v>
      </c>
      <c r="M21" s="300">
        <f t="shared" si="1"/>
        <v>0.3579093651218026</v>
      </c>
      <c r="N21" s="295">
        <f>'Table A25'!O20+'Table A25'!O20/('Table A25'!O20+'Table A25'!L20)*'Table A25'!B20</f>
        <v>0.22237709453163201</v>
      </c>
      <c r="Q21" s="586"/>
      <c r="R21" s="586"/>
    </row>
    <row r="22" spans="1:18" ht="15.6" x14ac:dyDescent="0.3">
      <c r="A22" s="273">
        <v>1991</v>
      </c>
      <c r="B22" s="293">
        <v>0</v>
      </c>
      <c r="C22" s="293">
        <f>'Table A25'!C21+'Table A25'!$B21*'Table A24'!C21/('Table A24'!$J21-'Table A24'!$D21)</f>
        <v>0.57323129239900683</v>
      </c>
      <c r="D22" s="293">
        <f>'Table A24'!D21/'Table A24'!$K21</f>
        <v>0.14185990689841066</v>
      </c>
      <c r="E22" s="293">
        <f>'Table A25'!E21+'Table A25'!$B21*'Table A24'!E21/('Table A24'!$J21-'Table A24'!$D21)</f>
        <v>0.11973453962259102</v>
      </c>
      <c r="F22" s="293">
        <f>'Table A25'!F21+'Table A25'!$B21*'Table A24'!F21/('Table A24'!$J21-'Table A24'!$D21)</f>
        <v>6.3590074556548373E-2</v>
      </c>
      <c r="G22" s="293">
        <f>'Table A25'!G21+'Table A25'!$B21*'Table A24'!G21/('Table A24'!$J21-'Table A24'!$D21)</f>
        <v>4.2691297015507959E-2</v>
      </c>
      <c r="H22" s="293">
        <f>'Table A25'!H21+'Table A25'!$B21*'Table A24'!H21/('Table A24'!$J21-'Table A24'!$D21)</f>
        <v>5.8684573718940813E-2</v>
      </c>
      <c r="I22" s="293">
        <f>'Table A25'!I21+'Table A25'!$B21*'Table A24'!I21/('Table A24'!$J21-'Table A24'!$D21)</f>
        <v>2.083157889942935E-4</v>
      </c>
      <c r="J22" s="294">
        <f t="shared" si="0"/>
        <v>1</v>
      </c>
      <c r="K22" s="293">
        <f>'Table A25'!L21+('Table A25'!L21/('Table A25'!L21+'Table A25'!O21)*'Table A25'!B21)</f>
        <v>0.63829973707099863</v>
      </c>
      <c r="L22" s="295">
        <f>'Table A25'!M21+'Table A25'!M21/('Table A25'!L21+'Table A25'!O21)*'Table A25'!B21</f>
        <v>0.48250640635991143</v>
      </c>
      <c r="M22" s="300">
        <f t="shared" si="1"/>
        <v>0.36170026292900137</v>
      </c>
      <c r="N22" s="295">
        <f>'Table A25'!O21+'Table A25'!O21/('Table A25'!O21+'Table A25'!L21)*'Table A25'!B21</f>
        <v>0.21984035603059068</v>
      </c>
      <c r="Q22" s="586"/>
      <c r="R22" s="586"/>
    </row>
    <row r="23" spans="1:18" ht="15.6" x14ac:dyDescent="0.3">
      <c r="A23" s="273">
        <v>1992</v>
      </c>
      <c r="B23" s="293">
        <v>0</v>
      </c>
      <c r="C23" s="293">
        <f>'Table A25'!C22+'Table A25'!$B22*'Table A24'!C22/('Table A24'!$J22-'Table A24'!$D22)</f>
        <v>0.58640759012896038</v>
      </c>
      <c r="D23" s="293">
        <f>'Table A24'!D22/'Table A24'!$K22</f>
        <v>0.14044065152709401</v>
      </c>
      <c r="E23" s="293">
        <f>'Table A25'!E22+'Table A25'!$B22*'Table A24'!E22/('Table A24'!$J22-'Table A24'!$D22)</f>
        <v>0.10137726938537364</v>
      </c>
      <c r="F23" s="293">
        <f>'Table A25'!F22+'Table A25'!$B22*'Table A24'!F22/('Table A24'!$J22-'Table A24'!$D22)</f>
        <v>6.2813525408650178E-2</v>
      </c>
      <c r="G23" s="293">
        <f>'Table A25'!G22+'Table A25'!$B22*'Table A24'!G22/('Table A24'!$J22-'Table A24'!$D22)</f>
        <v>3.9868167126709805E-2</v>
      </c>
      <c r="H23" s="293">
        <f>'Table A25'!H22+'Table A25'!$B22*'Table A24'!H22/('Table A24'!$J22-'Table A24'!$D22)</f>
        <v>6.8801382740768274E-2</v>
      </c>
      <c r="I23" s="293">
        <f>'Table A25'!I22+'Table A25'!$B22*'Table A24'!I22/('Table A24'!$J22-'Table A24'!$D22)</f>
        <v>2.9141368244375425E-4</v>
      </c>
      <c r="J23" s="294">
        <f t="shared" si="0"/>
        <v>1</v>
      </c>
      <c r="K23" s="293">
        <f>'Table A25'!L22+('Table A25'!L22/('Table A25'!L22+'Table A25'!O22)*'Table A25'!B22)</f>
        <v>0.6605771499337425</v>
      </c>
      <c r="L23" s="295">
        <f>'Table A25'!M22+'Table A25'!M22/('Table A25'!L22+'Table A25'!O22)*'Table A25'!B22</f>
        <v>0.50303387780388142</v>
      </c>
      <c r="M23" s="300">
        <f t="shared" si="1"/>
        <v>0.33942697678968037</v>
      </c>
      <c r="N23" s="295">
        <f>'Table A25'!O22+'Table A25'!O22/('Table A25'!O22+'Table A25'!L22)*'Table A25'!B22</f>
        <v>0.19898632526258639</v>
      </c>
      <c r="Q23" s="586"/>
      <c r="R23" s="586"/>
    </row>
    <row r="24" spans="1:18" ht="15.6" x14ac:dyDescent="0.3">
      <c r="A24" s="273">
        <v>1993</v>
      </c>
      <c r="B24" s="293">
        <v>0</v>
      </c>
      <c r="C24" s="293">
        <f>'Table A25'!C23+'Table A25'!$B23*'Table A24'!C23/('Table A24'!$J23-'Table A24'!$D23)</f>
        <v>0.58985255821990545</v>
      </c>
      <c r="D24" s="293">
        <f>'Table A24'!D23/'Table A24'!$K23</f>
        <v>0.14818920244952843</v>
      </c>
      <c r="E24" s="293">
        <f>'Table A25'!E23+'Table A25'!$B23*'Table A24'!E23/('Table A24'!$J23-'Table A24'!$D23)</f>
        <v>9.3071945020527985E-2</v>
      </c>
      <c r="F24" s="293">
        <f>'Table A25'!F23+'Table A25'!$B23*'Table A24'!F23/('Table A24'!$J23-'Table A24'!$D23)</f>
        <v>6.6319929849658274E-2</v>
      </c>
      <c r="G24" s="293">
        <f>'Table A25'!G23+'Table A25'!$B23*'Table A24'!G23/('Table A24'!$J23-'Table A24'!$D23)</f>
        <v>4.4025278260699213E-2</v>
      </c>
      <c r="H24" s="293">
        <f>'Table A25'!H23+'Table A25'!$B23*'Table A24'!H23/('Table A24'!$J23-'Table A24'!$D23)</f>
        <v>5.8306075817506089E-2</v>
      </c>
      <c r="I24" s="293">
        <f>'Table A25'!I23+'Table A25'!$B23*'Table A24'!I23/('Table A24'!$J23-'Table A24'!$D23)</f>
        <v>2.3501038217455095E-4</v>
      </c>
      <c r="J24" s="294">
        <f t="shared" si="0"/>
        <v>1</v>
      </c>
      <c r="K24" s="293">
        <f>'Table A25'!L23+('Table A25'!L23/('Table A25'!L23+'Table A25'!O23)*'Table A25'!B23)</f>
        <v>0.6530286598073578</v>
      </c>
      <c r="L24" s="295">
        <f>'Table A25'!M23+'Table A25'!M23/('Table A25'!L23+'Table A25'!O23)*'Table A25'!B23</f>
        <v>0.50295160953757823</v>
      </c>
      <c r="M24" s="300">
        <f t="shared" si="1"/>
        <v>0.34697588308664745</v>
      </c>
      <c r="N24" s="295">
        <f>'Table A25'!O23+'Table A25'!O23/('Table A25'!O23+'Table A25'!L23)*'Table A25'!B23</f>
        <v>0.19878668063711902</v>
      </c>
      <c r="Q24" s="586"/>
      <c r="R24" s="586"/>
    </row>
    <row r="25" spans="1:18" ht="15.6" x14ac:dyDescent="0.3">
      <c r="A25" s="273">
        <v>1994</v>
      </c>
      <c r="B25" s="293">
        <v>0</v>
      </c>
      <c r="C25" s="293">
        <f>'Table A25'!C24+'Table A25'!$B24*'Table A24'!C24/('Table A24'!$J24-'Table A24'!$D24)</f>
        <v>0.58610497746062173</v>
      </c>
      <c r="D25" s="293">
        <f>'Table A24'!D24/'Table A24'!$K24</f>
        <v>0.14267069595863113</v>
      </c>
      <c r="E25" s="293">
        <f>'Table A25'!E24+'Table A25'!$B24*'Table A24'!E24/('Table A24'!$J24-'Table A24'!$D24)</f>
        <v>0.10226091655661343</v>
      </c>
      <c r="F25" s="293">
        <f>'Table A25'!F24+'Table A25'!$B24*'Table A24'!F24/('Table A24'!$J24-'Table A24'!$D24)</f>
        <v>7.4741339791793177E-2</v>
      </c>
      <c r="G25" s="293">
        <f>'Table A25'!G24+'Table A25'!$B24*'Table A24'!G24/('Table A24'!$J24-'Table A24'!$D24)</f>
        <v>4.5605135529254145E-2</v>
      </c>
      <c r="H25" s="293">
        <f>'Table A25'!H24+'Table A25'!$B24*'Table A24'!H24/('Table A24'!$J24-'Table A24'!$D24)</f>
        <v>4.8151877477715252E-2</v>
      </c>
      <c r="I25" s="293">
        <f>'Table A25'!I24+'Table A25'!$B24*'Table A24'!I24/('Table A24'!$J24-'Table A24'!$D24)</f>
        <v>4.6505722537115756E-4</v>
      </c>
      <c r="J25" s="294">
        <f t="shared" si="0"/>
        <v>1</v>
      </c>
      <c r="K25" s="293">
        <f>'Table A25'!L24+('Table A25'!L24/('Table A25'!L24+'Table A25'!O24)*'Table A25'!B24)</f>
        <v>0.6389443364956493</v>
      </c>
      <c r="L25" s="295">
        <f>'Table A25'!M24+'Table A25'!M24/('Table A25'!L24+'Table A25'!O24)*'Table A25'!B24</f>
        <v>0.50814514639483122</v>
      </c>
      <c r="M25" s="300">
        <f t="shared" si="1"/>
        <v>0.36105566350435059</v>
      </c>
      <c r="N25" s="295">
        <f>'Table A25'!O24+'Table A25'!O24/('Table A25'!O24+'Table A25'!L24)*'Table A25'!B24</f>
        <v>0.21838496754571948</v>
      </c>
      <c r="Q25" s="586"/>
      <c r="R25" s="586"/>
    </row>
    <row r="26" spans="1:18" ht="15.6" x14ac:dyDescent="0.3">
      <c r="A26" s="273">
        <v>1995</v>
      </c>
      <c r="B26" s="293">
        <v>0</v>
      </c>
      <c r="C26" s="293">
        <f>'Table A25'!C25+'Table A25'!$B25*'Table A24'!C25/('Table A24'!$J25-'Table A24'!$D25)</f>
        <v>0.58809907090796609</v>
      </c>
      <c r="D26" s="293">
        <f>'Table A24'!D25/'Table A24'!$K25</f>
        <v>0.13915235050253177</v>
      </c>
      <c r="E26" s="293">
        <f>'Table A25'!E25+'Table A25'!$B25*'Table A24'!E25/('Table A24'!$J25-'Table A24'!$D25)</f>
        <v>9.9723240952310471E-2</v>
      </c>
      <c r="F26" s="293">
        <f>'Table A25'!F25+'Table A25'!$B25*'Table A24'!F25/('Table A24'!$J25-'Table A24'!$D25)</f>
        <v>8.1378520441133667E-2</v>
      </c>
      <c r="G26" s="293">
        <f>'Table A25'!G25+'Table A25'!$B25*'Table A24'!G25/('Table A24'!$J25-'Table A24'!$D25)</f>
        <v>4.103828458341266E-2</v>
      </c>
      <c r="H26" s="293">
        <f>'Table A25'!H25+'Table A25'!$B25*'Table A24'!H25/('Table A24'!$J25-'Table A24'!$D25)</f>
        <v>5.0112918017404223E-2</v>
      </c>
      <c r="I26" s="293">
        <f>'Table A25'!I25+'Table A25'!$B25*'Table A24'!I25/('Table A24'!$J25-'Table A24'!$D25)</f>
        <v>4.9561459524107823E-4</v>
      </c>
      <c r="J26" s="294">
        <f t="shared" si="0"/>
        <v>1</v>
      </c>
      <c r="K26" s="293">
        <f>'Table A25'!L25+('Table A25'!L25/('Table A25'!L25+'Table A25'!O25)*'Table A25'!B25)</f>
        <v>0.64282844775392112</v>
      </c>
      <c r="L26" s="295">
        <f>'Table A25'!M25+'Table A25'!M25/('Table A25'!L25+'Table A25'!O25)*'Table A25'!B25</f>
        <v>0.51245340927266947</v>
      </c>
      <c r="M26" s="300">
        <f t="shared" si="1"/>
        <v>0.35716772780330025</v>
      </c>
      <c r="N26" s="295">
        <f>'Table A25'!O25+'Table A25'!O25/('Table A25'!O25+'Table A25'!L25)*'Table A25'!B25</f>
        <v>0.21801537730076848</v>
      </c>
      <c r="Q26" s="586"/>
      <c r="R26" s="586"/>
    </row>
    <row r="27" spans="1:18" ht="15.6" x14ac:dyDescent="0.3">
      <c r="A27" s="273">
        <v>1996</v>
      </c>
      <c r="B27" s="293">
        <v>0</v>
      </c>
      <c r="C27" s="293">
        <f>'Table A25'!C26+'Table A25'!$B26*'Table A24'!C26/('Table A24'!$J26-'Table A24'!$D26)</f>
        <v>0.57423802822304615</v>
      </c>
      <c r="D27" s="293">
        <f>'Table A24'!D26/'Table A24'!$K26</f>
        <v>0.13589679217922729</v>
      </c>
      <c r="E27" s="293">
        <f>'Table A25'!E26+'Table A25'!$B26*'Table A24'!E26/('Table A24'!$J26-'Table A24'!$D26)</f>
        <v>0.10278000851834634</v>
      </c>
      <c r="F27" s="293">
        <f>'Table A25'!F26+'Table A25'!$B26*'Table A24'!F26/('Table A24'!$J26-'Table A24'!$D26)</f>
        <v>9.0729354315391669E-2</v>
      </c>
      <c r="G27" s="293">
        <f>'Table A25'!G26+'Table A25'!$B26*'Table A24'!G26/('Table A24'!$J26-'Table A24'!$D26)</f>
        <v>3.979469112012627E-2</v>
      </c>
      <c r="H27" s="293">
        <f>'Table A25'!H26+'Table A25'!$B26*'Table A24'!H26/('Table A24'!$J26-'Table A24'!$D26)</f>
        <v>5.5897527814291255E-2</v>
      </c>
      <c r="I27" s="293">
        <f>'Table A25'!I26+'Table A25'!$B26*'Table A24'!I26/('Table A24'!$J26-'Table A24'!$D26)</f>
        <v>6.635978295710253E-4</v>
      </c>
      <c r="J27" s="294">
        <f t="shared" si="0"/>
        <v>1</v>
      </c>
      <c r="K27" s="293">
        <f>'Table A25'!L26+('Table A25'!L26/('Table A25'!L26+'Table A25'!O26)*'Table A25'!B26)</f>
        <v>0.63208399221778</v>
      </c>
      <c r="L27" s="295">
        <f>'Table A25'!M26+'Table A25'!M26/('Table A25'!L26+'Table A25'!O26)*'Table A25'!B26</f>
        <v>0.49445097854419795</v>
      </c>
      <c r="M27" s="300">
        <f t="shared" si="1"/>
        <v>0.36791600778222</v>
      </c>
      <c r="N27" s="295">
        <f>'Table A25'!O26+'Table A25'!O26/('Table A25'!O26+'Table A25'!L26)*'Table A25'!B26</f>
        <v>0.23201921560299274</v>
      </c>
      <c r="Q27" s="586"/>
      <c r="R27" s="586"/>
    </row>
    <row r="28" spans="1:18" ht="15.6" x14ac:dyDescent="0.3">
      <c r="A28" s="273">
        <v>1997</v>
      </c>
      <c r="B28" s="293">
        <v>0</v>
      </c>
      <c r="C28" s="293">
        <f>'Table A25'!C27+'Table A25'!$B27*'Table A24'!C27/('Table A24'!$J27-'Table A24'!$D27)</f>
        <v>0.55762359528717287</v>
      </c>
      <c r="D28" s="293">
        <f>'Table A24'!D27/'Table A24'!$K27</f>
        <v>0.1327380644398288</v>
      </c>
      <c r="E28" s="293">
        <f>'Table A25'!E27+'Table A25'!$B27*'Table A24'!E27/('Table A24'!$J27-'Table A24'!$D27)</f>
        <v>0.11065828940651445</v>
      </c>
      <c r="F28" s="293">
        <f>'Table A25'!F27+'Table A25'!$B27*'Table A24'!F27/('Table A24'!$J27-'Table A24'!$D27)</f>
        <v>0.10279782336163154</v>
      </c>
      <c r="G28" s="293">
        <f>'Table A25'!G27+'Table A25'!$B27*'Table A24'!G27/('Table A24'!$J27-'Table A24'!$D27)</f>
        <v>4.17636164248937E-2</v>
      </c>
      <c r="H28" s="293">
        <f>'Table A25'!H27+'Table A25'!$B27*'Table A24'!H27/('Table A24'!$J27-'Table A24'!$D27)</f>
        <v>5.4048706795493499E-2</v>
      </c>
      <c r="I28" s="293">
        <f>'Table A25'!I27+'Table A25'!$B27*'Table A24'!I27/('Table A24'!$J27-'Table A24'!$D27)</f>
        <v>3.699042844650779E-4</v>
      </c>
      <c r="J28" s="294">
        <f t="shared" si="0"/>
        <v>0.99999999999999989</v>
      </c>
      <c r="K28" s="293">
        <f>'Table A25'!L27+('Table A25'!L27/('Table A25'!L27+'Table A25'!O27)*'Table A25'!B27)</f>
        <v>0.61575304971762002</v>
      </c>
      <c r="L28" s="295">
        <f>'Table A25'!M27+'Table A25'!M27/('Table A25'!L27+'Table A25'!O27)*'Table A25'!B27</f>
        <v>0.48044686380619517</v>
      </c>
      <c r="M28" s="300">
        <f t="shared" si="1"/>
        <v>0.38425064607435122</v>
      </c>
      <c r="N28" s="295">
        <f>'Table A25'!O27+'Table A25'!O27/('Table A25'!O27+'Table A25'!L27)*'Table A25'!B27</f>
        <v>0.25151258163452239</v>
      </c>
      <c r="Q28" s="586"/>
      <c r="R28" s="586"/>
    </row>
    <row r="29" spans="1:18" ht="15.6" x14ac:dyDescent="0.3">
      <c r="A29" s="273">
        <v>1998</v>
      </c>
      <c r="B29" s="293">
        <v>0</v>
      </c>
      <c r="C29" s="293">
        <f>'Table A25'!C28+'Table A25'!$B28*'Table A24'!C28/('Table A24'!$J28-'Table A24'!$D28)</f>
        <v>0.55789969648032856</v>
      </c>
      <c r="D29" s="293">
        <f>'Table A24'!D28/'Table A24'!$K28</f>
        <v>0.1260477849851839</v>
      </c>
      <c r="E29" s="293">
        <f>'Table A25'!E28+'Table A25'!$B28*'Table A24'!E28/('Table A24'!$J28-'Table A24'!$D28)</f>
        <v>0.11249177885042756</v>
      </c>
      <c r="F29" s="293">
        <f>'Table A25'!F28+'Table A25'!$B28*'Table A24'!F28/('Table A24'!$J28-'Table A24'!$D28)</f>
        <v>0.10580179873719409</v>
      </c>
      <c r="G29" s="293">
        <f>'Table A25'!G28+'Table A25'!$B28*'Table A24'!G28/('Table A24'!$J28-'Table A24'!$D28)</f>
        <v>4.2987688189685333E-2</v>
      </c>
      <c r="H29" s="293">
        <f>'Table A25'!H28+'Table A25'!$B28*'Table A24'!H28/('Table A24'!$J28-'Table A24'!$D28)</f>
        <v>5.4331567512124729E-2</v>
      </c>
      <c r="I29" s="293">
        <f>'Table A25'!I28+'Table A25'!$B28*'Table A24'!I28/('Table A24'!$J28-'Table A24'!$D28)</f>
        <v>4.3968524505579021E-4</v>
      </c>
      <c r="J29" s="294">
        <f t="shared" si="0"/>
        <v>1</v>
      </c>
      <c r="K29" s="293">
        <f>'Table A25'!L28+('Table A25'!L28/('Table A25'!L28+'Table A25'!O28)*'Table A25'!B28)</f>
        <v>0.61916476208756377</v>
      </c>
      <c r="L29" s="295">
        <f>'Table A25'!M28+'Table A25'!M28/('Table A25'!L28+'Table A25'!O28)*'Table A25'!B28</f>
        <v>0.47141699097204737</v>
      </c>
      <c r="M29" s="300">
        <f t="shared" si="1"/>
        <v>0.38083523791243612</v>
      </c>
      <c r="N29" s="295">
        <f>'Table A25'!O28+'Table A25'!O28/('Table A25'!O28+'Table A25'!L28)*'Table A25'!B28</f>
        <v>0.25478745292725219</v>
      </c>
      <c r="Q29" s="586"/>
      <c r="R29" s="586"/>
    </row>
    <row r="30" spans="1:18" ht="15.6" x14ac:dyDescent="0.3">
      <c r="A30" s="273">
        <v>1999</v>
      </c>
      <c r="B30" s="293">
        <v>0</v>
      </c>
      <c r="C30" s="293">
        <f>'Table A25'!C29+'Table A25'!$B29*'Table A24'!C29/('Table A24'!$J29-'Table A24'!$D29)</f>
        <v>0.54025129365818048</v>
      </c>
      <c r="D30" s="293">
        <f>'Table A24'!D29/'Table A24'!$K29</f>
        <v>0.12119997922370872</v>
      </c>
      <c r="E30" s="293">
        <f>'Table A25'!E29+'Table A25'!$B29*'Table A24'!E29/('Table A24'!$J29-'Table A24'!$D29)</f>
        <v>0.1241987334145265</v>
      </c>
      <c r="F30" s="293">
        <f>'Table A25'!F29+'Table A25'!$B29*'Table A24'!F29/('Table A24'!$J29-'Table A24'!$D29)</f>
        <v>0.11715098494438969</v>
      </c>
      <c r="G30" s="293">
        <f>'Table A25'!G29+'Table A25'!$B29*'Table A24'!G29/('Table A24'!$J29-'Table A24'!$D29)</f>
        <v>4.0139352875971548E-2</v>
      </c>
      <c r="H30" s="293">
        <f>'Table A25'!H29+'Table A25'!$B29*'Table A24'!H29/('Table A24'!$J29-'Table A24'!$D29)</f>
        <v>5.6681588404561917E-2</v>
      </c>
      <c r="I30" s="293">
        <f>'Table A25'!I29+'Table A25'!$B29*'Table A24'!I29/('Table A24'!$J29-'Table A24'!$D29)</f>
        <v>3.7806747866118572E-4</v>
      </c>
      <c r="J30" s="294">
        <f t="shared" si="0"/>
        <v>1</v>
      </c>
      <c r="K30" s="293">
        <f>'Table A25'!L29+('Table A25'!L29/('Table A25'!L29+'Table A25'!O29)*'Table A25'!B29)</f>
        <v>0.603602563054218</v>
      </c>
      <c r="L30" s="295">
        <f>'Table A25'!M29+'Table A25'!M29/('Table A25'!L29+'Table A25'!O29)*'Table A25'!B29</f>
        <v>0.45430870907497356</v>
      </c>
      <c r="M30" s="300">
        <f t="shared" si="1"/>
        <v>0.396397436945782</v>
      </c>
      <c r="N30" s="295">
        <f>'Table A25'!O29+'Table A25'!O29/('Table A25'!O29+'Table A25'!L29)*'Table A25'!B29</f>
        <v>0.27519745772207327</v>
      </c>
      <c r="Q30" s="586"/>
      <c r="R30" s="586"/>
    </row>
    <row r="31" spans="1:18" ht="15.6" x14ac:dyDescent="0.3">
      <c r="A31" s="273">
        <v>2000</v>
      </c>
      <c r="B31" s="293">
        <v>0</v>
      </c>
      <c r="C31" s="293">
        <f>'Table A25'!C30+'Table A25'!$B30*'Table A24'!C30/('Table A24'!$J30-'Table A24'!$D30)</f>
        <v>0.528102723610272</v>
      </c>
      <c r="D31" s="293">
        <f>'Table A24'!D30/'Table A24'!$K30</f>
        <v>0.11400745066245214</v>
      </c>
      <c r="E31" s="293">
        <f>'Table A25'!E30+'Table A25'!$B30*'Table A24'!E30/('Table A24'!$J30-'Table A24'!$D30)</f>
        <v>0.13731260198566447</v>
      </c>
      <c r="F31" s="293">
        <f>'Table A25'!F30+'Table A25'!$B30*'Table A24'!F30/('Table A24'!$J30-'Table A24'!$D30)</f>
        <v>0.12126590189669081</v>
      </c>
      <c r="G31" s="293">
        <f>'Table A25'!G30+'Table A25'!$B30*'Table A24'!G30/('Table A24'!$J30-'Table A24'!$D30)</f>
        <v>3.8632763747218635E-2</v>
      </c>
      <c r="H31" s="293">
        <f>'Table A25'!H30+'Table A25'!$B30*'Table A24'!H30/('Table A24'!$J30-'Table A24'!$D30)</f>
        <v>6.0229503088653241E-2</v>
      </c>
      <c r="I31" s="293">
        <f>'Table A25'!I30+'Table A25'!$B30*'Table A24'!I30/('Table A24'!$J30-'Table A24'!$D30)</f>
        <v>4.490550090486728E-4</v>
      </c>
      <c r="J31" s="294">
        <f t="shared" si="0"/>
        <v>0.99999999999999989</v>
      </c>
      <c r="K31" s="293">
        <f>'Table A25'!L30+('Table A25'!L30/('Table A25'!L30+'Table A25'!O30)*'Table A25'!B30)</f>
        <v>0.59314553507716572</v>
      </c>
      <c r="L31" s="295">
        <f>'Table A25'!M30+'Table A25'!M30/('Table A25'!L30+'Table A25'!O30)*'Table A25'!B30</f>
        <v>0.43432740804877956</v>
      </c>
      <c r="M31" s="300">
        <f t="shared" si="1"/>
        <v>0.40685446492283422</v>
      </c>
      <c r="N31" s="295">
        <f>'Table A25'!O30+'Table A25'!O30/('Table A25'!O30+'Table A25'!L30)*'Table A25'!B30</f>
        <v>0.29284701426038207</v>
      </c>
      <c r="Q31" s="586"/>
      <c r="R31" s="586"/>
    </row>
    <row r="32" spans="1:18" ht="15.6" x14ac:dyDescent="0.3">
      <c r="A32" s="273">
        <v>2001</v>
      </c>
      <c r="B32" s="293">
        <v>0</v>
      </c>
      <c r="C32" s="293">
        <f>'Table A25'!C31+'Table A25'!$B31*'Table A24'!C31/('Table A24'!$J31-'Table A24'!$D31)</f>
        <v>0.54979311974279876</v>
      </c>
      <c r="D32" s="293">
        <f>'Table A24'!D31/'Table A24'!$K31</f>
        <v>0.10513425566020212</v>
      </c>
      <c r="E32" s="293">
        <f>'Table A25'!E31+'Table A25'!$B31*'Table A24'!E31/('Table A24'!$J31-'Table A24'!$D31)</f>
        <v>0.1176874138003014</v>
      </c>
      <c r="F32" s="293">
        <f>'Table A25'!F31+'Table A25'!$B31*'Table A24'!F31/('Table A24'!$J31-'Table A24'!$D31)</f>
        <v>0.1281921476429245</v>
      </c>
      <c r="G32" s="293">
        <f>'Table A25'!G31+'Table A25'!$B31*'Table A24'!G31/('Table A24'!$J31-'Table A24'!$D31)</f>
        <v>4.1101741692555337E-2</v>
      </c>
      <c r="H32" s="293">
        <f>'Table A25'!H31+'Table A25'!$B31*'Table A24'!H31/('Table A24'!$J31-'Table A24'!$D31)</f>
        <v>5.7632724622249401E-2</v>
      </c>
      <c r="I32" s="293">
        <f>'Table A25'!I31+'Table A25'!$B31*'Table A24'!I31/('Table A24'!$J31-'Table A24'!$D31)</f>
        <v>4.5859683896853931E-4</v>
      </c>
      <c r="J32" s="294">
        <f t="shared" si="0"/>
        <v>1.0000000000000002</v>
      </c>
      <c r="K32" s="293">
        <f>'Table A25'!L31+('Table A25'!L31/('Table A25'!L31+'Table A25'!O31)*'Table A25'!B31)</f>
        <v>0.6132156294570259</v>
      </c>
      <c r="L32" s="295">
        <f>'Table A25'!M31+'Table A25'!M31/('Table A25'!L31+'Table A25'!O31)*'Table A25'!B31</f>
        <v>0.44043927037562869</v>
      </c>
      <c r="M32" s="300">
        <f t="shared" si="1"/>
        <v>0.38678437054297415</v>
      </c>
      <c r="N32" s="295">
        <f>'Table A25'!O31+'Table A25'!O31/('Table A25'!O31+'Table A25'!L31)*'Table A25'!B31</f>
        <v>0.28165011488277203</v>
      </c>
      <c r="Q32" s="586"/>
      <c r="R32" s="586"/>
    </row>
    <row r="33" spans="1:18" ht="15.6" x14ac:dyDescent="0.3">
      <c r="A33" s="273">
        <v>2002</v>
      </c>
      <c r="B33" s="293">
        <v>0</v>
      </c>
      <c r="C33" s="293">
        <f>'Table A25'!C32+'Table A25'!$B32*'Table A24'!C32/('Table A24'!$J32-'Table A24'!$D32)</f>
        <v>0.53638907437757954</v>
      </c>
      <c r="D33" s="293">
        <f>'Table A24'!D32/'Table A24'!$K32</f>
        <v>0.10325345343326724</v>
      </c>
      <c r="E33" s="293">
        <f>'Table A25'!E32+'Table A25'!$B32*'Table A24'!E32/('Table A24'!$J32-'Table A24'!$D32)</f>
        <v>0.13048158755632205</v>
      </c>
      <c r="F33" s="293">
        <f>'Table A25'!F32+'Table A25'!$B32*'Table A24'!F32/('Table A24'!$J32-'Table A24'!$D32)</f>
        <v>0.12634526286104791</v>
      </c>
      <c r="G33" s="293">
        <f>'Table A25'!G32+'Table A25'!$B32*'Table A24'!G32/('Table A24'!$J32-'Table A24'!$D32)</f>
        <v>4.5225738305819704E-2</v>
      </c>
      <c r="H33" s="293">
        <f>'Table A25'!H32+'Table A25'!$B32*'Table A24'!H32/('Table A24'!$J32-'Table A24'!$D32)</f>
        <v>5.7699567656899028E-2</v>
      </c>
      <c r="I33" s="293">
        <f>'Table A25'!I32+'Table A25'!$B32*'Table A24'!I32/('Table A24'!$J32-'Table A24'!$D32)</f>
        <v>6.0531580906450846E-4</v>
      </c>
      <c r="J33" s="294">
        <f t="shared" si="0"/>
        <v>0.99999999999999989</v>
      </c>
      <c r="K33" s="293">
        <f>'Table A25'!L32+('Table A25'!L32/('Table A25'!L32+'Table A25'!O32)*'Table A25'!B32)</f>
        <v>0.59926985711444747</v>
      </c>
      <c r="L33" s="295">
        <f>'Table A25'!M32+'Table A25'!M32/('Table A25'!L32+'Table A25'!O32)*'Table A25'!B32</f>
        <v>0.42849873755241502</v>
      </c>
      <c r="M33" s="300">
        <f t="shared" si="1"/>
        <v>0.40073014288555264</v>
      </c>
      <c r="N33" s="295">
        <f>'Table A25'!O32+'Table A25'!O32/('Table A25'!O32+'Table A25'!L32)*'Table A25'!B32</f>
        <v>0.29747668945228539</v>
      </c>
      <c r="Q33" s="586"/>
      <c r="R33" s="586"/>
    </row>
    <row r="34" spans="1:18" ht="15.6" x14ac:dyDescent="0.3">
      <c r="A34" s="273">
        <v>2003</v>
      </c>
      <c r="B34" s="293">
        <v>0</v>
      </c>
      <c r="C34" s="293">
        <f>'Table A25'!C33+'Table A25'!$B33*'Table A24'!C33/('Table A24'!$J33-'Table A24'!$D33)</f>
        <v>0.53513149960334561</v>
      </c>
      <c r="D34" s="293">
        <f>'Table A24'!D33/'Table A24'!$K33</f>
        <v>0.1033061188775888</v>
      </c>
      <c r="E34" s="293">
        <f>'Table A25'!E33+'Table A25'!$B33*'Table A24'!E33/('Table A24'!$J33-'Table A24'!$D33)</f>
        <v>0.11738220665693967</v>
      </c>
      <c r="F34" s="293">
        <f>'Table A25'!F33+'Table A25'!$B33*'Table A24'!F33/('Table A24'!$J33-'Table A24'!$D33)</f>
        <v>0.14125073289170442</v>
      </c>
      <c r="G34" s="293">
        <f>'Table A25'!G33+'Table A25'!$B33*'Table A24'!G33/('Table A24'!$J33-'Table A24'!$D33)</f>
        <v>4.577662795264538E-2</v>
      </c>
      <c r="H34" s="293">
        <f>'Table A25'!H33+'Table A25'!$B33*'Table A24'!H33/('Table A24'!$J33-'Table A24'!$D33)</f>
        <v>5.6544653127501773E-2</v>
      </c>
      <c r="I34" s="293">
        <f>'Table A25'!I33+'Table A25'!$B33*'Table A24'!I33/('Table A24'!$J33-'Table A24'!$D33)</f>
        <v>6.0816089027428209E-4</v>
      </c>
      <c r="J34" s="294">
        <f t="shared" si="0"/>
        <v>0.99999999999999989</v>
      </c>
      <c r="K34" s="293">
        <f>'Table A25'!L33+('Table A25'!L33/('Table A25'!L33+'Table A25'!O33)*'Table A25'!B33)</f>
        <v>0.59739791441997059</v>
      </c>
      <c r="L34" s="295">
        <f>'Table A25'!M33+'Table A25'!M33/('Table A25'!L33+'Table A25'!O33)*'Table A25'!B33</f>
        <v>0.42935806271546817</v>
      </c>
      <c r="M34" s="300">
        <f t="shared" si="1"/>
        <v>0.40259535488198872</v>
      </c>
      <c r="N34" s="295">
        <f>'Table A25'!O33+'Table A25'!O33/('Table A25'!O33+'Table A25'!L33)*'Table A25'!B33</f>
        <v>0.29928923600439994</v>
      </c>
      <c r="Q34" s="586"/>
      <c r="R34" s="586"/>
    </row>
    <row r="35" spans="1:18" ht="16.2" thickBot="1" x14ac:dyDescent="0.35">
      <c r="A35" s="274">
        <v>2004</v>
      </c>
      <c r="B35" s="296">
        <v>0</v>
      </c>
      <c r="C35" s="296">
        <f>'Table A25'!C34+'Table A25'!$B34*'Table A24'!C34/('Table A24'!$J34-'Table A24'!$D34)</f>
        <v>0.55566513808593976</v>
      </c>
      <c r="D35" s="296">
        <f>'Table A24'!D34/'Table A24'!$K34</f>
        <v>9.823490050216116E-2</v>
      </c>
      <c r="E35" s="296">
        <f>'Table A25'!E34+'Table A25'!$B34*'Table A24'!E34/('Table A24'!$J34-'Table A24'!$D34)</f>
        <v>0.11617636373039938</v>
      </c>
      <c r="F35" s="296">
        <f>'Table A25'!F34+'Table A25'!$B34*'Table A24'!F34/('Table A24'!$J34-'Table A24'!$D34)</f>
        <v>0.12960802251005316</v>
      </c>
      <c r="G35" s="296">
        <f>'Table A25'!G34+'Table A25'!$B34*'Table A24'!G34/('Table A24'!$J34-'Table A24'!$D34)</f>
        <v>4.5425407301402501E-2</v>
      </c>
      <c r="H35" s="296">
        <f>'Table A25'!H34+'Table A25'!$B34*'Table A24'!H34/('Table A24'!$J34-'Table A24'!$D34)</f>
        <v>5.4413867913318731E-2</v>
      </c>
      <c r="I35" s="296">
        <f>'Table A25'!I34+'Table A25'!$B34*'Table A24'!I34/('Table A24'!$J34-'Table A24'!$D34)</f>
        <v>4.7629995672531086E-4</v>
      </c>
      <c r="J35" s="297">
        <f t="shared" si="0"/>
        <v>0.99999999999999989</v>
      </c>
      <c r="K35" s="296">
        <f>'Table A25'!L34+('Table A25'!L34/('Table A25'!L34+'Table A25'!O34)*'Table A25'!B34)</f>
        <v>0.61727793963090671</v>
      </c>
      <c r="L35" s="298">
        <f>'Table A25'!M34+'Table A25'!M34/('Table A25'!L34+'Table A25'!O34)*'Table A25'!B34</f>
        <v>0.43609343609259854</v>
      </c>
      <c r="M35" s="303">
        <f t="shared" si="1"/>
        <v>0.38272206036909323</v>
      </c>
      <c r="N35" s="298">
        <f>'Table A25'!O34+'Table A25'!O34/('Table A25'!O34+'Table A25'!L34)*'Table A25'!B34</f>
        <v>0.28448715986693207</v>
      </c>
      <c r="Q35" s="586"/>
      <c r="R35" s="586"/>
    </row>
    <row r="36" spans="1:18" ht="16.2" thickTop="1" x14ac:dyDescent="0.3">
      <c r="A36" s="299"/>
      <c r="B36" s="301"/>
      <c r="C36" s="293"/>
      <c r="D36" s="293"/>
      <c r="E36" s="293"/>
      <c r="F36" s="293"/>
      <c r="G36" s="293"/>
      <c r="H36" s="293"/>
      <c r="I36" s="293"/>
      <c r="J36" s="304"/>
      <c r="K36" s="293"/>
      <c r="L36" s="295"/>
      <c r="M36" s="300"/>
      <c r="N36" s="295"/>
    </row>
    <row r="37" spans="1:18" ht="15.6" x14ac:dyDescent="0.3">
      <c r="A37" s="299"/>
      <c r="B37" s="301"/>
      <c r="C37" s="293"/>
      <c r="D37" s="293"/>
      <c r="E37" s="293"/>
      <c r="F37" s="293"/>
      <c r="G37" s="293"/>
      <c r="H37" s="293"/>
      <c r="I37" s="293"/>
      <c r="J37" s="304"/>
      <c r="K37" s="293"/>
      <c r="L37" s="295"/>
      <c r="M37" s="300"/>
      <c r="N37" s="295"/>
    </row>
    <row r="38" spans="1:18" ht="15.6" x14ac:dyDescent="0.3">
      <c r="A38" s="299"/>
      <c r="B38" s="301"/>
      <c r="C38" s="293"/>
      <c r="D38" s="293"/>
      <c r="E38" s="293"/>
      <c r="F38" s="293"/>
      <c r="G38" s="293"/>
      <c r="H38" s="293"/>
      <c r="I38" s="293"/>
      <c r="J38" s="304"/>
      <c r="K38" s="293"/>
      <c r="L38" s="295"/>
      <c r="M38" s="300"/>
      <c r="N38" s="295"/>
    </row>
  </sheetData>
  <mergeCells count="1">
    <mergeCell ref="A3:N3"/>
  </mergeCells>
  <phoneticPr fontId="13" type="noConversion"/>
  <pageMargins left="0.75000000000000011" right="0.75000000000000011" top="1" bottom="1" header="0.5" footer="0.5"/>
  <pageSetup paperSize="9" scale="45" orientation="landscape" horizontalDpi="4294967292" verticalDpi="4294967292"/>
  <extLst>
    <ext xmlns:mx="http://schemas.microsoft.com/office/mac/excel/2008/main" uri="{64002731-A6B0-56B0-2670-7721B7C09600}">
      <mx:PLV Mode="0" OnePage="0" WScale="100"/>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2:R31"/>
  <sheetViews>
    <sheetView zoomScale="70" zoomScaleNormal="70" zoomScalePageLayoutView="70" workbookViewId="0">
      <selection activeCell="N12" sqref="L12:N29"/>
    </sheetView>
  </sheetViews>
  <sheetFormatPr baseColWidth="10" defaultColWidth="10.7265625" defaultRowHeight="13.2" x14ac:dyDescent="0.25"/>
  <cols>
    <col min="1" max="1" width="3.7265625" style="436" customWidth="1"/>
    <col min="2" max="16" width="10.7265625" style="436"/>
    <col min="17" max="17" width="3" style="436" customWidth="1"/>
    <col min="18" max="16384" width="10.7265625" style="436"/>
  </cols>
  <sheetData>
    <row r="2" spans="1:18" ht="30" customHeight="1" x14ac:dyDescent="0.5">
      <c r="B2" s="815" t="s">
        <v>860</v>
      </c>
      <c r="C2" s="815"/>
      <c r="D2" s="815"/>
      <c r="E2" s="815"/>
      <c r="F2" s="815"/>
      <c r="G2" s="815"/>
      <c r="H2" s="815"/>
      <c r="I2" s="815"/>
      <c r="J2" s="815"/>
      <c r="K2" s="815"/>
      <c r="L2" s="815"/>
      <c r="M2" s="815"/>
      <c r="N2" s="815"/>
      <c r="O2" s="815"/>
      <c r="P2" s="815"/>
    </row>
    <row r="3" spans="1:18" ht="13.8" thickBot="1" x14ac:dyDescent="0.3">
      <c r="B3" s="439"/>
      <c r="C3" s="439"/>
      <c r="D3" s="439"/>
      <c r="E3" s="439"/>
      <c r="F3" s="439"/>
      <c r="G3" s="439"/>
      <c r="H3" s="439"/>
      <c r="I3" s="439"/>
      <c r="J3" s="439"/>
      <c r="K3" s="439"/>
      <c r="L3" s="439"/>
      <c r="M3" s="439"/>
      <c r="N3" s="439"/>
      <c r="O3" s="439"/>
      <c r="P3" s="439"/>
    </row>
    <row r="4" spans="1:18" s="441" customFormat="1" ht="54" customHeight="1" thickTop="1" x14ac:dyDescent="0.2">
      <c r="B4" s="442"/>
      <c r="C4" s="813" t="s">
        <v>790</v>
      </c>
      <c r="D4" s="813"/>
      <c r="E4" s="813"/>
      <c r="F4" s="813"/>
      <c r="G4" s="813"/>
      <c r="H4" s="813"/>
      <c r="I4" s="814"/>
      <c r="J4" s="816" t="s">
        <v>789</v>
      </c>
      <c r="K4" s="817"/>
      <c r="L4" s="817"/>
      <c r="M4" s="817"/>
      <c r="N4" s="817"/>
      <c r="O4" s="817"/>
      <c r="P4" s="817"/>
      <c r="R4" s="818" t="s">
        <v>921</v>
      </c>
    </row>
    <row r="5" spans="1:18" s="438" customFormat="1" ht="54" customHeight="1" x14ac:dyDescent="0.3">
      <c r="B5" s="443"/>
      <c r="C5" s="456" t="s">
        <v>673</v>
      </c>
      <c r="D5" s="453" t="s">
        <v>647</v>
      </c>
      <c r="E5" s="453" t="s">
        <v>348</v>
      </c>
      <c r="F5" s="453" t="s">
        <v>761</v>
      </c>
      <c r="G5" s="454" t="s">
        <v>759</v>
      </c>
      <c r="H5" s="454" t="s">
        <v>762</v>
      </c>
      <c r="I5" s="455" t="s">
        <v>783</v>
      </c>
      <c r="J5" s="456" t="s">
        <v>673</v>
      </c>
      <c r="K5" s="453" t="s">
        <v>647</v>
      </c>
      <c r="L5" s="453" t="s">
        <v>348</v>
      </c>
      <c r="M5" s="453" t="s">
        <v>761</v>
      </c>
      <c r="N5" s="454" t="s">
        <v>759</v>
      </c>
      <c r="O5" s="454" t="s">
        <v>762</v>
      </c>
      <c r="P5" s="454" t="s">
        <v>783</v>
      </c>
      <c r="R5" s="818"/>
    </row>
    <row r="6" spans="1:18" ht="19.05" customHeight="1" x14ac:dyDescent="0.35">
      <c r="A6" s="440"/>
      <c r="B6" s="444">
        <v>1985</v>
      </c>
      <c r="C6" s="457">
        <f>D6+E6+F6</f>
        <v>3.4033236221990802E-3</v>
      </c>
      <c r="D6" s="445">
        <f>RawDataSources!EF25/RawDataSources!EV25</f>
        <v>4.9659767911306683E-3</v>
      </c>
      <c r="E6" s="445">
        <f>RawDataSources!EG25/RawDataSources!EV25</f>
        <v>1.0442152820767658E-2</v>
      </c>
      <c r="F6" s="445">
        <f>G6+H6+I6</f>
        <v>-1.2004805989699247E-2</v>
      </c>
      <c r="G6" s="390">
        <f>RawDataSources!EH25/RawDataSources!EV25</f>
        <v>-5.2681413450247246E-3</v>
      </c>
      <c r="H6" s="390">
        <f>(RawDataSources!EK25+RawDataSources!EL25+RawDataSources!EM25+RawDataSources!EN25+RawDataSources!EO25+RawDataSources!EP25)/RawDataSources!EV25</f>
        <v>1.0172137451758469E-2</v>
      </c>
      <c r="I6" s="446">
        <f>(RawDataSources!ER25+RawDataSources!ES25+RawDataSources!ET25)/RawDataSources!EV25</f>
        <v>-1.6908802096432991E-2</v>
      </c>
      <c r="J6" s="457">
        <f>(RawDataSources!EF25+RawDataSources!EG25+RawDataSources!EH25+RawDataSources!EK25+RawDataSources!EL25+RawDataSources!EM25+RawDataSources!EN25+RawDataSources!EO25+RawDataSources!EP25+RawDataSources!ER25+RawDataSources!ES25+RawDataSources!ET25)/(RawDataSources!EW25+RawDataSources!EY25+RawDataSources!EZ25+RawDataSources!FA25+RawDataSources!FB25)</f>
        <v>4.5877663078134675E-3</v>
      </c>
      <c r="K6" s="447">
        <f>RawDataSources!EF25/RawDataSources!EY25</f>
        <v>1.475315427260562E-2</v>
      </c>
      <c r="L6" s="447">
        <f>RawDataSources!EG25/RawDataSources!FB25</f>
        <v>9.5165258997565783E-2</v>
      </c>
      <c r="M6" s="447">
        <f>(RawDataSources!EH25+RawDataSources!EK25+RawDataSources!EL25+RawDataSources!EM25+RawDataSources!EN25+RawDataSources!EO25+RawDataSources!EP25+RawDataSources!ER25+RawDataSources!ES25+RawDataSources!ET25)/(RawDataSources!EW25+RawDataSources!EZ25+RawDataSources!FA25)</f>
        <v>-4.0626100148778134E-2</v>
      </c>
      <c r="N6" s="448">
        <f>RawDataSources!EH25/RawDataSources!EW25</f>
        <v>-2.8321772411325701E-2</v>
      </c>
      <c r="O6" s="448">
        <f>(RawDataSources!EK25+RawDataSources!EL25+RawDataSources!EM25+RawDataSources!EN25+RawDataSources!EO25+RawDataSources!EP25)/RawDataSources!EZ25</f>
        <v>0.15816666854926115</v>
      </c>
      <c r="P6" s="448">
        <f>(RawDataSources!ER25+RawDataSources!ES25+RawDataSources!ET25)/RawDataSources!FA25</f>
        <v>-0.37432174531244361</v>
      </c>
    </row>
    <row r="7" spans="1:18" ht="19.05" customHeight="1" x14ac:dyDescent="0.35">
      <c r="A7" s="440"/>
      <c r="B7" s="444">
        <v>1986</v>
      </c>
      <c r="C7" s="457">
        <f t="shared" ref="C7:C29" si="0">D7+E7+F7</f>
        <v>3.8720967032994727E-4</v>
      </c>
      <c r="D7" s="445">
        <f>RawDataSources!EF26/RawDataSources!EV26</f>
        <v>-1.8869563168744678E-3</v>
      </c>
      <c r="E7" s="445">
        <f>RawDataSources!EG26/RawDataSources!EV26</f>
        <v>1.2259608008380241E-2</v>
      </c>
      <c r="F7" s="445">
        <f t="shared" ref="F7:F29" si="1">G7+H7+I7</f>
        <v>-9.9854420211758256E-3</v>
      </c>
      <c r="G7" s="390">
        <f>RawDataSources!EH26/RawDataSources!EV26</f>
        <v>-4.9458029830890147E-3</v>
      </c>
      <c r="H7" s="390">
        <f>(RawDataSources!EK26+RawDataSources!EL26+RawDataSources!EM26+RawDataSources!EN26+RawDataSources!EO26+RawDataSources!EP26)/RawDataSources!EV26</f>
        <v>1.1313125640718132E-2</v>
      </c>
      <c r="I7" s="446">
        <f>(RawDataSources!ER26+RawDataSources!ES26+RawDataSources!ET26)/RawDataSources!EV26</f>
        <v>-1.6352764678804942E-2</v>
      </c>
      <c r="J7" s="457">
        <f>(RawDataSources!EF26+RawDataSources!EG26+RawDataSources!EH26+RawDataSources!EK26+RawDataSources!EL26+RawDataSources!EM26+RawDataSources!EN26+RawDataSources!EO26+RawDataSources!EP26+RawDataSources!ER26+RawDataSources!ES26+RawDataSources!ET26)/(RawDataSources!EW26+RawDataSources!EY26+RawDataSources!EZ26+RawDataSources!FA26+RawDataSources!FB26)</f>
        <v>5.0416472791168468E-4</v>
      </c>
      <c r="K7" s="447">
        <f>RawDataSources!EF26/RawDataSources!EY26</f>
        <v>-6.2732203389830512E-3</v>
      </c>
      <c r="L7" s="447">
        <f>RawDataSources!EG26/RawDataSources!FB26</f>
        <v>8.924347859860024E-2</v>
      </c>
      <c r="M7" s="447">
        <f>(RawDataSources!EH26+RawDataSources!EK26+RawDataSources!EL26+RawDataSources!EM26+RawDataSources!EN26+RawDataSources!EO26+RawDataSources!EP26+RawDataSources!ER26+RawDataSources!ES26+RawDataSources!ET26)/(RawDataSources!EW26+RawDataSources!EZ26+RawDataSources!FA26)</f>
        <v>-3.0272302653832031E-2</v>
      </c>
      <c r="N7" s="448">
        <f>RawDataSources!EH26/RawDataSources!EW26</f>
        <v>-2.2403231733486E-2</v>
      </c>
      <c r="O7" s="448">
        <f>(RawDataSources!EK26+RawDataSources!EL26+RawDataSources!EM26+RawDataSources!EN26+RawDataSources!EO26+RawDataSources!EP26)/RawDataSources!EZ26</f>
        <v>0.16274616540910514</v>
      </c>
      <c r="P7" s="448">
        <f>(RawDataSources!ER26+RawDataSources!ES26+RawDataSources!ET26)/RawDataSources!FA26</f>
        <v>-0.41318642999804384</v>
      </c>
    </row>
    <row r="8" spans="1:18" ht="19.05" customHeight="1" x14ac:dyDescent="0.35">
      <c r="A8" s="440"/>
      <c r="B8" s="444">
        <v>1987</v>
      </c>
      <c r="C8" s="457">
        <f t="shared" si="0"/>
        <v>3.8438066173910549E-3</v>
      </c>
      <c r="D8" s="445">
        <f>RawDataSources!EF27/RawDataSources!EV27</f>
        <v>-4.2433438063761725E-3</v>
      </c>
      <c r="E8" s="445">
        <f>RawDataSources!EG27/RawDataSources!EV27</f>
        <v>1.4404596248145423E-2</v>
      </c>
      <c r="F8" s="445">
        <f t="shared" si="1"/>
        <v>-6.3174458243781956E-3</v>
      </c>
      <c r="G8" s="390">
        <f>RawDataSources!EH27/RawDataSources!EV27</f>
        <v>3.2395478875527051E-4</v>
      </c>
      <c r="H8" s="390">
        <f>(RawDataSources!EK27+RawDataSources!EL27+RawDataSources!EM27+RawDataSources!EN27+RawDataSources!EO27+RawDataSources!EP27)/RawDataSources!EV27</f>
        <v>1.0349026855693052E-2</v>
      </c>
      <c r="I8" s="446">
        <f>(RawDataSources!ER27+RawDataSources!ES27+RawDataSources!ET27)/RawDataSources!EV27</f>
        <v>-1.6990427468826518E-2</v>
      </c>
      <c r="J8" s="457">
        <f>(RawDataSources!EF27+RawDataSources!EG27+RawDataSources!EH27+RawDataSources!EK27+RawDataSources!EL27+RawDataSources!EM27+RawDataSources!EN27+RawDataSources!EO27+RawDataSources!EP27+RawDataSources!ER27+RawDataSources!ES27+RawDataSources!ET27)/(RawDataSources!EW27+RawDataSources!EY27+RawDataSources!EZ27+RawDataSources!FA27+RawDataSources!FB27)</f>
        <v>4.9133565300438532E-3</v>
      </c>
      <c r="K8" s="447">
        <f>RawDataSources!EF27/RawDataSources!EY27</f>
        <v>-1.5092360076612044E-2</v>
      </c>
      <c r="L8" s="447">
        <f>RawDataSources!EG27/RawDataSources!FB27</f>
        <v>9.8316036470600845E-2</v>
      </c>
      <c r="M8" s="447">
        <f>(RawDataSources!EH27+RawDataSources!EK27+RawDataSources!EL27+RawDataSources!EM27+RawDataSources!EN27+RawDataSources!EO27+RawDataSources!EP27+RawDataSources!ER27+RawDataSources!ES27+RawDataSources!ET27)/(RawDataSources!EW27+RawDataSources!EZ27+RawDataSources!FA27)</f>
        <v>-1.7813371203134337E-2</v>
      </c>
      <c r="N8" s="448">
        <f>RawDataSources!EH27/RawDataSources!EW27</f>
        <v>1.3472996287243817E-3</v>
      </c>
      <c r="O8" s="448">
        <f>(RawDataSources!EK27+RawDataSources!EL27+RawDataSources!EM27+RawDataSources!EN27+RawDataSources!EO27+RawDataSources!EP27)/RawDataSources!EZ27</f>
        <v>0.13758493146754275</v>
      </c>
      <c r="P8" s="448">
        <f>(RawDataSources!ER27+RawDataSources!ES27+RawDataSources!ET27)/RawDataSources!FA27</f>
        <v>-0.43587976006410933</v>
      </c>
    </row>
    <row r="9" spans="1:18" ht="19.05" customHeight="1" x14ac:dyDescent="0.35">
      <c r="A9" s="440"/>
      <c r="B9" s="444">
        <v>1988</v>
      </c>
      <c r="C9" s="457">
        <f t="shared" si="0"/>
        <v>-1.2398405189193752E-4</v>
      </c>
      <c r="D9" s="445">
        <f>RawDataSources!EF28/RawDataSources!EV28</f>
        <v>-8.9577727306821286E-3</v>
      </c>
      <c r="E9" s="445">
        <f>RawDataSources!EG28/RawDataSources!EV28</f>
        <v>1.5606267619854461E-2</v>
      </c>
      <c r="F9" s="445">
        <f t="shared" si="1"/>
        <v>-6.7724789410642701E-3</v>
      </c>
      <c r="G9" s="390">
        <f>RawDataSources!EH28/RawDataSources!EV28</f>
        <v>1.763323263448559E-3</v>
      </c>
      <c r="H9" s="390">
        <f>(RawDataSources!EK28+RawDataSources!EL28+RawDataSources!EM28+RawDataSources!EN28+RawDataSources!EO28+RawDataSources!EP28)/RawDataSources!EV28</f>
        <v>8.6483292855612133E-3</v>
      </c>
      <c r="I9" s="446">
        <f>(RawDataSources!ER28+RawDataSources!ES28+RawDataSources!ET28)/RawDataSources!EV28</f>
        <v>-1.7184131490074042E-2</v>
      </c>
      <c r="J9" s="457">
        <f>(RawDataSources!EF28+RawDataSources!EG28+RawDataSources!EH28+RawDataSources!EK28+RawDataSources!EL28+RawDataSources!EM28+RawDataSources!EN28+RawDataSources!EO28+RawDataSources!EP28+RawDataSources!ER28+RawDataSources!ES28+RawDataSources!ET28)/(RawDataSources!EW28+RawDataSources!EY28+RawDataSources!EZ28+RawDataSources!FA28+RawDataSources!FB28)</f>
        <v>-1.5779659972889329E-4</v>
      </c>
      <c r="K9" s="447">
        <f>RawDataSources!EF28/RawDataSources!EY28</f>
        <v>-3.3089888750568106E-2</v>
      </c>
      <c r="L9" s="447">
        <f>RawDataSources!EG28/RawDataSources!FB28</f>
        <v>9.8196830113444003E-2</v>
      </c>
      <c r="M9" s="447">
        <f>(RawDataSources!EH28+RawDataSources!EK28+RawDataSources!EL28+RawDataSources!EM28+RawDataSources!EN28+RawDataSources!EO28+RawDataSources!EP28+RawDataSources!ER28+RawDataSources!ES28+RawDataSources!ET28)/(RawDataSources!EW28+RawDataSources!EZ28+RawDataSources!FA28)</f>
        <v>-1.9019437143526614E-2</v>
      </c>
      <c r="N9" s="448">
        <f>RawDataSources!EH28/RawDataSources!EW28</f>
        <v>7.4630531048052173E-3</v>
      </c>
      <c r="O9" s="448">
        <f>(RawDataSources!EK28+RawDataSources!EL28+RawDataSources!EM28+RawDataSources!EN28+RawDataSources!EO28+RawDataSources!EP28)/RawDataSources!EZ28</f>
        <v>0.1108403590388016</v>
      </c>
      <c r="P9" s="448">
        <f>(RawDataSources!ER28+RawDataSources!ES28+RawDataSources!ET28)/RawDataSources!FA28</f>
        <v>-0.41126911223277934</v>
      </c>
    </row>
    <row r="10" spans="1:18" ht="19.05" customHeight="1" x14ac:dyDescent="0.35">
      <c r="A10" s="440"/>
      <c r="B10" s="444">
        <v>1989</v>
      </c>
      <c r="C10" s="457">
        <f t="shared" si="0"/>
        <v>-7.4062172698945369E-3</v>
      </c>
      <c r="D10" s="445">
        <f>RawDataSources!EF29/RawDataSources!EV29</f>
        <v>-1.2553472240961426E-2</v>
      </c>
      <c r="E10" s="445">
        <f>RawDataSources!EG29/RawDataSources!EV29</f>
        <v>1.4948773364686573E-2</v>
      </c>
      <c r="F10" s="445">
        <f t="shared" si="1"/>
        <v>-9.8015183936196841E-3</v>
      </c>
      <c r="G10" s="390">
        <f>RawDataSources!EH29/RawDataSources!EV29</f>
        <v>9.0130680059031176E-4</v>
      </c>
      <c r="H10" s="390">
        <f>(RawDataSources!EK29+RawDataSources!EL29+RawDataSources!EM29+RawDataSources!EN29+RawDataSources!EO29+RawDataSources!EP29)/RawDataSources!EV29</f>
        <v>7.9123351434346647E-3</v>
      </c>
      <c r="I10" s="446">
        <f>(RawDataSources!ER29+RawDataSources!ES29+RawDataSources!ET29)/RawDataSources!EV29</f>
        <v>-1.8615160337644661E-2</v>
      </c>
      <c r="J10" s="457">
        <f>(RawDataSources!EF29+RawDataSources!EG29+RawDataSources!EH29+RawDataSources!EK29+RawDataSources!EL29+RawDataSources!EM29+RawDataSources!EN29+RawDataSources!EO29+RawDataSources!EP29+RawDataSources!ER29+RawDataSources!ES29+RawDataSources!ET29)/(RawDataSources!EW29+RawDataSources!EY29+RawDataSources!EZ29+RawDataSources!FA29+RawDataSources!FB29)</f>
        <v>-9.5012837823890296E-3</v>
      </c>
      <c r="K10" s="447">
        <f>RawDataSources!EF29/RawDataSources!EY29</f>
        <v>-4.5266563717920434E-2</v>
      </c>
      <c r="L10" s="447">
        <f>RawDataSources!EG29/RawDataSources!FB29</f>
        <v>9.8637019761427205E-2</v>
      </c>
      <c r="M10" s="447">
        <f>(RawDataSources!EH29+RawDataSources!EK29+RawDataSources!EL29+RawDataSources!EM29+RawDataSources!EN29+RawDataSources!EO29+RawDataSources!EP29+RawDataSources!ER29+RawDataSources!ES29+RawDataSources!ET29)/(RawDataSources!EW29+RawDataSources!EZ29+RawDataSources!FA29)</f>
        <v>-2.7954832859805531E-2</v>
      </c>
      <c r="N10" s="448">
        <f>RawDataSources!EH29/RawDataSources!EW29</f>
        <v>3.9201785935519626E-3</v>
      </c>
      <c r="O10" s="448">
        <f>(RawDataSources!EK29+RawDataSources!EL29+RawDataSources!EM29+RawDataSources!EN29+RawDataSources!EO29+RawDataSources!EP29)/RawDataSources!EZ29</f>
        <v>0.10577632357297063</v>
      </c>
      <c r="P10" s="448">
        <f>(RawDataSources!ER29+RawDataSources!ES29+RawDataSources!ET29)/RawDataSources!FA29</f>
        <v>-0.40553632500804926</v>
      </c>
    </row>
    <row r="11" spans="1:18" ht="19.05" customHeight="1" x14ac:dyDescent="0.35">
      <c r="A11" s="440"/>
      <c r="B11" s="444">
        <v>1990</v>
      </c>
      <c r="C11" s="457">
        <f t="shared" si="0"/>
        <v>-1.0318268757543802E-2</v>
      </c>
      <c r="D11" s="445">
        <f>RawDataSources!EF30/RawDataSources!EV30</f>
        <v>-1.0517120284416093E-2</v>
      </c>
      <c r="E11" s="445">
        <f>RawDataSources!EG30/RawDataSources!EV30</f>
        <v>1.4976607545893691E-2</v>
      </c>
      <c r="F11" s="445">
        <f t="shared" si="1"/>
        <v>-1.47777560190214E-2</v>
      </c>
      <c r="G11" s="390">
        <f>RawDataSources!EH30/RawDataSources!EV30</f>
        <v>1.1838933418284714E-3</v>
      </c>
      <c r="H11" s="390">
        <f>(RawDataSources!EK30+RawDataSources!EL30+RawDataSources!EM30+RawDataSources!EN30+RawDataSources!EO30+RawDataSources!EP30)/RawDataSources!EV30</f>
        <v>2.0362921932263918E-3</v>
      </c>
      <c r="I11" s="446">
        <f>(RawDataSources!ER30+RawDataSources!ES30+RawDataSources!ET30)/RawDataSources!EV30</f>
        <v>-1.7997941554076264E-2</v>
      </c>
      <c r="J11" s="457">
        <f>(RawDataSources!EF30+RawDataSources!EG30+RawDataSources!EH30+RawDataSources!EK30+RawDataSources!EL30+RawDataSources!EM30+RawDataSources!EN30+RawDataSources!EO30+RawDataSources!EP30+RawDataSources!ER30+RawDataSources!ES30+RawDataSources!ET30)/(RawDataSources!EW30+RawDataSources!EY30+RawDataSources!EZ30+RawDataSources!FA30+RawDataSources!FB30)</f>
        <v>-1.314553948275953E-2</v>
      </c>
      <c r="K11" s="447">
        <f>RawDataSources!EF30/RawDataSources!EY30</f>
        <v>-4.0031799541252522E-2</v>
      </c>
      <c r="L11" s="447">
        <f>RawDataSources!EG30/RawDataSources!FB30</f>
        <v>0.10727759943967784</v>
      </c>
      <c r="M11" s="447">
        <f>(RawDataSources!EH30+RawDataSources!EK30+RawDataSources!EL30+RawDataSources!EM30+RawDataSources!EN30+RawDataSources!EO30+RawDataSources!EP30+RawDataSources!ER30+RawDataSources!ES30+RawDataSources!ET30)/(RawDataSources!EW30+RawDataSources!EZ30+RawDataSources!FA30)</f>
        <v>-3.8624536213958019E-2</v>
      </c>
      <c r="N11" s="448">
        <f>RawDataSources!EH30/RawDataSources!EW30</f>
        <v>4.5624880607646008E-3</v>
      </c>
      <c r="O11" s="448">
        <f>(RawDataSources!EK30+RawDataSources!EL30+RawDataSources!EM30+RawDataSources!EN30+RawDataSources!EO30+RawDataSources!EP30)/RawDataSources!EZ30</f>
        <v>2.5414464694028232E-2</v>
      </c>
      <c r="P11" s="448">
        <f>(RawDataSources!ER30+RawDataSources!ES30+RawDataSources!ET30)/RawDataSources!FA30</f>
        <v>-0.41862773019602006</v>
      </c>
    </row>
    <row r="12" spans="1:18" ht="19.05" customHeight="1" x14ac:dyDescent="0.35">
      <c r="A12" s="440"/>
      <c r="B12" s="444">
        <v>1991</v>
      </c>
      <c r="C12" s="457">
        <f t="shared" si="0"/>
        <v>-1.517520959748412E-2</v>
      </c>
      <c r="D12" s="445">
        <f>RawDataSources!EF31/RawDataSources!EV31</f>
        <v>-1.2694478506168311E-2</v>
      </c>
      <c r="E12" s="445">
        <f>RawDataSources!EG31/RawDataSources!EV31</f>
        <v>1.6667806680679294E-2</v>
      </c>
      <c r="F12" s="445">
        <f t="shared" si="1"/>
        <v>-1.9148537771995103E-2</v>
      </c>
      <c r="G12" s="390">
        <f>RawDataSources!EH31/RawDataSources!EV31</f>
        <v>-3.6286348413403498E-3</v>
      </c>
      <c r="H12" s="390">
        <f>(RawDataSources!EK31+RawDataSources!EL31+RawDataSources!EM31+RawDataSources!EN31+RawDataSources!EO31+RawDataSources!EP31)/RawDataSources!EV31</f>
        <v>3.4316648195893903E-3</v>
      </c>
      <c r="I12" s="446">
        <f>(RawDataSources!ER31+RawDataSources!ES31+RawDataSources!ET31)/RawDataSources!EV31</f>
        <v>-1.8951567750244144E-2</v>
      </c>
      <c r="J12" s="457">
        <f>(RawDataSources!EF31+RawDataSources!EG31+RawDataSources!EH31+RawDataSources!EK31+RawDataSources!EL31+RawDataSources!EM31+RawDataSources!EN31+RawDataSources!EO31+RawDataSources!EP31+RawDataSources!ER31+RawDataSources!ES31+RawDataSources!ET31)/(RawDataSources!EW31+RawDataSources!EY31+RawDataSources!EZ31+RawDataSources!FA31+RawDataSources!FB31)</f>
        <v>-1.9249742953345771E-2</v>
      </c>
      <c r="K12" s="447">
        <f>RawDataSources!EF31/RawDataSources!EY31</f>
        <v>-4.909038901601831E-2</v>
      </c>
      <c r="L12" s="447">
        <f>RawDataSources!EG31/RawDataSources!FB31</f>
        <v>0.10992750013399465</v>
      </c>
      <c r="M12" s="447">
        <f>(RawDataSources!EH31+RawDataSources!EK31+RawDataSources!EL31+RawDataSources!EM31+RawDataSources!EN31+RawDataSources!EO31+RawDataSources!EP31+RawDataSources!ER31+RawDataSources!ES31+RawDataSources!ET31)/(RawDataSources!EW31+RawDataSources!EZ31+RawDataSources!FA31)</f>
        <v>-5.0642276506848188E-2</v>
      </c>
      <c r="N12" s="448">
        <f>RawDataSources!EH31/RawDataSources!EW31</f>
        <v>-1.4129585495646621E-2</v>
      </c>
      <c r="O12" s="448">
        <f>(RawDataSources!EK31+RawDataSources!EL31+RawDataSources!EM31+RawDataSources!EN31+RawDataSources!EO31+RawDataSources!EP31)/RawDataSources!EZ31</f>
        <v>4.3385385532922288E-2</v>
      </c>
      <c r="P12" s="448">
        <f>(RawDataSources!ER31+RawDataSources!ES31+RawDataSources!ET31)/RawDataSources!FA31</f>
        <v>-0.44903288866554025</v>
      </c>
    </row>
    <row r="13" spans="1:18" ht="19.05" customHeight="1" x14ac:dyDescent="0.35">
      <c r="A13" s="440"/>
      <c r="B13" s="444">
        <v>1992</v>
      </c>
      <c r="C13" s="457">
        <f t="shared" si="0"/>
        <v>-1.4694739607492378E-2</v>
      </c>
      <c r="D13" s="445">
        <f>RawDataSources!EF32/RawDataSources!EV32</f>
        <v>-1.6743561277149873E-2</v>
      </c>
      <c r="E13" s="445">
        <f>RawDataSources!EG32/RawDataSources!EV32</f>
        <v>2.0923045780163158E-2</v>
      </c>
      <c r="F13" s="445">
        <f t="shared" si="1"/>
        <v>-1.8874224110505662E-2</v>
      </c>
      <c r="G13" s="390">
        <f>RawDataSources!EH32/RawDataSources!EV32</f>
        <v>-6.4621548681894989E-3</v>
      </c>
      <c r="H13" s="390">
        <f>(RawDataSources!EK32+RawDataSources!EL32+RawDataSources!EM32+RawDataSources!EN32+RawDataSources!EO32+RawDataSources!EP32)/RawDataSources!EV32</f>
        <v>4.4272212940705971E-3</v>
      </c>
      <c r="I13" s="446">
        <f>(RawDataSources!ER32+RawDataSources!ES32+RawDataSources!ET32)/RawDataSources!EV32</f>
        <v>-1.6839290536386761E-2</v>
      </c>
      <c r="J13" s="457">
        <f>(RawDataSources!EF32+RawDataSources!EG32+RawDataSources!EH32+RawDataSources!EK32+RawDataSources!EL32+RawDataSources!EM32+RawDataSources!EN32+RawDataSources!EO32+RawDataSources!EP32+RawDataSources!ER32+RawDataSources!ES32+RawDataSources!ET32)/(RawDataSources!EW32+RawDataSources!EY32+RawDataSources!EZ32+RawDataSources!FA32+RawDataSources!FB32)</f>
        <v>-1.8555124449129413E-2</v>
      </c>
      <c r="K13" s="447">
        <f>RawDataSources!EF32/RawDataSources!EY32</f>
        <v>-6.5329571644281964E-2</v>
      </c>
      <c r="L13" s="447">
        <f>RawDataSources!EG32/RawDataSources!FB32</f>
        <v>0.13530125049128214</v>
      </c>
      <c r="M13" s="447">
        <f>(RawDataSources!EH32+RawDataSources!EK32+RawDataSources!EL32+RawDataSources!EM32+RawDataSources!EN32+RawDataSources!EO32+RawDataSources!EP32+RawDataSources!ER32+RawDataSources!ES32+RawDataSources!ET32)/(RawDataSources!EW32+RawDataSources!EZ32+RawDataSources!FA32)</f>
        <v>-4.9536530309069363E-2</v>
      </c>
      <c r="N13" s="448">
        <f>RawDataSources!EH32/RawDataSources!EW32</f>
        <v>-2.4372937302054844E-2</v>
      </c>
      <c r="O13" s="448">
        <f>(RawDataSources!EK32+RawDataSources!EL32+RawDataSources!EM32+RawDataSources!EN32+RawDataSources!EO32+RawDataSources!EP32)/RawDataSources!EZ32</f>
        <v>5.7340052608782173E-2</v>
      </c>
      <c r="P13" s="448">
        <f>(RawDataSources!ER32+RawDataSources!ES32+RawDataSources!ET32)/RawDataSources!FA32</f>
        <v>-0.43546290606648563</v>
      </c>
    </row>
    <row r="14" spans="1:18" ht="19.05" customHeight="1" x14ac:dyDescent="0.35">
      <c r="A14" s="440"/>
      <c r="B14" s="444">
        <v>1993</v>
      </c>
      <c r="C14" s="457">
        <f t="shared" si="0"/>
        <v>-7.7437363475104243E-3</v>
      </c>
      <c r="D14" s="445">
        <f>RawDataSources!EF33/RawDataSources!EV33</f>
        <v>-1.1420012420651379E-2</v>
      </c>
      <c r="E14" s="445">
        <f>RawDataSources!EG33/RawDataSources!EV33</f>
        <v>2.4522033771866042E-2</v>
      </c>
      <c r="F14" s="445">
        <f t="shared" si="1"/>
        <v>-2.0845757698725088E-2</v>
      </c>
      <c r="G14" s="390">
        <f>RawDataSources!EH33/RawDataSources!EV33</f>
        <v>-7.6947944127560546E-3</v>
      </c>
      <c r="H14" s="390">
        <f>(RawDataSources!EK33+RawDataSources!EL33+RawDataSources!EM33+RawDataSources!EN33+RawDataSources!EO33+RawDataSources!EP33)/RawDataSources!EV33</f>
        <v>5.1401994596714327E-3</v>
      </c>
      <c r="I14" s="446">
        <f>(RawDataSources!ER33+RawDataSources!ES33+RawDataSources!ET33)/RawDataSources!EV33</f>
        <v>-1.8291162745640466E-2</v>
      </c>
      <c r="J14" s="457">
        <f>(RawDataSources!EF33+RawDataSources!EG33+RawDataSources!EH33+RawDataSources!EK33+RawDataSources!EL33+RawDataSources!EM33+RawDataSources!EN33+RawDataSources!EO33+RawDataSources!EP33+RawDataSources!ER33+RawDataSources!ES33+RawDataSources!ET33)/(RawDataSources!EW33+RawDataSources!EY33+RawDataSources!EZ33+RawDataSources!FA33+RawDataSources!FB33)</f>
        <v>-9.8735497707611291E-3</v>
      </c>
      <c r="K14" s="447">
        <f>RawDataSources!EF33/RawDataSources!EY33</f>
        <v>-4.3006818559787122E-2</v>
      </c>
      <c r="L14" s="447">
        <f>RawDataSources!EG33/RawDataSources!FB33</f>
        <v>0.1404173034492853</v>
      </c>
      <c r="M14" s="447">
        <f>(RawDataSources!EH33+RawDataSources!EK33+RawDataSources!EL33+RawDataSources!EM33+RawDataSources!EN33+RawDataSources!EO33+RawDataSources!EP33+RawDataSources!ER33+RawDataSources!ES33+RawDataSources!ET33)/(RawDataSources!EW33+RawDataSources!EZ33+RawDataSources!FA33)</f>
        <v>-6.0577952280362349E-2</v>
      </c>
      <c r="N14" s="448">
        <f>RawDataSources!EH33/RawDataSources!EW33</f>
        <v>-3.2189865080021106E-2</v>
      </c>
      <c r="O14" s="448">
        <f>(RawDataSources!EK33+RawDataSources!EL33+RawDataSources!EM33+RawDataSources!EN33+RawDataSources!EO33+RawDataSources!EP33)/RawDataSources!EZ33</f>
        <v>7.5665265295259798E-2</v>
      </c>
      <c r="P14" s="448">
        <f>(RawDataSources!ER33+RawDataSources!ES33+RawDataSources!ET33)/RawDataSources!FA33</f>
        <v>-0.49252967647476531</v>
      </c>
    </row>
    <row r="15" spans="1:18" ht="19.05" customHeight="1" x14ac:dyDescent="0.35">
      <c r="A15" s="440"/>
      <c r="B15" s="444">
        <v>1994</v>
      </c>
      <c r="C15" s="457">
        <f t="shared" si="0"/>
        <v>-4.6840507570952306E-3</v>
      </c>
      <c r="D15" s="445">
        <f>RawDataSources!EF34/RawDataSources!EV34</f>
        <v>-1.115486647144282E-2</v>
      </c>
      <c r="E15" s="445">
        <f>RawDataSources!EG34/RawDataSources!EV34</f>
        <v>2.5750400298520545E-2</v>
      </c>
      <c r="F15" s="445">
        <f t="shared" si="1"/>
        <v>-1.9279584584172955E-2</v>
      </c>
      <c r="G15" s="390">
        <f>RawDataSources!EH34/RawDataSources!EV34</f>
        <v>-7.0583613784792323E-3</v>
      </c>
      <c r="H15" s="390">
        <f>(RawDataSources!EK34+RawDataSources!EL34+RawDataSources!EM34+RawDataSources!EN34+RawDataSources!EO34+RawDataSources!EP34)/RawDataSources!EV34</f>
        <v>4.9544779342430793E-3</v>
      </c>
      <c r="I15" s="446">
        <f>(RawDataSources!ER34+RawDataSources!ES34+RawDataSources!ET34)/RawDataSources!EV34</f>
        <v>-1.7175701139936803E-2</v>
      </c>
      <c r="J15" s="457">
        <f>(RawDataSources!EF34+RawDataSources!EG34+RawDataSources!EH34+RawDataSources!EK34+RawDataSources!EL34+RawDataSources!EM34+RawDataSources!EN34+RawDataSources!EO34+RawDataSources!EP34+RawDataSources!ER34+RawDataSources!ES34+RawDataSources!ET34)/(RawDataSources!EW34+RawDataSources!EY34+RawDataSources!EZ34+RawDataSources!FA34+RawDataSources!FB34)</f>
        <v>-5.9993901047292065E-3</v>
      </c>
      <c r="K15" s="447">
        <f>RawDataSources!EF34/RawDataSources!EY34</f>
        <v>-4.2451888201408154E-2</v>
      </c>
      <c r="L15" s="447">
        <f>RawDataSources!EG34/RawDataSources!FB34</f>
        <v>0.14416720963668159</v>
      </c>
      <c r="M15" s="447">
        <f>(RawDataSources!EH34+RawDataSources!EK34+RawDataSources!EL34+RawDataSources!EM34+RawDataSources!EN34+RawDataSources!EO34+RawDataSources!EP34+RawDataSources!ER34+RawDataSources!ES34+RawDataSources!ET34)/(RawDataSources!EW34+RawDataSources!EZ34+RawDataSources!FA34)</f>
        <v>-5.6809128989425292E-2</v>
      </c>
      <c r="N15" s="448">
        <f>RawDataSources!EH34/RawDataSources!EW34</f>
        <v>-2.9966056381058811E-2</v>
      </c>
      <c r="O15" s="448">
        <f>(RawDataSources!EK34+RawDataSources!EL34+RawDataSources!EM34+RawDataSources!EN34+RawDataSources!EO34+RawDataSources!EP34)/RawDataSources!EZ34</f>
        <v>7.2328745627321153E-2</v>
      </c>
      <c r="P15" s="448">
        <f>(RawDataSources!ER34+RawDataSources!ES34+RawDataSources!ET34)/RawDataSources!FA34</f>
        <v>-0.4861491152848772</v>
      </c>
    </row>
    <row r="16" spans="1:18" ht="19.05" customHeight="1" x14ac:dyDescent="0.35">
      <c r="A16" s="440"/>
      <c r="B16" s="444">
        <v>1995</v>
      </c>
      <c r="C16" s="457">
        <f t="shared" si="0"/>
        <v>-9.3826797083610049E-3</v>
      </c>
      <c r="D16" s="445">
        <f>RawDataSources!EF35/RawDataSources!EV35</f>
        <v>-1.4488148897157037E-2</v>
      </c>
      <c r="E16" s="445">
        <f>RawDataSources!EG35/RawDataSources!EV35</f>
        <v>2.7534683890597468E-2</v>
      </c>
      <c r="F16" s="445">
        <f t="shared" si="1"/>
        <v>-2.2429214701801436E-2</v>
      </c>
      <c r="G16" s="390">
        <f>RawDataSources!EH35/RawDataSources!EV35</f>
        <v>-9.2991470089548375E-3</v>
      </c>
      <c r="H16" s="390">
        <f>(RawDataSources!EK35+RawDataSources!EL35+RawDataSources!EM35+RawDataSources!EN35+RawDataSources!EO35+RawDataSources!EP35)/RawDataSources!EV35</f>
        <v>3.5662318156065896E-3</v>
      </c>
      <c r="I16" s="446">
        <f>(RawDataSources!ER35+RawDataSources!ES35+RawDataSources!ET35)/RawDataSources!EV35</f>
        <v>-1.6696299508453187E-2</v>
      </c>
      <c r="J16" s="457">
        <f>(RawDataSources!EF35+RawDataSources!EG35+RawDataSources!EH35+RawDataSources!EK35+RawDataSources!EL35+RawDataSources!EM35+RawDataSources!EN35+RawDataSources!EO35+RawDataSources!EP35+RawDataSources!ER35+RawDataSources!ES35+RawDataSources!ET35)/(RawDataSources!EW35+RawDataSources!EY35+RawDataSources!EZ35+RawDataSources!FA35+RawDataSources!FB35)</f>
        <v>-1.2115497818097992E-2</v>
      </c>
      <c r="K16" s="447">
        <f>RawDataSources!EF35/RawDataSources!EY35</f>
        <v>-5.8455831397007871E-2</v>
      </c>
      <c r="L16" s="447">
        <f>RawDataSources!EG35/RawDataSources!FB35</f>
        <v>0.15530459041438707</v>
      </c>
      <c r="M16" s="447">
        <f>(RawDataSources!EH35+RawDataSources!EK35+RawDataSources!EL35+RawDataSources!EM35+RawDataSources!EN35+RawDataSources!EO35+RawDataSources!EP35+RawDataSources!ER35+RawDataSources!ES35+RawDataSources!ET35)/(RawDataSources!EW35+RawDataSources!EZ35+RawDataSources!FA35)</f>
        <v>-6.4213061046023506E-2</v>
      </c>
      <c r="N16" s="448">
        <f>RawDataSources!EH35/RawDataSources!EW35</f>
        <v>-3.791552123285763E-2</v>
      </c>
      <c r="O16" s="448">
        <f>(RawDataSources!EK35+RawDataSources!EL35+RawDataSources!EM35+RawDataSources!EN35+RawDataSources!EO35+RawDataSources!EP35)/RawDataSources!EZ35</f>
        <v>5.1287614643187096E-2</v>
      </c>
      <c r="P16" s="448">
        <f>(RawDataSources!ER35+RawDataSources!ES35+RawDataSources!ET35)/RawDataSources!FA35</f>
        <v>-0.48395016732439949</v>
      </c>
    </row>
    <row r="17" spans="1:18" ht="19.05" customHeight="1" x14ac:dyDescent="0.35">
      <c r="A17" s="440"/>
      <c r="B17" s="444">
        <v>1996</v>
      </c>
      <c r="C17" s="457">
        <f t="shared" si="0"/>
        <v>-7.31125559419025E-3</v>
      </c>
      <c r="D17" s="445">
        <f>RawDataSources!EF36/RawDataSources!EV36</f>
        <v>-1.5284913238261767E-2</v>
      </c>
      <c r="E17" s="445">
        <f>RawDataSources!EG36/RawDataSources!EV36</f>
        <v>2.9393775159325446E-2</v>
      </c>
      <c r="F17" s="445">
        <f t="shared" si="1"/>
        <v>-2.1420117515253929E-2</v>
      </c>
      <c r="G17" s="390">
        <f>RawDataSources!EH36/RawDataSources!EV36</f>
        <v>-6.6645894019693843E-3</v>
      </c>
      <c r="H17" s="390">
        <f>(RawDataSources!EK36+RawDataSources!EL36+RawDataSources!EM36+RawDataSources!EN36+RawDataSources!EO36+RawDataSources!EP36)/RawDataSources!EV36</f>
        <v>2.0734970023216959E-3</v>
      </c>
      <c r="I17" s="446">
        <f>(RawDataSources!ER36+RawDataSources!ES36+RawDataSources!ET36)/RawDataSources!EV36</f>
        <v>-1.6829025115606241E-2</v>
      </c>
      <c r="J17" s="457">
        <f>(RawDataSources!EF36+RawDataSources!EG36+RawDataSources!EH36+RawDataSources!EK36+RawDataSources!EL36+RawDataSources!EM36+RawDataSources!EN36+RawDataSources!EO36+RawDataSources!EP36+RawDataSources!ER36+RawDataSources!ES36+RawDataSources!ET36)/(RawDataSources!EW36+RawDataSources!EY36+RawDataSources!EZ36+RawDataSources!FA36+RawDataSources!FB36)</f>
        <v>-9.6229147670955362E-3</v>
      </c>
      <c r="K17" s="447">
        <f>RawDataSources!EF36/RawDataSources!EY36</f>
        <v>-5.9525173756086285E-2</v>
      </c>
      <c r="L17" s="447">
        <f>RawDataSources!EG36/RawDataSources!FB36</f>
        <v>0.19192619133371974</v>
      </c>
      <c r="M17" s="447">
        <f>(RawDataSources!EH36+RawDataSources!EK36+RawDataSources!EL36+RawDataSources!EM36+RawDataSources!EN36+RawDataSources!EO36+RawDataSources!EP36+RawDataSources!ER36+RawDataSources!ES36+RawDataSources!ET36)/(RawDataSources!EW36+RawDataSources!EZ36+RawDataSources!FA36)</f>
        <v>-6.1227719648685001E-2</v>
      </c>
      <c r="N17" s="448">
        <f>RawDataSources!EH36/RawDataSources!EW36</f>
        <v>-2.7426694483400526E-2</v>
      </c>
      <c r="O17" s="448">
        <f>(RawDataSources!EK36+RawDataSources!EL36+RawDataSources!EM36+RawDataSources!EN36+RawDataSources!EO36+RawDataSources!EP36)/RawDataSources!EZ36</f>
        <v>2.919846746835305E-2</v>
      </c>
      <c r="P17" s="448">
        <f>(RawDataSources!ER36+RawDataSources!ES36+RawDataSources!ET36)/RawDataSources!FA36</f>
        <v>-0.46965007393280467</v>
      </c>
    </row>
    <row r="18" spans="1:18" ht="19.05" customHeight="1" x14ac:dyDescent="0.35">
      <c r="A18" s="440"/>
      <c r="B18" s="444">
        <v>1997</v>
      </c>
      <c r="C18" s="457">
        <f t="shared" si="0"/>
        <v>-9.6400507383509679E-3</v>
      </c>
      <c r="D18" s="445">
        <f>RawDataSources!EF37/RawDataSources!EV37</f>
        <v>-2.6019420009682267E-2</v>
      </c>
      <c r="E18" s="445">
        <f>RawDataSources!EG37/RawDataSources!EV37</f>
        <v>3.1730387743865981E-2</v>
      </c>
      <c r="F18" s="445">
        <f t="shared" si="1"/>
        <v>-1.5351018472534683E-2</v>
      </c>
      <c r="G18" s="390">
        <f>RawDataSources!EH37/RawDataSources!EV37</f>
        <v>-2.2229418212753394E-3</v>
      </c>
      <c r="H18" s="390">
        <f>(RawDataSources!EK37+RawDataSources!EL37+RawDataSources!EM37+RawDataSources!EN37+RawDataSources!EO37+RawDataSources!EP37)/RawDataSources!EV37</f>
        <v>1.7852576156467852E-3</v>
      </c>
      <c r="I18" s="446">
        <f>(RawDataSources!ER37+RawDataSources!ES37+RawDataSources!ET37)/RawDataSources!EV37</f>
        <v>-1.4913334266906128E-2</v>
      </c>
      <c r="J18" s="457">
        <f>(RawDataSources!EF37+RawDataSources!EG37+RawDataSources!EH37+RawDataSources!EK37+RawDataSources!EL37+RawDataSources!EM37+RawDataSources!EN37+RawDataSources!EO37+RawDataSources!EP37+RawDataSources!ER37+RawDataSources!ES37+RawDataSources!ET37)/(RawDataSources!EW37+RawDataSources!EY37+RawDataSources!EZ37+RawDataSources!FA37+RawDataSources!FB37)</f>
        <v>-1.2876693778885843E-2</v>
      </c>
      <c r="K18" s="447">
        <f>RawDataSources!EF37/RawDataSources!EY37</f>
        <v>-9.4961166338523237E-2</v>
      </c>
      <c r="L18" s="447">
        <f>RawDataSources!EG37/RawDataSources!FB37</f>
        <v>0.22495678616431866</v>
      </c>
      <c r="M18" s="447">
        <f>(RawDataSources!EH37+RawDataSources!EK37+RawDataSources!EL37+RawDataSources!EM37+RawDataSources!EN37+RawDataSources!EO37+RawDataSources!EP37+RawDataSources!ER37+RawDataSources!ES37+RawDataSources!ET37)/(RawDataSources!EW37+RawDataSources!EZ37+RawDataSources!FA37)</f>
        <v>-4.6017395028134678E-2</v>
      </c>
      <c r="N18" s="448">
        <f>RawDataSources!EH37/RawDataSources!EW37</f>
        <v>-9.9852523154301265E-3</v>
      </c>
      <c r="O18" s="448">
        <f>(RawDataSources!EK37+RawDataSources!EL37+RawDataSources!EM37+RawDataSources!EN37+RawDataSources!EO37+RawDataSources!EP37)/RawDataSources!EZ37</f>
        <v>2.4376192126352742E-2</v>
      </c>
      <c r="P18" s="448">
        <f>(RawDataSources!ER37+RawDataSources!ES37+RawDataSources!ET37)/RawDataSources!FA37</f>
        <v>-0.39525006990906114</v>
      </c>
    </row>
    <row r="19" spans="1:18" ht="19.05" customHeight="1" x14ac:dyDescent="0.35">
      <c r="A19" s="440"/>
      <c r="B19" s="444">
        <v>1998</v>
      </c>
      <c r="C19" s="457">
        <f t="shared" si="0"/>
        <v>-2.0750816415221838E-2</v>
      </c>
      <c r="D19" s="445">
        <f>RawDataSources!EF38/RawDataSources!EV38</f>
        <v>-2.8539621021681828E-2</v>
      </c>
      <c r="E19" s="445">
        <f>RawDataSources!EG38/RawDataSources!EV38</f>
        <v>3.8332006457663076E-2</v>
      </c>
      <c r="F19" s="445">
        <f t="shared" si="1"/>
        <v>-3.0543201851203086E-2</v>
      </c>
      <c r="G19" s="390">
        <f>RawDataSources!EH38/RawDataSources!EV38</f>
        <v>-1.3057446087863816E-2</v>
      </c>
      <c r="H19" s="390">
        <f>(RawDataSources!EK38+RawDataSources!EL38+RawDataSources!EM38+RawDataSources!EN38+RawDataSources!EO38+RawDataSources!EP38)/RawDataSources!EV38</f>
        <v>-2.801095946930795E-3</v>
      </c>
      <c r="I19" s="446">
        <f>(RawDataSources!ER38+RawDataSources!ES38+RawDataSources!ET38)/RawDataSources!EV38</f>
        <v>-1.4684659816408475E-2</v>
      </c>
      <c r="J19" s="457">
        <f>(RawDataSources!EF38+RawDataSources!EG38+RawDataSources!EH38+RawDataSources!EK38+RawDataSources!EL38+RawDataSources!EM38+RawDataSources!EN38+RawDataSources!EO38+RawDataSources!EP38+RawDataSources!ER38+RawDataSources!ES38+RawDataSources!ET38)/(RawDataSources!EW38+RawDataSources!EY38+RawDataSources!EZ38+RawDataSources!FA38+RawDataSources!FB38)</f>
        <v>-2.726298515292945E-2</v>
      </c>
      <c r="K19" s="447">
        <f>RawDataSources!EF38/RawDataSources!EY38</f>
        <v>-9.8199633909163711E-2</v>
      </c>
      <c r="L19" s="447">
        <f>RawDataSources!EG38/RawDataSources!FB38</f>
        <v>0.29890388139384688</v>
      </c>
      <c r="M19" s="447">
        <f>(RawDataSources!EH38+RawDataSources!EK38+RawDataSources!EL38+RawDataSources!EM38+RawDataSources!EN38+RawDataSources!EO38+RawDataSources!EP38+RawDataSources!ER38+RawDataSources!ES38+RawDataSources!ET38)/(RawDataSources!EW38+RawDataSources!EZ38+RawDataSources!FA38)</f>
        <v>-8.9238552338664873E-2</v>
      </c>
      <c r="N19" s="448">
        <f>RawDataSources!EH38/RawDataSources!EW38</f>
        <v>-5.6878023476101373E-2</v>
      </c>
      <c r="O19" s="448">
        <f>(RawDataSources!EK38+RawDataSources!EL38+RawDataSources!EM38+RawDataSources!EN38+RawDataSources!EO38+RawDataSources!EP38)/RawDataSources!EZ38</f>
        <v>-3.636966626367058E-2</v>
      </c>
      <c r="P19" s="448">
        <f>(RawDataSources!ER38+RawDataSources!ES38+RawDataSources!ET38)/RawDataSources!FA38</f>
        <v>-0.41158845823852364</v>
      </c>
    </row>
    <row r="20" spans="1:18" ht="19.05" customHeight="1" x14ac:dyDescent="0.35">
      <c r="A20" s="440"/>
      <c r="B20" s="444">
        <v>1999</v>
      </c>
      <c r="C20" s="457">
        <f t="shared" si="0"/>
        <v>-2.5207531144196101E-2</v>
      </c>
      <c r="D20" s="445">
        <f>RawDataSources!EF39/RawDataSources!EV39</f>
        <v>-2.3428517064085722E-2</v>
      </c>
      <c r="E20" s="445">
        <f>RawDataSources!EG39/RawDataSources!EV39</f>
        <v>2.6570453302355482E-2</v>
      </c>
      <c r="F20" s="445">
        <f t="shared" si="1"/>
        <v>-2.8349467382465861E-2</v>
      </c>
      <c r="G20" s="390">
        <f>RawDataSources!EH39/RawDataSources!EV39</f>
        <v>-1.2688582533267686E-2</v>
      </c>
      <c r="H20" s="390">
        <f>(RawDataSources!EK39+RawDataSources!EL39+RawDataSources!EM39+RawDataSources!EN39+RawDataSources!EO39+RawDataSources!EP39)/RawDataSources!EV39</f>
        <v>-2.5109408898459575E-3</v>
      </c>
      <c r="I20" s="446">
        <f>(RawDataSources!ER39+RawDataSources!ES39+RawDataSources!ET39)/RawDataSources!EV39</f>
        <v>-1.314994395935222E-2</v>
      </c>
      <c r="J20" s="457">
        <f>(RawDataSources!EF39+RawDataSources!EG39+RawDataSources!EH39+RawDataSources!EK39+RawDataSources!EL39+RawDataSources!EM39+RawDataSources!EN39+RawDataSources!EO39+RawDataSources!EP39+RawDataSources!ER39+RawDataSources!ES39+RawDataSources!ET39)/(RawDataSources!EW39+RawDataSources!EY39+RawDataSources!EZ39+RawDataSources!FA39+RawDataSources!FB39)</f>
        <v>-3.2746363396441526E-2</v>
      </c>
      <c r="K20" s="447">
        <f>RawDataSources!EF39/RawDataSources!EY39</f>
        <v>-7.8601010644016769E-2</v>
      </c>
      <c r="L20" s="447">
        <f>RawDataSources!EG39/RawDataSources!FB39</f>
        <v>0.18978254090899579</v>
      </c>
      <c r="M20" s="447">
        <f>(RawDataSources!EH39+RawDataSources!EK39+RawDataSources!EL39+RawDataSources!EM39+RawDataSources!EN39+RawDataSources!EO39+RawDataSources!EP39+RawDataSources!ER39+RawDataSources!ES39+RawDataSources!ET39)/(RawDataSources!EW39+RawDataSources!EZ39+RawDataSources!FA39)</f>
        <v>-8.5465271344901186E-2</v>
      </c>
      <c r="N20" s="448">
        <f>RawDataSources!EH39/RawDataSources!EW39</f>
        <v>-5.7630049345891415E-2</v>
      </c>
      <c r="O20" s="448">
        <f>(RawDataSources!EK39+RawDataSources!EL39+RawDataSources!EM39+RawDataSources!EN39+RawDataSources!EO39+RawDataSources!EP39)/RawDataSources!EZ39</f>
        <v>-3.3041550218524514E-2</v>
      </c>
      <c r="P20" s="448">
        <f>(RawDataSources!ER39+RawDataSources!ES39+RawDataSources!ET39)/RawDataSources!FA39</f>
        <v>-0.36999376462508754</v>
      </c>
    </row>
    <row r="21" spans="1:18" ht="19.05" customHeight="1" x14ac:dyDescent="0.35">
      <c r="A21" s="440"/>
      <c r="B21" s="444">
        <v>2000</v>
      </c>
      <c r="C21" s="457">
        <f t="shared" si="0"/>
        <v>-2.8681059687305034E-2</v>
      </c>
      <c r="D21" s="445">
        <f>RawDataSources!EF40/RawDataSources!EV40</f>
        <v>-4.1509659164161911E-2</v>
      </c>
      <c r="E21" s="445">
        <f>RawDataSources!EG40/RawDataSources!EV40</f>
        <v>3.5949948306175025E-2</v>
      </c>
      <c r="F21" s="445">
        <f t="shared" si="1"/>
        <v>-2.3121348829318149E-2</v>
      </c>
      <c r="G21" s="390">
        <f>RawDataSources!EH40/RawDataSources!EV40</f>
        <v>-1.4272557044679024E-2</v>
      </c>
      <c r="H21" s="390">
        <f>(RawDataSources!EK40+RawDataSources!EL40+RawDataSources!EM40+RawDataSources!EN40+RawDataSources!EO40+RawDataSources!EP40)/RawDataSources!EV40</f>
        <v>1.9004334007052806E-3</v>
      </c>
      <c r="I21" s="446">
        <f>(RawDataSources!ER40+RawDataSources!ES40+RawDataSources!ET40)/RawDataSources!EV40</f>
        <v>-1.0749225185344406E-2</v>
      </c>
      <c r="J21" s="457">
        <f>(RawDataSources!EF40+RawDataSources!EG40+RawDataSources!EH40+RawDataSources!EK40+RawDataSources!EL40+RawDataSources!EM40+RawDataSources!EN40+RawDataSources!EO40+RawDataSources!EP40+RawDataSources!ER40+RawDataSources!ES40+RawDataSources!ET40)/(RawDataSources!EW40+RawDataSources!EY40+RawDataSources!EZ40+RawDataSources!FA40+RawDataSources!FB40)</f>
        <v>-3.7971255316477034E-2</v>
      </c>
      <c r="K21" s="447">
        <f>RawDataSources!EF40/RawDataSources!EY40</f>
        <v>-0.13506829110599264</v>
      </c>
      <c r="L21" s="447">
        <f>RawDataSources!EG40/RawDataSources!FB40</f>
        <v>0.24808787625854137</v>
      </c>
      <c r="M21" s="447">
        <f>(RawDataSources!EH40+RawDataSources!EK40+RawDataSources!EL40+RawDataSources!EM40+RawDataSources!EN40+RawDataSources!EO40+RawDataSources!EP40+RawDataSources!ER40+RawDataSources!ES40+RawDataSources!ET40)/(RawDataSources!EW40+RawDataSources!EZ40+RawDataSources!FA40)</f>
        <v>-7.6281779091307636E-2</v>
      </c>
      <c r="N21" s="448">
        <f>RawDataSources!EH40/RawDataSources!EW40</f>
        <v>-7.3462849114984283E-2</v>
      </c>
      <c r="O21" s="448">
        <f>(RawDataSources!EK40+RawDataSources!EL40+RawDataSources!EM40+RawDataSources!EN40+RawDataSources!EO40+RawDataSources!EP40)/RawDataSources!EZ40</f>
        <v>2.647792555527639E-2</v>
      </c>
      <c r="P21" s="448">
        <f>(RawDataSources!ER40+RawDataSources!ES40+RawDataSources!ET40)/RawDataSources!FA40</f>
        <v>-0.29014655245146698</v>
      </c>
    </row>
    <row r="22" spans="1:18" ht="19.05" customHeight="1" x14ac:dyDescent="0.35">
      <c r="A22" s="440"/>
      <c r="B22" s="444">
        <v>2001</v>
      </c>
      <c r="C22" s="457">
        <f t="shared" si="0"/>
        <v>-3.3323718532889561E-2</v>
      </c>
      <c r="D22" s="445">
        <f>RawDataSources!EF41/RawDataSources!EV41</f>
        <v>-5.857878490513193E-2</v>
      </c>
      <c r="E22" s="445">
        <f>RawDataSources!EG41/RawDataSources!EV41</f>
        <v>4.2490553515754079E-2</v>
      </c>
      <c r="F22" s="445">
        <f t="shared" si="1"/>
        <v>-1.723548714351171E-2</v>
      </c>
      <c r="G22" s="390">
        <f>RawDataSources!EH41/RawDataSources!EV41</f>
        <v>-1.0579549951302739E-2</v>
      </c>
      <c r="H22" s="390">
        <f>(RawDataSources!EK41+RawDataSources!EL41+RawDataSources!EM41+RawDataSources!EN41+RawDataSources!EO41+RawDataSources!EP41)/RawDataSources!EV41</f>
        <v>2.7725833585451679E-3</v>
      </c>
      <c r="I22" s="446">
        <f>(RawDataSources!ER41+RawDataSources!ES41+RawDataSources!ET41)/RawDataSources!EV41</f>
        <v>-9.4285205507541412E-3</v>
      </c>
      <c r="J22" s="457">
        <f>(RawDataSources!EF41+RawDataSources!EG41+RawDataSources!EH41+RawDataSources!EK41+RawDataSources!EL41+RawDataSources!EM41+RawDataSources!EN41+RawDataSources!EO41+RawDataSources!EP41+RawDataSources!ER41+RawDataSources!ES41+RawDataSources!ET41)/(RawDataSources!EW41+RawDataSources!EY41+RawDataSources!EZ41+RawDataSources!FA41+RawDataSources!FB41)</f>
        <v>-4.4231192024990054E-2</v>
      </c>
      <c r="K22" s="447">
        <f>RawDataSources!EF41/RawDataSources!EY41</f>
        <v>-0.1832177371285629</v>
      </c>
      <c r="L22" s="447">
        <f>RawDataSources!EG41/RawDataSources!FB41</f>
        <v>0.33208973370966249</v>
      </c>
      <c r="M22" s="447">
        <f>(RawDataSources!EH41+RawDataSources!EK41+RawDataSources!EL41+RawDataSources!EM41+RawDataSources!EN41+RawDataSources!EO41+RawDataSources!EP41+RawDataSources!ER41+RawDataSources!ES41+RawDataSources!ET41)/(RawDataSources!EW41+RawDataSources!EZ41+RawDataSources!FA41)</f>
        <v>-5.637535101085183E-2</v>
      </c>
      <c r="N22" s="448">
        <f>RawDataSources!EH41/RawDataSources!EW41</f>
        <v>-5.3372165935160677E-2</v>
      </c>
      <c r="O22" s="448">
        <f>(RawDataSources!EK41+RawDataSources!EL41+RawDataSources!EM41+RawDataSources!EN41+RawDataSources!EO41+RawDataSources!EP41)/RawDataSources!EZ41</f>
        <v>3.8710768748588753E-2</v>
      </c>
      <c r="P22" s="448">
        <f>(RawDataSources!ER41+RawDataSources!ES41+RawDataSources!ET41)/RawDataSources!FA41</f>
        <v>-0.26276409220006069</v>
      </c>
      <c r="R22" s="445">
        <f>'Table A3'!E10/RawDataSources!EV41</f>
        <v>7.9102530750153791E-2</v>
      </c>
    </row>
    <row r="23" spans="1:18" ht="19.05" customHeight="1" x14ac:dyDescent="0.35">
      <c r="A23" s="440"/>
      <c r="B23" s="444">
        <v>2002</v>
      </c>
      <c r="C23" s="457">
        <f t="shared" si="0"/>
        <v>-4.6363773264445726E-2</v>
      </c>
      <c r="D23" s="445">
        <f>RawDataSources!EF42/RawDataSources!EV42</f>
        <v>-6.144845204889212E-2</v>
      </c>
      <c r="E23" s="445">
        <f>RawDataSources!EG42/RawDataSources!EV42</f>
        <v>4.3941872328157654E-2</v>
      </c>
      <c r="F23" s="445">
        <f t="shared" si="1"/>
        <v>-2.885719354371126E-2</v>
      </c>
      <c r="G23" s="390">
        <f>RawDataSources!EH42/RawDataSources!EV42</f>
        <v>-2.198800938318821E-2</v>
      </c>
      <c r="H23" s="390">
        <f>(RawDataSources!EK42+RawDataSources!EL42+RawDataSources!EM42+RawDataSources!EN42+RawDataSources!EO42+RawDataSources!EP42)/RawDataSources!EV42</f>
        <v>4.9359538670903187E-3</v>
      </c>
      <c r="I23" s="446">
        <f>(RawDataSources!ER42+RawDataSources!ES42+RawDataSources!ET42)/RawDataSources!EV42</f>
        <v>-1.1805138027613371E-2</v>
      </c>
      <c r="J23" s="457">
        <f>(RawDataSources!EF42+RawDataSources!EG42+RawDataSources!EH42+RawDataSources!EK42+RawDataSources!EL42+RawDataSources!EM42+RawDataSources!EN42+RawDataSources!EO42+RawDataSources!EP42+RawDataSources!ER42+RawDataSources!ES42+RawDataSources!ET42)/(RawDataSources!EW42+RawDataSources!EY42+RawDataSources!EZ42+RawDataSources!FA42+RawDataSources!FB42)</f>
        <v>-6.138972783756684E-2</v>
      </c>
      <c r="K23" s="447">
        <f>RawDataSources!EF42/RawDataSources!EY42</f>
        <v>-0.19306821400917829</v>
      </c>
      <c r="L23" s="447">
        <f>RawDataSources!EG42/RawDataSources!FB42</f>
        <v>0.37314788021743095</v>
      </c>
      <c r="M23" s="447">
        <f>(RawDataSources!EH42+RawDataSources!EK42+RawDataSources!EL42+RawDataSources!EM42+RawDataSources!EN42+RawDataSources!EO42+RawDataSources!EP42+RawDataSources!ER42+RawDataSources!ES42+RawDataSources!ET42)/(RawDataSources!EW42+RawDataSources!EZ42+RawDataSources!FA42)</f>
        <v>-9.040376401440478E-2</v>
      </c>
      <c r="N23" s="448">
        <f>RawDataSources!EH42/RawDataSources!EW42</f>
        <v>-0.10591586789548962</v>
      </c>
      <c r="O23" s="448">
        <f>(RawDataSources!EK42+RawDataSources!EL42+RawDataSources!EM42+RawDataSources!EN42+RawDataSources!EO42+RawDataSources!EP42)/RawDataSources!EZ42</f>
        <v>6.5268484021858905E-2</v>
      </c>
      <c r="P23" s="448">
        <f>(RawDataSources!ER42+RawDataSources!ES42+RawDataSources!ET42)/RawDataSources!FA42</f>
        <v>-0.32810961241356418</v>
      </c>
      <c r="R23" s="445">
        <f>'Table A3'!E11/RawDataSources!EV42</f>
        <v>7.1888548512927031E-2</v>
      </c>
    </row>
    <row r="24" spans="1:18" ht="19.05" customHeight="1" x14ac:dyDescent="0.35">
      <c r="A24" s="440"/>
      <c r="B24" s="444">
        <v>2003</v>
      </c>
      <c r="C24" s="457">
        <f t="shared" si="0"/>
        <v>-4.6044749458654527E-2</v>
      </c>
      <c r="D24" s="445">
        <f>RawDataSources!EF43/RawDataSources!EV43</f>
        <v>-5.5912998219960527E-2</v>
      </c>
      <c r="E24" s="445">
        <f>RawDataSources!EG43/RawDataSources!EV43</f>
        <v>4.3090182558137499E-2</v>
      </c>
      <c r="F24" s="445">
        <f t="shared" si="1"/>
        <v>-3.3221933796831499E-2</v>
      </c>
      <c r="G24" s="390">
        <f>RawDataSources!EH43/RawDataSources!EV43</f>
        <v>-2.5860667547515495E-2</v>
      </c>
      <c r="H24" s="390">
        <f>(RawDataSources!EK43+RawDataSources!EL43+RawDataSources!EM43+RawDataSources!EN43+RawDataSources!EO43+RawDataSources!EP43)/RawDataSources!EV43</f>
        <v>6.681868718321219E-3</v>
      </c>
      <c r="I24" s="446">
        <f>(RawDataSources!ER43+RawDataSources!ES43+RawDataSources!ET43)/RawDataSources!EV43</f>
        <v>-1.4043134967637219E-2</v>
      </c>
      <c r="J24" s="457">
        <f>(RawDataSources!EF43+RawDataSources!EG43+RawDataSources!EH43+RawDataSources!EK43+RawDataSources!EL43+RawDataSources!EM43+RawDataSources!EN43+RawDataSources!EO43+RawDataSources!EP43+RawDataSources!ER43+RawDataSources!ES43+RawDataSources!ET43)/(RawDataSources!EW43+RawDataSources!EY43+RawDataSources!EZ43+RawDataSources!FA43+RawDataSources!FB43)</f>
        <v>-6.1093303460301666E-2</v>
      </c>
      <c r="K24" s="447">
        <f>RawDataSources!EF43/RawDataSources!EY43</f>
        <v>-0.18881380081520757</v>
      </c>
      <c r="L24" s="447">
        <f>RawDataSources!EG43/RawDataSources!FB43</f>
        <v>0.38155036441349049</v>
      </c>
      <c r="M24" s="447">
        <f>(RawDataSources!EH43+RawDataSources!EK43+RawDataSources!EL43+RawDataSources!EM43+RawDataSources!EN43+RawDataSources!EO43+RawDataSources!EP43+RawDataSources!ER43+RawDataSources!ES43+RawDataSources!ET43)/(RawDataSources!EW43+RawDataSources!EZ43+RawDataSources!FA43)</f>
        <v>-9.6402482934033445E-2</v>
      </c>
      <c r="N24" s="448">
        <f>RawDataSources!EH43/RawDataSources!EW43</f>
        <v>-0.11346580935352599</v>
      </c>
      <c r="O24" s="448">
        <f>(RawDataSources!EK43+RawDataSources!EL43+RawDataSources!EM43+RawDataSources!EN43+RawDataSources!EO43+RawDataSources!EP43)/RawDataSources!EZ43</f>
        <v>8.4840970668381616E-2</v>
      </c>
      <c r="P24" s="448">
        <f>(RawDataSources!ER43+RawDataSources!ES43+RawDataSources!ET43)/RawDataSources!FA43</f>
        <v>-0.37010672344141288</v>
      </c>
      <c r="R24" s="445">
        <f>'Table A3'!E12/RawDataSources!EV43</f>
        <v>7.6311969037810554E-2</v>
      </c>
    </row>
    <row r="25" spans="1:18" ht="19.05" customHeight="1" x14ac:dyDescent="0.35">
      <c r="A25" s="440"/>
      <c r="B25" s="444">
        <v>2004</v>
      </c>
      <c r="C25" s="457">
        <f t="shared" si="0"/>
        <v>-5.1009306450847731E-2</v>
      </c>
      <c r="D25" s="445">
        <f>RawDataSources!EF44/RawDataSources!EV44</f>
        <v>-5.3393875083014776E-2</v>
      </c>
      <c r="E25" s="445">
        <f>RawDataSources!EG44/RawDataSources!EV44</f>
        <v>4.2289229790249988E-2</v>
      </c>
      <c r="F25" s="445">
        <f t="shared" si="1"/>
        <v>-3.9904661158082944E-2</v>
      </c>
      <c r="G25" s="390">
        <f>RawDataSources!EH44/RawDataSources!EV44</f>
        <v>-2.7596267367347275E-2</v>
      </c>
      <c r="H25" s="390">
        <f>(RawDataSources!EK44+RawDataSources!EL44+RawDataSources!EM44+RawDataSources!EN44+RawDataSources!EO44+RawDataSources!EP44)/RawDataSources!EV44</f>
        <v>1.9966818781889752E-3</v>
      </c>
      <c r="I25" s="446">
        <f>(RawDataSources!ER44+RawDataSources!ES44+RawDataSources!ET44)/RawDataSources!EV44</f>
        <v>-1.4305075668924644E-2</v>
      </c>
      <c r="J25" s="457">
        <f>(RawDataSources!EF44+RawDataSources!EG44+RawDataSources!EH44+RawDataSources!EK44+RawDataSources!EL44+RawDataSources!EM44+RawDataSources!EN44+RawDataSources!EO44+RawDataSources!EP44+RawDataSources!ER44+RawDataSources!ES44+RawDataSources!ET44)/(RawDataSources!EW44+RawDataSources!EY44+RawDataSources!EZ44+RawDataSources!FA44+RawDataSources!FB44)</f>
        <v>-6.8666758720105026E-2</v>
      </c>
      <c r="K25" s="447">
        <f>RawDataSources!EF44/RawDataSources!EY44</f>
        <v>-0.19073558917399661</v>
      </c>
      <c r="L25" s="447">
        <f>RawDataSources!EG44/RawDataSources!FB44</f>
        <v>0.38742537537858457</v>
      </c>
      <c r="M25" s="447">
        <f>(RawDataSources!EH44+RawDataSources!EK44+RawDataSources!EL44+RawDataSources!EM44+RawDataSources!EN44+RawDataSources!EO44+RawDataSources!EP44+RawDataSources!ER44+RawDataSources!ES44+RawDataSources!ET44)/(RawDataSources!EW44+RawDataSources!EZ44+RawDataSources!FA44)</f>
        <v>-0.11280091722569618</v>
      </c>
      <c r="N25" s="448">
        <f>RawDataSources!EH44/RawDataSources!EW44</f>
        <v>-0.11914318861016952</v>
      </c>
      <c r="O25" s="448">
        <f>(RawDataSources!EK44+RawDataSources!EL44+RawDataSources!EM44+RawDataSources!EN44+RawDataSources!EO44+RawDataSources!EP44)/RawDataSources!EZ44</f>
        <v>2.4462815633724121E-2</v>
      </c>
      <c r="P25" s="448">
        <f>(RawDataSources!ER44+RawDataSources!ES44+RawDataSources!ET44)/RawDataSources!FA44</f>
        <v>-0.35305440528033921</v>
      </c>
      <c r="R25" s="445">
        <f>'Table A3'!E13/RawDataSources!EV44</f>
        <v>7.8585623735660901E-2</v>
      </c>
    </row>
    <row r="26" spans="1:18" ht="19.05" customHeight="1" x14ac:dyDescent="0.35">
      <c r="A26" s="440"/>
      <c r="B26" s="444">
        <v>2005</v>
      </c>
      <c r="C26" s="457">
        <f t="shared" si="0"/>
        <v>-3.687045790607852E-2</v>
      </c>
      <c r="D26" s="445">
        <f>RawDataSources!EF45/RawDataSources!EV45</f>
        <v>-4.234310569905559E-2</v>
      </c>
      <c r="E26" s="445">
        <f>RawDataSources!EG45/RawDataSources!EV45</f>
        <v>3.3568061629098422E-2</v>
      </c>
      <c r="F26" s="445">
        <f t="shared" si="1"/>
        <v>-2.8095413836121352E-2</v>
      </c>
      <c r="G26" s="390">
        <f>RawDataSources!EH45/RawDataSources!EV45</f>
        <v>-1.8500629389926342E-2</v>
      </c>
      <c r="H26" s="390">
        <f>(RawDataSources!EK45+RawDataSources!EL45+RawDataSources!EM45+RawDataSources!EN45+RawDataSources!EO45+RawDataSources!EP45)/RawDataSources!EV45</f>
        <v>2.8611837859423622E-3</v>
      </c>
      <c r="I26" s="446">
        <f>(RawDataSources!ER45+RawDataSources!ES45+RawDataSources!ET45)/RawDataSources!EV45</f>
        <v>-1.2455968232137371E-2</v>
      </c>
      <c r="J26" s="457">
        <f>(RawDataSources!EF45+RawDataSources!EG45+RawDataSources!EH45+RawDataSources!EK45+RawDataSources!EL45+RawDataSources!EM45+RawDataSources!EN45+RawDataSources!EO45+RawDataSources!EP45+RawDataSources!ER45+RawDataSources!ES45+RawDataSources!ET45)/(RawDataSources!EW45+RawDataSources!EY45+RawDataSources!EZ45+RawDataSources!FA45+RawDataSources!FB45)</f>
        <v>-5.1259760324529176E-2</v>
      </c>
      <c r="K26" s="447">
        <f>RawDataSources!EF45/RawDataSources!EY45</f>
        <v>-0.15359261349634729</v>
      </c>
      <c r="L26" s="447">
        <f>RawDataSources!EG45/RawDataSources!FB45</f>
        <v>0.33648275997965144</v>
      </c>
      <c r="M26" s="447">
        <f>(RawDataSources!EH45+RawDataSources!EK45+RawDataSources!EL45+RawDataSources!EM45+RawDataSources!EN45+RawDataSources!EO45+RawDataSources!EP45+RawDataSources!ER45+RawDataSources!ES45+RawDataSources!ET45)/(RawDataSources!EW45+RawDataSources!EZ45+RawDataSources!FA45)</f>
        <v>-8.171061118541656E-2</v>
      </c>
      <c r="N26" s="448">
        <f>RawDataSources!EH45/RawDataSources!EW45</f>
        <v>-8.3174047673850615E-2</v>
      </c>
      <c r="O26" s="448">
        <f>(RawDataSources!EK45+RawDataSources!EL45+RawDataSources!EM45+RawDataSources!EN45+RawDataSources!EO45+RawDataSources!EP45)/RawDataSources!EZ45</f>
        <v>3.6274598697101632E-2</v>
      </c>
      <c r="P26" s="448">
        <f>(RawDataSources!ER45+RawDataSources!ES45+RawDataSources!ET45)/RawDataSources!FA45</f>
        <v>-0.29286071623526522</v>
      </c>
      <c r="R26" s="445">
        <f>'Table A3'!E14/RawDataSources!EV45</f>
        <v>8.0551710839556978E-2</v>
      </c>
    </row>
    <row r="27" spans="1:18" ht="19.05" customHeight="1" x14ac:dyDescent="0.35">
      <c r="A27" s="440"/>
      <c r="B27" s="444">
        <v>2006</v>
      </c>
      <c r="C27" s="457">
        <f t="shared" si="0"/>
        <v>-4.7707235515848156E-2</v>
      </c>
      <c r="D27" s="445">
        <f>RawDataSources!EF46/RawDataSources!EV46</f>
        <v>-4.4311646249515078E-2</v>
      </c>
      <c r="E27" s="445">
        <f>RawDataSources!EG46/RawDataSources!EV46</f>
        <v>3.6558106311125306E-2</v>
      </c>
      <c r="F27" s="445">
        <f t="shared" si="1"/>
        <v>-3.9953695577458384E-2</v>
      </c>
      <c r="G27" s="390">
        <f>RawDataSources!EH46/RawDataSources!EV46</f>
        <v>-2.7026913376212429E-2</v>
      </c>
      <c r="H27" s="390">
        <f>(RawDataSources!EK46+RawDataSources!EL46+RawDataSources!EM46+RawDataSources!EN46+RawDataSources!EO46+RawDataSources!EP46)/RawDataSources!EV46</f>
        <v>-2.1159452530970153E-3</v>
      </c>
      <c r="I27" s="446">
        <f>(RawDataSources!ER46+RawDataSources!ES46+RawDataSources!ET46)/RawDataSources!EV46</f>
        <v>-1.0810836948148935E-2</v>
      </c>
      <c r="J27" s="457">
        <f>(RawDataSources!EF46+RawDataSources!EG46+RawDataSources!EH46+RawDataSources!EK46+RawDataSources!EL46+RawDataSources!EM46+RawDataSources!EN46+RawDataSources!EO46+RawDataSources!EP46+RawDataSources!ER46+RawDataSources!ES46+RawDataSources!ET46)/(RawDataSources!EW46+RawDataSources!EY46+RawDataSources!EZ46+RawDataSources!FA46+RawDataSources!FB46)</f>
        <v>-6.8499178996061921E-2</v>
      </c>
      <c r="K27" s="447">
        <f>RawDataSources!EF46/RawDataSources!EY46</f>
        <v>-0.1643386421919287</v>
      </c>
      <c r="L27" s="447">
        <f>RawDataSources!EG46/RawDataSources!FB46</f>
        <v>0.41447013990427317</v>
      </c>
      <c r="M27" s="447">
        <f>(RawDataSources!EH46+RawDataSources!EK46+RawDataSources!EL46+RawDataSources!EM46+RawDataSources!EN46+RawDataSources!EO46+RawDataSources!EP46+RawDataSources!ER46+RawDataSources!ES46+RawDataSources!ET46)/(RawDataSources!EW46+RawDataSources!EZ46+RawDataSources!FA46)</f>
        <v>-0.11798847782983372</v>
      </c>
      <c r="N27" s="448">
        <f>RawDataSources!EH46/RawDataSources!EW46</f>
        <v>-0.12432184558335531</v>
      </c>
      <c r="O27" s="448">
        <f>(RawDataSources!EK46+RawDataSources!EL46+RawDataSources!EM46+RawDataSources!EN46+RawDataSources!EO46+RawDataSources!EP46)/RawDataSources!EZ46</f>
        <v>-2.7130212796856859E-2</v>
      </c>
      <c r="P27" s="448">
        <f>(RawDataSources!ER46+RawDataSources!ES46+RawDataSources!ET46)/RawDataSources!FA46</f>
        <v>-0.25003802750459103</v>
      </c>
      <c r="R27" s="445">
        <f>'Table A3'!E15/RawDataSources!EV46</f>
        <v>7.6021126287704702E-2</v>
      </c>
    </row>
    <row r="28" spans="1:18" ht="19.05" customHeight="1" x14ac:dyDescent="0.35">
      <c r="A28" s="440"/>
      <c r="B28" s="444">
        <v>2007</v>
      </c>
      <c r="C28" s="457">
        <f t="shared" si="0"/>
        <v>-3.4915171648089778E-2</v>
      </c>
      <c r="D28" s="445">
        <f>RawDataSources!EF47/RawDataSources!EV47</f>
        <v>-3.2155761410362499E-2</v>
      </c>
      <c r="E28" s="445">
        <f>RawDataSources!EG47/RawDataSources!EV47</f>
        <v>3.929797393827008E-2</v>
      </c>
      <c r="F28" s="445">
        <f t="shared" si="1"/>
        <v>-4.2057384175997359E-2</v>
      </c>
      <c r="G28" s="390">
        <f>RawDataSources!EH47/RawDataSources!EV47</f>
        <v>-3.3335538335834532E-2</v>
      </c>
      <c r="H28" s="390">
        <f>(RawDataSources!EK47+RawDataSources!EL47+RawDataSources!EM47+RawDataSources!EN47+RawDataSources!EO47+RawDataSources!EP47)/RawDataSources!EV47</f>
        <v>3.9762119061420393E-3</v>
      </c>
      <c r="I28" s="446">
        <f>(RawDataSources!ER47+RawDataSources!ES47+RawDataSources!ET47)/RawDataSources!EV47</f>
        <v>-1.2698057746304867E-2</v>
      </c>
      <c r="J28" s="457">
        <f>(RawDataSources!EF47+RawDataSources!EG47+RawDataSources!EH47+RawDataSources!EK47+RawDataSources!EL47+RawDataSources!EM47+RawDataSources!EN47+RawDataSources!EO47+RawDataSources!EP47+RawDataSources!ER47+RawDataSources!ES47+RawDataSources!ET47)/(RawDataSources!EW47+RawDataSources!EY47+RawDataSources!EZ47+RawDataSources!FA47+RawDataSources!FB47)</f>
        <v>-5.1835506200033916E-2</v>
      </c>
      <c r="K28" s="447">
        <f>RawDataSources!EF47/RawDataSources!EY47</f>
        <v>-0.1277222688418268</v>
      </c>
      <c r="L28" s="447">
        <f>RawDataSources!EG47/RawDataSources!FB47</f>
        <v>0.50135888634393311</v>
      </c>
      <c r="M28" s="447">
        <f>(RawDataSources!EH47+RawDataSources!EK47+RawDataSources!EL47+RawDataSources!EM47+RawDataSources!EN47+RawDataSources!EO47+RawDataSources!EP47+RawDataSources!ER47+RawDataSources!ES47+RawDataSources!ET47)/(RawDataSources!EW47+RawDataSources!EZ47+RawDataSources!FA47)</f>
        <v>-0.12246265404387652</v>
      </c>
      <c r="N28" s="448">
        <f>RawDataSources!EH47/RawDataSources!EW47</f>
        <v>-0.15078358789105828</v>
      </c>
      <c r="O28" s="448">
        <f>(RawDataSources!EK47+RawDataSources!EL47+RawDataSources!EM47+RawDataSources!EN47+RawDataSources!EO47+RawDataSources!EP47)/RawDataSources!EZ47</f>
        <v>5.0309620184468037E-2</v>
      </c>
      <c r="P28" s="448">
        <f>(RawDataSources!ER47+RawDataSources!ES47+RawDataSources!ET47)/RawDataSources!FA47</f>
        <v>-0.29316658845342763</v>
      </c>
      <c r="R28" s="445">
        <f>'Table A3'!E16/RawDataSources!EV47</f>
        <v>9.1871500388364752E-2</v>
      </c>
    </row>
    <row r="29" spans="1:18" ht="19.05" customHeight="1" x14ac:dyDescent="0.35">
      <c r="A29" s="440"/>
      <c r="B29" s="444">
        <v>2008</v>
      </c>
      <c r="C29" s="457">
        <f t="shared" si="0"/>
        <v>-5.0350239166858546E-2</v>
      </c>
      <c r="D29" s="445">
        <f>RawDataSources!EF48/RawDataSources!EV48</f>
        <v>-5.3114676485869775E-2</v>
      </c>
      <c r="E29" s="445">
        <f>RawDataSources!EG48/RawDataSources!EV48</f>
        <v>4.0484726714061524E-2</v>
      </c>
      <c r="F29" s="445">
        <f t="shared" si="1"/>
        <v>-3.7720289395050295E-2</v>
      </c>
      <c r="G29" s="390">
        <f>RawDataSources!EH48/RawDataSources!EV48</f>
        <v>-3.7197450113299592E-2</v>
      </c>
      <c r="H29" s="390">
        <f>(RawDataSources!EK48+RawDataSources!EL48+RawDataSources!EM48+RawDataSources!EN48+RawDataSources!EO48+RawDataSources!EP48)/RawDataSources!EV48</f>
        <v>9.0752742447116098E-3</v>
      </c>
      <c r="I29" s="446">
        <f>(RawDataSources!ER48+RawDataSources!ES48+RawDataSources!ET48)/RawDataSources!EV48</f>
        <v>-9.5981135264623114E-3</v>
      </c>
      <c r="J29" s="457">
        <f>(RawDataSources!EF48+RawDataSources!EG48+RawDataSources!EH48+RawDataSources!EK48+RawDataSources!EL48+RawDataSources!EM48+RawDataSources!EN48+RawDataSources!EO48+RawDataSources!EP48+RawDataSources!ER48+RawDataSources!ES48+RawDataSources!ET48)/(RawDataSources!EW48+RawDataSources!EY48+RawDataSources!EZ48+RawDataSources!FA48+RawDataSources!FB48)</f>
        <v>-7.7398198381383981E-2</v>
      </c>
      <c r="K29" s="447">
        <f>RawDataSources!EF48/RawDataSources!EY48</f>
        <v>-0.22688672220250397</v>
      </c>
      <c r="L29" s="447">
        <f>RawDataSources!EG48/RawDataSources!FB48</f>
        <v>0.50848250869291456</v>
      </c>
      <c r="M29" s="447">
        <f>(RawDataSources!EH48+RawDataSources!EK48+RawDataSources!EL48+RawDataSources!EM48+RawDataSources!EN48+RawDataSources!EO48+RawDataSources!EP48+RawDataSources!ER48+RawDataSources!ES48+RawDataSources!ET48)/(RawDataSources!EW48+RawDataSources!EZ48+RawDataSources!FA48)</f>
        <v>-0.11199141125165669</v>
      </c>
      <c r="N29" s="448">
        <f>RawDataSources!EH48/RawDataSources!EW48</f>
        <v>-0.16842488938679212</v>
      </c>
      <c r="O29" s="448">
        <f>(RawDataSources!EK48+RawDataSources!EL48+RawDataSources!EM48+RawDataSources!EN48+RawDataSources!EO48+RawDataSources!EP48)/RawDataSources!EZ48</f>
        <v>0.12486263162343614</v>
      </c>
      <c r="P29" s="448">
        <f>(RawDataSources!ER48+RawDataSources!ES48+RawDataSources!ET48)/RawDataSources!FA48</f>
        <v>-0.22178206535217063</v>
      </c>
      <c r="R29" s="445">
        <f>'Table A3'!E17/RawDataSources!EV48</f>
        <v>7.3150965586511491E-2</v>
      </c>
    </row>
    <row r="30" spans="1:18" ht="43.05" customHeight="1" thickBot="1" x14ac:dyDescent="0.35">
      <c r="B30" s="449" t="s">
        <v>788</v>
      </c>
      <c r="C30" s="458">
        <f t="shared" ref="C30:P30" si="2">AVERAGE(C22:C29)</f>
        <v>-4.3323081492964065E-2</v>
      </c>
      <c r="D30" s="450">
        <f t="shared" si="2"/>
        <v>-5.0157412512725277E-2</v>
      </c>
      <c r="E30" s="450">
        <f t="shared" si="2"/>
        <v>4.021508834810681E-2</v>
      </c>
      <c r="F30" s="450">
        <f t="shared" si="2"/>
        <v>-3.3380757328345598E-2</v>
      </c>
      <c r="G30" s="450">
        <f t="shared" si="2"/>
        <v>-2.5260628183078324E-2</v>
      </c>
      <c r="H30" s="450">
        <f t="shared" si="2"/>
        <v>3.7729765632305849E-3</v>
      </c>
      <c r="I30" s="451">
        <f t="shared" si="2"/>
        <v>-1.1893105708497857E-2</v>
      </c>
      <c r="J30" s="458">
        <f t="shared" si="2"/>
        <v>-6.0546703243121572E-2</v>
      </c>
      <c r="K30" s="450">
        <f t="shared" si="2"/>
        <v>-0.17854694848244401</v>
      </c>
      <c r="L30" s="450">
        <f t="shared" si="2"/>
        <v>0.40437595607999255</v>
      </c>
      <c r="M30" s="450">
        <f t="shared" si="2"/>
        <v>-9.8766958686971218E-2</v>
      </c>
      <c r="N30" s="452">
        <f t="shared" si="2"/>
        <v>-0.11482517529117527</v>
      </c>
      <c r="O30" s="452">
        <f t="shared" si="2"/>
        <v>4.9699959597587794E-2</v>
      </c>
      <c r="P30" s="452">
        <f t="shared" si="2"/>
        <v>-0.29648527886010395</v>
      </c>
      <c r="R30" s="445">
        <f>AVERAGE(R22:R29)</f>
        <v>7.8435496892336268E-2</v>
      </c>
    </row>
    <row r="31" spans="1:18" ht="13.8" thickTop="1" x14ac:dyDescent="0.25">
      <c r="K31" s="437"/>
      <c r="L31" s="437"/>
      <c r="M31" s="437"/>
    </row>
  </sheetData>
  <mergeCells count="4">
    <mergeCell ref="C4:I4"/>
    <mergeCell ref="B2:P2"/>
    <mergeCell ref="J4:P4"/>
    <mergeCell ref="R4:R5"/>
  </mergeCells>
  <phoneticPr fontId="13" type="noConversion"/>
  <pageMargins left="0.75000000000000011" right="0.75000000000000011" top="1" bottom="1" header="0.5" footer="0.5"/>
  <pageSetup paperSize="9" scale="64" orientation="landscape" horizontalDpi="4294967292" verticalDpi="4294967292"/>
  <extLst>
    <ext xmlns:mx="http://schemas.microsoft.com/office/mac/excel/2008/main" uri="{64002731-A6B0-56B0-2670-7721B7C09600}">
      <mx:PLV Mode="0" OnePage="0" WScale="100"/>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B1:O59"/>
  <sheetViews>
    <sheetView zoomScale="50" zoomScaleNormal="50" zoomScalePageLayoutView="50" workbookViewId="0">
      <selection activeCell="D55" sqref="D55"/>
    </sheetView>
  </sheetViews>
  <sheetFormatPr baseColWidth="10" defaultColWidth="10.7265625" defaultRowHeight="15" x14ac:dyDescent="0.25"/>
  <cols>
    <col min="1" max="1" width="10.7265625" style="489"/>
    <col min="2" max="2" width="48.7265625" style="489" customWidth="1"/>
    <col min="3" max="7" width="22" style="489" customWidth="1"/>
    <col min="8" max="8" width="16.26953125" style="489" customWidth="1"/>
    <col min="9" max="9" width="10.7265625" style="489"/>
    <col min="10" max="11" width="18" style="489" bestFit="1" customWidth="1"/>
    <col min="12" max="16384" width="10.7265625" style="489"/>
  </cols>
  <sheetData>
    <row r="1" spans="2:15" ht="58.05" customHeight="1" x14ac:dyDescent="0.25">
      <c r="J1" s="492"/>
      <c r="K1" s="491"/>
      <c r="L1" s="490"/>
      <c r="M1" s="490"/>
      <c r="N1" s="490"/>
    </row>
    <row r="2" spans="2:15" ht="48" customHeight="1" x14ac:dyDescent="0.5">
      <c r="B2" s="820" t="s">
        <v>873</v>
      </c>
      <c r="C2" s="820"/>
      <c r="D2" s="820"/>
      <c r="E2" s="820"/>
      <c r="F2" s="820"/>
      <c r="G2" s="820"/>
      <c r="H2" s="497"/>
      <c r="I2" s="497"/>
      <c r="J2" s="497"/>
      <c r="K2" s="497"/>
    </row>
    <row r="3" spans="2:15" ht="36" customHeight="1" thickBot="1" x14ac:dyDescent="0.3">
      <c r="B3" s="588"/>
      <c r="C3" s="588"/>
      <c r="D3" s="588"/>
      <c r="E3" s="588"/>
      <c r="F3" s="588"/>
      <c r="G3" s="588"/>
    </row>
    <row r="4" spans="2:15" ht="78" customHeight="1" thickTop="1" x14ac:dyDescent="0.5">
      <c r="B4" s="498"/>
      <c r="C4" s="587"/>
      <c r="D4" s="825" t="s">
        <v>823</v>
      </c>
      <c r="E4" s="825"/>
      <c r="F4" s="825"/>
      <c r="G4" s="825"/>
      <c r="J4" s="494"/>
      <c r="K4" s="823"/>
      <c r="L4" s="823"/>
      <c r="M4" s="823"/>
    </row>
    <row r="5" spans="2:15" ht="30" customHeight="1" x14ac:dyDescent="0.45">
      <c r="B5" s="498"/>
      <c r="C5" s="500"/>
      <c r="D5" s="819">
        <v>2001</v>
      </c>
      <c r="E5" s="819"/>
      <c r="F5" s="819"/>
      <c r="G5" s="819"/>
    </row>
    <row r="6" spans="2:15" ht="30" customHeight="1" x14ac:dyDescent="0.5">
      <c r="B6" s="498"/>
      <c r="C6" s="501"/>
      <c r="D6" s="502">
        <v>0</v>
      </c>
      <c r="E6" s="502">
        <v>0.25</v>
      </c>
      <c r="F6" s="502">
        <v>0.5</v>
      </c>
      <c r="G6" s="502">
        <v>0.75</v>
      </c>
      <c r="J6" s="495"/>
      <c r="K6" s="495"/>
      <c r="L6" s="495"/>
      <c r="M6" s="495"/>
    </row>
    <row r="7" spans="2:15" ht="30" customHeight="1" x14ac:dyDescent="0.5">
      <c r="B7" s="821" t="s">
        <v>822</v>
      </c>
      <c r="C7" s="503">
        <v>0</v>
      </c>
      <c r="D7" s="504">
        <f t="shared" ref="D7:G10" si="0">$L$10+$C7*$M$10+D$6*$N$10</f>
        <v>-5.3372165935160677E-2</v>
      </c>
      <c r="E7" s="504">
        <f t="shared" si="0"/>
        <v>1.5318690895556673E-2</v>
      </c>
      <c r="F7" s="504">
        <f t="shared" si="0"/>
        <v>8.4009547726274031E-2</v>
      </c>
      <c r="G7" s="504">
        <f t="shared" si="0"/>
        <v>0.15270040455699138</v>
      </c>
      <c r="J7" s="495"/>
      <c r="K7" s="495"/>
      <c r="L7" s="495"/>
      <c r="M7" s="495"/>
    </row>
    <row r="8" spans="2:15" ht="30" customHeight="1" x14ac:dyDescent="0.5">
      <c r="B8" s="821"/>
      <c r="C8" s="503">
        <v>0.4</v>
      </c>
      <c r="D8" s="504">
        <f t="shared" si="0"/>
        <v>-3.6536051650781914E-3</v>
      </c>
      <c r="E8" s="504">
        <f t="shared" si="0"/>
        <v>6.5037251665639159E-2</v>
      </c>
      <c r="F8" s="504">
        <f t="shared" si="0"/>
        <v>0.13372810849635652</v>
      </c>
      <c r="G8" s="504">
        <f t="shared" si="0"/>
        <v>0.20241896532707387</v>
      </c>
      <c r="J8" s="495"/>
      <c r="M8" s="488"/>
    </row>
    <row r="9" spans="2:15" ht="30" customHeight="1" x14ac:dyDescent="0.5">
      <c r="B9" s="821"/>
      <c r="C9" s="503">
        <v>0.5</v>
      </c>
      <c r="D9" s="504">
        <f t="shared" si="0"/>
        <v>8.7760350274424248E-3</v>
      </c>
      <c r="E9" s="504">
        <f t="shared" si="0"/>
        <v>7.7466891858159775E-2</v>
      </c>
      <c r="F9" s="504">
        <f t="shared" si="0"/>
        <v>0.14615774868887713</v>
      </c>
      <c r="G9" s="504">
        <f t="shared" si="0"/>
        <v>0.21484860551959448</v>
      </c>
      <c r="J9" s="495"/>
      <c r="L9" s="489" t="s">
        <v>824</v>
      </c>
      <c r="M9" s="489" t="s">
        <v>826</v>
      </c>
      <c r="N9" s="489" t="s">
        <v>827</v>
      </c>
      <c r="O9" s="489" t="s">
        <v>834</v>
      </c>
    </row>
    <row r="10" spans="2:15" ht="30" customHeight="1" x14ac:dyDescent="0.5">
      <c r="B10" s="822"/>
      <c r="C10" s="505">
        <v>0.6</v>
      </c>
      <c r="D10" s="506">
        <f t="shared" si="0"/>
        <v>2.1205675219963048E-2</v>
      </c>
      <c r="E10" s="506">
        <f t="shared" si="0"/>
        <v>8.9896532050680406E-2</v>
      </c>
      <c r="F10" s="506">
        <f t="shared" si="0"/>
        <v>0.15858738888139776</v>
      </c>
      <c r="G10" s="506">
        <f t="shared" si="0"/>
        <v>0.22727824571211511</v>
      </c>
      <c r="J10" s="495"/>
      <c r="K10" s="489">
        <v>2001</v>
      </c>
      <c r="L10" s="493">
        <f>'Table A27'!N22</f>
        <v>-5.3372165935160677E-2</v>
      </c>
      <c r="M10" s="493">
        <f>('Table A3'!E10*O10)/RawDataSources!EW41</f>
        <v>0.1242964019252062</v>
      </c>
      <c r="N10" s="493">
        <f>('Table A3'!E10*(1-O10))/RawDataSources!EW41</f>
        <v>0.2747634273228694</v>
      </c>
      <c r="O10" s="493">
        <f>'Table A23'!N11</f>
        <v>0.31147309955855601</v>
      </c>
    </row>
    <row r="11" spans="2:15" ht="30" customHeight="1" x14ac:dyDescent="0.45">
      <c r="B11" s="498"/>
      <c r="C11" s="500"/>
      <c r="D11" s="819">
        <v>2002</v>
      </c>
      <c r="E11" s="819"/>
      <c r="F11" s="819"/>
      <c r="G11" s="819"/>
      <c r="K11" s="489">
        <v>2002</v>
      </c>
      <c r="L11" s="493">
        <f>'Table A27'!N23</f>
        <v>-0.10591586789548962</v>
      </c>
      <c r="M11" s="493">
        <f>('Table A3'!E11*O11)/RawDataSources!EW42</f>
        <v>0.12429877712348543</v>
      </c>
      <c r="N11" s="493">
        <f>('Table A3'!E11*(1-O11))/RawDataSources!EW42</f>
        <v>0.2219871405692441</v>
      </c>
      <c r="O11" s="493">
        <f>'Table A23'!N12</f>
        <v>0.35894840296041053</v>
      </c>
    </row>
    <row r="12" spans="2:15" ht="30" customHeight="1" x14ac:dyDescent="0.5">
      <c r="B12" s="498"/>
      <c r="C12" s="501"/>
      <c r="D12" s="502">
        <v>0</v>
      </c>
      <c r="E12" s="502">
        <v>0.25</v>
      </c>
      <c r="F12" s="502">
        <v>0.5</v>
      </c>
      <c r="G12" s="502">
        <v>0.75</v>
      </c>
      <c r="J12" s="495"/>
      <c r="K12" s="489">
        <v>2003</v>
      </c>
      <c r="L12" s="493">
        <f>'Table A27'!N24</f>
        <v>-0.11346580935352599</v>
      </c>
      <c r="M12" s="493">
        <f>('Table A3'!E12*O12)/RawDataSources!EW43</f>
        <v>0.12644618789803033</v>
      </c>
      <c r="N12" s="493">
        <f>('Table A3'!E12*(1-O12))/RawDataSources!EW43</f>
        <v>0.2083788630921273</v>
      </c>
      <c r="O12" s="493">
        <f>'Table A23'!N13</f>
        <v>0.37764852875882127</v>
      </c>
    </row>
    <row r="13" spans="2:15" ht="30" customHeight="1" x14ac:dyDescent="0.5">
      <c r="B13" s="821" t="s">
        <v>822</v>
      </c>
      <c r="C13" s="503">
        <v>0</v>
      </c>
      <c r="D13" s="504">
        <f t="shared" ref="D13:G16" si="1">$L$11+$C13*$M$11+D$6*$N$11</f>
        <v>-0.10591586789548962</v>
      </c>
      <c r="E13" s="504">
        <f t="shared" si="1"/>
        <v>-5.04190827531786E-2</v>
      </c>
      <c r="F13" s="504">
        <f t="shared" si="1"/>
        <v>5.0777023891324241E-3</v>
      </c>
      <c r="G13" s="504">
        <f t="shared" si="1"/>
        <v>6.0574487531443455E-2</v>
      </c>
      <c r="J13" s="495"/>
      <c r="K13" s="489">
        <v>2004</v>
      </c>
      <c r="L13" s="493">
        <f>'Table A27'!N25</f>
        <v>-0.11914318861016952</v>
      </c>
      <c r="M13" s="493">
        <f>('Table A3'!E13*O13)/RawDataSources!EW44</f>
        <v>0.12905813443477851</v>
      </c>
      <c r="N13" s="493">
        <f>('Table A3'!E13*(1-O13))/RawDataSources!EW44</f>
        <v>0.21022477169709108</v>
      </c>
      <c r="O13" s="493">
        <f>'Table A23'!N14</f>
        <v>0.38038501823200399</v>
      </c>
    </row>
    <row r="14" spans="2:15" ht="30" customHeight="1" x14ac:dyDescent="0.5">
      <c r="B14" s="821"/>
      <c r="C14" s="503">
        <v>0.4</v>
      </c>
      <c r="D14" s="504">
        <f t="shared" si="1"/>
        <v>-5.6196357046095449E-2</v>
      </c>
      <c r="E14" s="504">
        <f t="shared" si="1"/>
        <v>-6.995719037844253E-4</v>
      </c>
      <c r="F14" s="504">
        <f t="shared" si="1"/>
        <v>5.4797213238526599E-2</v>
      </c>
      <c r="G14" s="504">
        <f t="shared" si="1"/>
        <v>0.11029399838083763</v>
      </c>
      <c r="J14" s="495"/>
      <c r="K14" s="489">
        <v>2005</v>
      </c>
      <c r="L14" s="493">
        <f>'Table A27'!N26</f>
        <v>-8.3174047673850615E-2</v>
      </c>
      <c r="M14" s="493">
        <f>('Table A3'!E14*O14)/RawDataSources!EW45</f>
        <v>0.13506600085451298</v>
      </c>
      <c r="N14" s="493">
        <f>('Table A3'!E14*(1-O14))/RawDataSources!EW45</f>
        <v>0.22707366998434034</v>
      </c>
      <c r="O14" s="493">
        <f>'Table A23'!N15</f>
        <v>0.37296659750545619</v>
      </c>
    </row>
    <row r="15" spans="2:15" ht="30" customHeight="1" x14ac:dyDescent="0.5">
      <c r="B15" s="821"/>
      <c r="C15" s="503">
        <v>0.5</v>
      </c>
      <c r="D15" s="504">
        <f t="shared" si="1"/>
        <v>-4.3766479333746909E-2</v>
      </c>
      <c r="E15" s="504">
        <f t="shared" si="1"/>
        <v>1.1730305808564115E-2</v>
      </c>
      <c r="F15" s="504">
        <f t="shared" si="1"/>
        <v>6.7227090950875146E-2</v>
      </c>
      <c r="G15" s="504">
        <f t="shared" si="1"/>
        <v>0.12272387609318616</v>
      </c>
      <c r="J15" s="495"/>
      <c r="K15" s="489">
        <v>2006</v>
      </c>
      <c r="L15" s="493">
        <f>'Table A27'!N27</f>
        <v>-0.12432184558335531</v>
      </c>
      <c r="M15" s="493">
        <f>('Table A3'!E15*O15)/RawDataSources!EW46</f>
        <v>0.15194818261315571</v>
      </c>
      <c r="N15" s="493">
        <f>('Table A3'!E15*(1-O15))/RawDataSources!EW46</f>
        <v>0.1977434966346526</v>
      </c>
      <c r="O15" s="493">
        <f>'Table A23'!N16</f>
        <v>0.43452044080659386</v>
      </c>
    </row>
    <row r="16" spans="2:15" ht="30" customHeight="1" x14ac:dyDescent="0.5">
      <c r="B16" s="822"/>
      <c r="C16" s="505">
        <v>0.6</v>
      </c>
      <c r="D16" s="506">
        <f t="shared" si="1"/>
        <v>-3.1336601621398369E-2</v>
      </c>
      <c r="E16" s="506">
        <f t="shared" si="1"/>
        <v>2.4160183520912655E-2</v>
      </c>
      <c r="F16" s="506">
        <f t="shared" si="1"/>
        <v>7.9656968663223679E-2</v>
      </c>
      <c r="G16" s="506">
        <f t="shared" si="1"/>
        <v>0.13515375380553471</v>
      </c>
      <c r="J16" s="495"/>
      <c r="K16" s="489">
        <v>2007</v>
      </c>
      <c r="L16" s="493">
        <f>'Table A27'!N28</f>
        <v>-0.15078358789105828</v>
      </c>
      <c r="M16" s="493">
        <f>('Table A3'!E16*O16)/RawDataSources!EW47</f>
        <v>0.16133430525615455</v>
      </c>
      <c r="N16" s="493">
        <f>('Table A3'!E16*(1-O16))/RawDataSources!EW47</f>
        <v>0.254219639423995</v>
      </c>
      <c r="O16" s="493">
        <f>'Table A23'!N17</f>
        <v>0.38823913795435877</v>
      </c>
    </row>
    <row r="17" spans="2:15" ht="30" customHeight="1" x14ac:dyDescent="0.45">
      <c r="B17" s="498"/>
      <c r="C17" s="501"/>
      <c r="D17" s="819">
        <v>2003</v>
      </c>
      <c r="E17" s="819"/>
      <c r="F17" s="819"/>
      <c r="G17" s="819"/>
      <c r="K17" s="489">
        <v>2008</v>
      </c>
      <c r="L17" s="493">
        <f>'Table A27'!N29</f>
        <v>-0.16842488938679212</v>
      </c>
      <c r="M17" s="493">
        <f>('Table A3'!E17*O17)/RawDataSources!EW48</f>
        <v>0.11394874333724472</v>
      </c>
      <c r="N17" s="493">
        <f>('Table A3'!E17*(1-O17))/RawDataSources!EW48</f>
        <v>0.21726867210167475</v>
      </c>
      <c r="O17" s="493">
        <f>'Table A23'!N18</f>
        <v>0.34403004801617459</v>
      </c>
    </row>
    <row r="18" spans="2:15" ht="30" customHeight="1" x14ac:dyDescent="0.5">
      <c r="B18" s="498"/>
      <c r="C18" s="504"/>
      <c r="D18" s="503">
        <v>0</v>
      </c>
      <c r="E18" s="503">
        <v>0.25</v>
      </c>
      <c r="F18" s="503">
        <v>0.5</v>
      </c>
      <c r="G18" s="503">
        <v>0.75</v>
      </c>
      <c r="J18" s="495"/>
      <c r="K18" s="495"/>
      <c r="L18" s="495"/>
      <c r="M18" s="495"/>
    </row>
    <row r="19" spans="2:15" ht="30" customHeight="1" x14ac:dyDescent="0.5">
      <c r="B19" s="821" t="s">
        <v>822</v>
      </c>
      <c r="C19" s="503">
        <v>0</v>
      </c>
      <c r="D19" s="504">
        <f t="shared" ref="D19:G22" si="2">$L$12+$C19*$M$12+D$6*$N$12</f>
        <v>-0.11346580935352599</v>
      </c>
      <c r="E19" s="504">
        <f t="shared" si="2"/>
        <v>-6.1371093580494161E-2</v>
      </c>
      <c r="F19" s="504">
        <f t="shared" si="2"/>
        <v>-9.2763778074623354E-3</v>
      </c>
      <c r="G19" s="504">
        <f t="shared" si="2"/>
        <v>4.2818337965569497E-2</v>
      </c>
      <c r="J19" s="495"/>
      <c r="K19" s="495"/>
      <c r="L19" s="495"/>
      <c r="M19" s="495"/>
    </row>
    <row r="20" spans="2:15" ht="30" customHeight="1" x14ac:dyDescent="0.5">
      <c r="B20" s="821"/>
      <c r="C20" s="503">
        <v>0.4</v>
      </c>
      <c r="D20" s="504">
        <f t="shared" si="2"/>
        <v>-6.288733419431386E-2</v>
      </c>
      <c r="E20" s="504">
        <f t="shared" si="2"/>
        <v>-1.0792618421282034E-2</v>
      </c>
      <c r="F20" s="504">
        <f t="shared" si="2"/>
        <v>4.1302097351749792E-2</v>
      </c>
      <c r="G20" s="504">
        <f t="shared" si="2"/>
        <v>9.3396813124781625E-2</v>
      </c>
      <c r="J20" s="495"/>
      <c r="K20" s="495"/>
      <c r="L20" s="495"/>
      <c r="M20" s="495"/>
    </row>
    <row r="21" spans="2:15" ht="30" customHeight="1" x14ac:dyDescent="0.5">
      <c r="B21" s="821"/>
      <c r="C21" s="503">
        <v>0.5</v>
      </c>
      <c r="D21" s="504">
        <f t="shared" si="2"/>
        <v>-5.0242715404510821E-2</v>
      </c>
      <c r="E21" s="504">
        <f t="shared" si="2"/>
        <v>1.8520003685210049E-3</v>
      </c>
      <c r="F21" s="504">
        <f t="shared" si="2"/>
        <v>5.3946716141552831E-2</v>
      </c>
      <c r="G21" s="504">
        <f t="shared" si="2"/>
        <v>0.10604143191458466</v>
      </c>
      <c r="J21" s="495"/>
      <c r="K21" s="495"/>
      <c r="L21" s="495"/>
      <c r="M21" s="495"/>
    </row>
    <row r="22" spans="2:15" ht="30" customHeight="1" x14ac:dyDescent="0.5">
      <c r="B22" s="822"/>
      <c r="C22" s="505">
        <v>0.6</v>
      </c>
      <c r="D22" s="506">
        <f t="shared" si="2"/>
        <v>-3.7598096614707796E-2</v>
      </c>
      <c r="E22" s="506">
        <f t="shared" si="2"/>
        <v>1.449661915832403E-2</v>
      </c>
      <c r="F22" s="506">
        <f t="shared" si="2"/>
        <v>6.6591334931355856E-2</v>
      </c>
      <c r="G22" s="506">
        <f t="shared" si="2"/>
        <v>0.11868605070438769</v>
      </c>
      <c r="J22" s="495"/>
      <c r="K22" s="495"/>
      <c r="L22" s="495"/>
      <c r="M22" s="495"/>
    </row>
    <row r="23" spans="2:15" ht="30" customHeight="1" x14ac:dyDescent="0.45">
      <c r="B23" s="498"/>
      <c r="C23" s="501"/>
      <c r="D23" s="819">
        <v>2004</v>
      </c>
      <c r="E23" s="819"/>
      <c r="F23" s="819"/>
      <c r="G23" s="819"/>
      <c r="K23" s="495"/>
      <c r="L23" s="495"/>
      <c r="M23" s="495"/>
    </row>
    <row r="24" spans="2:15" ht="30" customHeight="1" x14ac:dyDescent="0.5">
      <c r="B24" s="498"/>
      <c r="C24" s="504"/>
      <c r="D24" s="503">
        <v>0</v>
      </c>
      <c r="E24" s="503">
        <v>0.25</v>
      </c>
      <c r="F24" s="503">
        <v>0.5</v>
      </c>
      <c r="G24" s="503">
        <v>0.75</v>
      </c>
      <c r="J24" s="495"/>
      <c r="K24" s="495"/>
      <c r="L24" s="495"/>
      <c r="M24" s="495"/>
    </row>
    <row r="25" spans="2:15" ht="30" customHeight="1" x14ac:dyDescent="0.5">
      <c r="B25" s="821" t="s">
        <v>822</v>
      </c>
      <c r="C25" s="503">
        <v>0</v>
      </c>
      <c r="D25" s="504">
        <f t="shared" ref="D25:G28" si="3">$L$13+$C25*$M$13+D$6*$N$13</f>
        <v>-0.11914318861016952</v>
      </c>
      <c r="E25" s="504">
        <f t="shared" si="3"/>
        <v>-6.6586995685896752E-2</v>
      </c>
      <c r="F25" s="504">
        <f t="shared" si="3"/>
        <v>-1.4030802761623981E-2</v>
      </c>
      <c r="G25" s="504">
        <f t="shared" si="3"/>
        <v>3.852539016264879E-2</v>
      </c>
      <c r="J25" s="495"/>
      <c r="K25" s="495"/>
      <c r="L25" s="495"/>
      <c r="M25" s="495"/>
    </row>
    <row r="26" spans="2:15" ht="30" customHeight="1" x14ac:dyDescent="0.5">
      <c r="B26" s="821"/>
      <c r="C26" s="503">
        <v>0.4</v>
      </c>
      <c r="D26" s="504">
        <f t="shared" si="3"/>
        <v>-6.7519934836258122E-2</v>
      </c>
      <c r="E26" s="504">
        <f t="shared" si="3"/>
        <v>-1.4963741911985351E-2</v>
      </c>
      <c r="F26" s="504">
        <f t="shared" si="3"/>
        <v>3.759245101228742E-2</v>
      </c>
      <c r="G26" s="504">
        <f t="shared" si="3"/>
        <v>9.0148643936560191E-2</v>
      </c>
      <c r="J26" s="495"/>
      <c r="K26" s="495"/>
      <c r="L26" s="495"/>
      <c r="M26" s="495"/>
    </row>
    <row r="27" spans="2:15" ht="30" customHeight="1" x14ac:dyDescent="0.5">
      <c r="B27" s="821"/>
      <c r="C27" s="503">
        <v>0.5</v>
      </c>
      <c r="D27" s="504">
        <f t="shared" si="3"/>
        <v>-5.4614121392780268E-2</v>
      </c>
      <c r="E27" s="504">
        <f t="shared" si="3"/>
        <v>-2.0579284685074972E-3</v>
      </c>
      <c r="F27" s="504">
        <f t="shared" si="3"/>
        <v>5.0498264455765274E-2</v>
      </c>
      <c r="G27" s="504">
        <f t="shared" si="3"/>
        <v>0.10305445738003804</v>
      </c>
      <c r="J27" s="495"/>
      <c r="K27" s="495"/>
      <c r="L27" s="495"/>
      <c r="M27" s="495"/>
    </row>
    <row r="28" spans="2:15" ht="30" customHeight="1" x14ac:dyDescent="0.5">
      <c r="B28" s="822"/>
      <c r="C28" s="505">
        <v>0.6</v>
      </c>
      <c r="D28" s="506">
        <f t="shared" si="3"/>
        <v>-4.1708307949302414E-2</v>
      </c>
      <c r="E28" s="506">
        <f t="shared" si="3"/>
        <v>1.0847884974970357E-2</v>
      </c>
      <c r="F28" s="506">
        <f t="shared" si="3"/>
        <v>6.3404077899243128E-2</v>
      </c>
      <c r="G28" s="506">
        <f t="shared" si="3"/>
        <v>0.1159602708235159</v>
      </c>
      <c r="J28" s="495"/>
      <c r="K28" s="495"/>
      <c r="L28" s="495"/>
      <c r="M28" s="495"/>
    </row>
    <row r="29" spans="2:15" ht="30" customHeight="1" x14ac:dyDescent="0.45">
      <c r="B29" s="498"/>
      <c r="C29" s="501"/>
      <c r="D29" s="819">
        <v>2005</v>
      </c>
      <c r="E29" s="819"/>
      <c r="F29" s="819"/>
      <c r="G29" s="819"/>
      <c r="K29" s="495"/>
      <c r="L29" s="495"/>
      <c r="M29" s="495"/>
    </row>
    <row r="30" spans="2:15" ht="30" customHeight="1" x14ac:dyDescent="0.5">
      <c r="B30" s="498"/>
      <c r="C30" s="501"/>
      <c r="D30" s="502">
        <v>0</v>
      </c>
      <c r="E30" s="502">
        <v>0.25</v>
      </c>
      <c r="F30" s="502">
        <v>0.5</v>
      </c>
      <c r="G30" s="502">
        <v>0.75</v>
      </c>
      <c r="J30" s="495"/>
      <c r="K30" s="495"/>
      <c r="L30" s="495"/>
      <c r="M30" s="495"/>
    </row>
    <row r="31" spans="2:15" ht="30" customHeight="1" x14ac:dyDescent="0.5">
      <c r="B31" s="821" t="s">
        <v>822</v>
      </c>
      <c r="C31" s="503">
        <v>0</v>
      </c>
      <c r="D31" s="504">
        <f t="shared" ref="D31:G34" si="4">$L$14+$C31*$M$14+D$6*$N$14</f>
        <v>-8.3174047673850615E-2</v>
      </c>
      <c r="E31" s="504">
        <f t="shared" si="4"/>
        <v>-2.6405630177765531E-2</v>
      </c>
      <c r="F31" s="504">
        <f t="shared" si="4"/>
        <v>3.0362787318319553E-2</v>
      </c>
      <c r="G31" s="504">
        <f t="shared" si="4"/>
        <v>8.7131204814404645E-2</v>
      </c>
      <c r="J31" s="495"/>
      <c r="K31" s="495"/>
      <c r="L31" s="495"/>
      <c r="M31" s="495"/>
    </row>
    <row r="32" spans="2:15" ht="30" customHeight="1" x14ac:dyDescent="0.5">
      <c r="B32" s="821"/>
      <c r="C32" s="503">
        <v>0.4</v>
      </c>
      <c r="D32" s="504">
        <f t="shared" si="4"/>
        <v>-2.9147647332045418E-2</v>
      </c>
      <c r="E32" s="504">
        <f t="shared" si="4"/>
        <v>2.7620770164039667E-2</v>
      </c>
      <c r="F32" s="504">
        <f t="shared" si="4"/>
        <v>8.4389187660124751E-2</v>
      </c>
      <c r="G32" s="504">
        <f t="shared" si="4"/>
        <v>0.14115760515620984</v>
      </c>
      <c r="J32" s="495"/>
      <c r="K32" s="495"/>
      <c r="L32" s="495"/>
      <c r="M32" s="495"/>
    </row>
    <row r="33" spans="2:13" ht="30" customHeight="1" x14ac:dyDescent="0.5">
      <c r="B33" s="821"/>
      <c r="C33" s="503">
        <v>0.5</v>
      </c>
      <c r="D33" s="504">
        <f t="shared" si="4"/>
        <v>-1.5641047246594125E-2</v>
      </c>
      <c r="E33" s="504">
        <f t="shared" si="4"/>
        <v>4.1127370249490959E-2</v>
      </c>
      <c r="F33" s="504">
        <f t="shared" si="4"/>
        <v>9.7895787745576043E-2</v>
      </c>
      <c r="G33" s="504">
        <f t="shared" si="4"/>
        <v>0.15466420524166113</v>
      </c>
      <c r="J33" s="495"/>
      <c r="K33" s="495"/>
      <c r="L33" s="495"/>
      <c r="M33" s="495"/>
    </row>
    <row r="34" spans="2:13" ht="30" customHeight="1" x14ac:dyDescent="0.5">
      <c r="B34" s="822"/>
      <c r="C34" s="505">
        <v>0.6</v>
      </c>
      <c r="D34" s="506">
        <f t="shared" si="4"/>
        <v>-2.1344471611428328E-3</v>
      </c>
      <c r="E34" s="506">
        <f t="shared" si="4"/>
        <v>5.4633970334942251E-2</v>
      </c>
      <c r="F34" s="506">
        <f t="shared" si="4"/>
        <v>0.11140238783102734</v>
      </c>
      <c r="G34" s="506">
        <f t="shared" si="4"/>
        <v>0.16817080532711243</v>
      </c>
      <c r="J34" s="495"/>
      <c r="K34" s="495"/>
      <c r="L34" s="495"/>
      <c r="M34" s="495"/>
    </row>
    <row r="35" spans="2:13" ht="30" customHeight="1" x14ac:dyDescent="0.45">
      <c r="B35" s="498"/>
      <c r="C35" s="501"/>
      <c r="D35" s="819">
        <v>2006</v>
      </c>
      <c r="E35" s="819"/>
      <c r="F35" s="819"/>
      <c r="G35" s="819"/>
      <c r="K35" s="495"/>
      <c r="L35" s="495"/>
      <c r="M35" s="495"/>
    </row>
    <row r="36" spans="2:13" ht="30" customHeight="1" x14ac:dyDescent="0.5">
      <c r="B36" s="498"/>
      <c r="C36" s="504"/>
      <c r="D36" s="503">
        <v>0</v>
      </c>
      <c r="E36" s="503">
        <v>0.25</v>
      </c>
      <c r="F36" s="503">
        <v>0.5</v>
      </c>
      <c r="G36" s="503">
        <v>0.75</v>
      </c>
      <c r="J36" s="495"/>
      <c r="K36" s="495"/>
      <c r="L36" s="495"/>
      <c r="M36" s="495"/>
    </row>
    <row r="37" spans="2:13" ht="30" customHeight="1" x14ac:dyDescent="0.5">
      <c r="B37" s="821" t="s">
        <v>822</v>
      </c>
      <c r="C37" s="503">
        <v>0</v>
      </c>
      <c r="D37" s="504">
        <f t="shared" ref="D37:G40" si="5">$L$15+$C37*$M$15+D$6*$N$15</f>
        <v>-0.12432184558335531</v>
      </c>
      <c r="E37" s="504">
        <f t="shared" si="5"/>
        <v>-7.4885971424692166E-2</v>
      </c>
      <c r="F37" s="504">
        <f t="shared" si="5"/>
        <v>-2.5450097266029009E-2</v>
      </c>
      <c r="G37" s="504">
        <f t="shared" si="5"/>
        <v>2.3985776892634134E-2</v>
      </c>
      <c r="J37" s="495"/>
      <c r="K37" s="495"/>
      <c r="L37" s="495"/>
      <c r="M37" s="495"/>
    </row>
    <row r="38" spans="2:13" ht="30" customHeight="1" x14ac:dyDescent="0.5">
      <c r="B38" s="821"/>
      <c r="C38" s="503">
        <v>0.4</v>
      </c>
      <c r="D38" s="504">
        <f t="shared" si="5"/>
        <v>-6.354257253809302E-2</v>
      </c>
      <c r="E38" s="504">
        <f t="shared" si="5"/>
        <v>-1.410669837942987E-2</v>
      </c>
      <c r="F38" s="504">
        <f t="shared" si="5"/>
        <v>3.5329175779233279E-2</v>
      </c>
      <c r="G38" s="504">
        <f t="shared" si="5"/>
        <v>8.4765049937896422E-2</v>
      </c>
      <c r="J38" s="495"/>
      <c r="K38" s="495"/>
      <c r="L38" s="495"/>
      <c r="M38" s="495"/>
    </row>
    <row r="39" spans="2:13" ht="30" customHeight="1" x14ac:dyDescent="0.5">
      <c r="B39" s="821"/>
      <c r="C39" s="503">
        <v>0.5</v>
      </c>
      <c r="D39" s="504">
        <f t="shared" si="5"/>
        <v>-4.8347754276777455E-2</v>
      </c>
      <c r="E39" s="504">
        <f t="shared" si="5"/>
        <v>1.0881198818856949E-3</v>
      </c>
      <c r="F39" s="504">
        <f t="shared" si="5"/>
        <v>5.0523994040548845E-2</v>
      </c>
      <c r="G39" s="504">
        <f t="shared" si="5"/>
        <v>9.9959868199211988E-2</v>
      </c>
      <c r="J39" s="495"/>
      <c r="K39" s="495"/>
      <c r="L39" s="495"/>
      <c r="M39" s="495"/>
    </row>
    <row r="40" spans="2:13" ht="30" customHeight="1" x14ac:dyDescent="0.5">
      <c r="B40" s="822"/>
      <c r="C40" s="505">
        <v>0.6</v>
      </c>
      <c r="D40" s="506">
        <f t="shared" si="5"/>
        <v>-3.315293601546189E-2</v>
      </c>
      <c r="E40" s="506">
        <f t="shared" si="5"/>
        <v>1.628293814320126E-2</v>
      </c>
      <c r="F40" s="506">
        <f t="shared" si="5"/>
        <v>6.571881230186441E-2</v>
      </c>
      <c r="G40" s="506">
        <f t="shared" si="5"/>
        <v>0.11515468646052755</v>
      </c>
      <c r="J40" s="495"/>
      <c r="K40" s="495"/>
      <c r="L40" s="495"/>
      <c r="M40" s="495"/>
    </row>
    <row r="41" spans="2:13" ht="30" customHeight="1" x14ac:dyDescent="0.45">
      <c r="B41" s="498"/>
      <c r="C41" s="501"/>
      <c r="D41" s="819">
        <v>2007</v>
      </c>
      <c r="E41" s="819"/>
      <c r="F41" s="819"/>
      <c r="G41" s="819"/>
      <c r="K41" s="495"/>
      <c r="L41" s="495"/>
      <c r="M41" s="495"/>
    </row>
    <row r="42" spans="2:13" ht="30" customHeight="1" x14ac:dyDescent="0.5">
      <c r="B42" s="498"/>
      <c r="C42" s="501"/>
      <c r="D42" s="502">
        <v>0</v>
      </c>
      <c r="E42" s="502">
        <v>0.25</v>
      </c>
      <c r="F42" s="502">
        <v>0.5</v>
      </c>
      <c r="G42" s="502">
        <v>0.75</v>
      </c>
      <c r="J42" s="495"/>
      <c r="K42" s="495"/>
      <c r="L42" s="495"/>
      <c r="M42" s="495"/>
    </row>
    <row r="43" spans="2:13" ht="30" customHeight="1" x14ac:dyDescent="0.5">
      <c r="B43" s="821" t="s">
        <v>822</v>
      </c>
      <c r="C43" s="503">
        <v>0</v>
      </c>
      <c r="D43" s="504">
        <f t="shared" ref="D43:G46" si="6">$L$16+$C43*$M$16+D$6*$N$16</f>
        <v>-0.15078358789105828</v>
      </c>
      <c r="E43" s="504">
        <f t="shared" si="6"/>
        <v>-8.7228678035059529E-2</v>
      </c>
      <c r="F43" s="504">
        <f t="shared" si="6"/>
        <v>-2.3673768179060778E-2</v>
      </c>
      <c r="G43" s="504">
        <f t="shared" si="6"/>
        <v>3.9881141676937959E-2</v>
      </c>
      <c r="J43" s="495"/>
      <c r="K43" s="495"/>
      <c r="L43" s="495"/>
      <c r="M43" s="495"/>
    </row>
    <row r="44" spans="2:13" ht="30" customHeight="1" x14ac:dyDescent="0.5">
      <c r="B44" s="821"/>
      <c r="C44" s="503">
        <v>0.4</v>
      </c>
      <c r="D44" s="504">
        <f t="shared" si="6"/>
        <v>-8.6249865788596461E-2</v>
      </c>
      <c r="E44" s="504">
        <f t="shared" si="6"/>
        <v>-2.269495593259771E-2</v>
      </c>
      <c r="F44" s="504">
        <f t="shared" si="6"/>
        <v>4.0859953923401041E-2</v>
      </c>
      <c r="G44" s="504">
        <f t="shared" si="6"/>
        <v>0.10441486377939978</v>
      </c>
      <c r="J44" s="495"/>
      <c r="K44" s="495"/>
      <c r="L44" s="495"/>
      <c r="M44" s="495"/>
    </row>
    <row r="45" spans="2:13" ht="30" customHeight="1" x14ac:dyDescent="0.5">
      <c r="B45" s="821"/>
      <c r="C45" s="503">
        <v>0.5</v>
      </c>
      <c r="D45" s="504">
        <f t="shared" si="6"/>
        <v>-7.0116435262981003E-2</v>
      </c>
      <c r="E45" s="504">
        <f t="shared" si="6"/>
        <v>-6.5615254069822521E-3</v>
      </c>
      <c r="F45" s="504">
        <f t="shared" si="6"/>
        <v>5.6993384449016499E-2</v>
      </c>
      <c r="G45" s="504">
        <f t="shared" si="6"/>
        <v>0.12054829430501524</v>
      </c>
      <c r="J45" s="495"/>
      <c r="K45" s="495"/>
      <c r="L45" s="495"/>
      <c r="M45" s="495"/>
    </row>
    <row r="46" spans="2:13" ht="30" customHeight="1" x14ac:dyDescent="0.5">
      <c r="B46" s="822"/>
      <c r="C46" s="505">
        <v>0.6</v>
      </c>
      <c r="D46" s="506">
        <f t="shared" si="6"/>
        <v>-5.3983004737365545E-2</v>
      </c>
      <c r="E46" s="506">
        <f t="shared" si="6"/>
        <v>9.571905118633206E-3</v>
      </c>
      <c r="F46" s="506">
        <f t="shared" si="6"/>
        <v>7.3126814974631957E-2</v>
      </c>
      <c r="G46" s="506">
        <f t="shared" si="6"/>
        <v>0.13668172483063068</v>
      </c>
      <c r="J46" s="495"/>
      <c r="K46" s="495"/>
      <c r="L46" s="495"/>
      <c r="M46" s="495"/>
    </row>
    <row r="47" spans="2:13" ht="30" customHeight="1" x14ac:dyDescent="0.45">
      <c r="B47" s="498"/>
      <c r="C47" s="501"/>
      <c r="D47" s="819">
        <v>2008</v>
      </c>
      <c r="E47" s="819"/>
      <c r="F47" s="819"/>
      <c r="G47" s="819"/>
      <c r="K47" s="495"/>
      <c r="L47" s="495"/>
      <c r="M47" s="495"/>
    </row>
    <row r="48" spans="2:13" ht="30" customHeight="1" x14ac:dyDescent="0.5">
      <c r="B48" s="498"/>
      <c r="C48" s="501"/>
      <c r="D48" s="502">
        <v>0</v>
      </c>
      <c r="E48" s="502">
        <v>0.25</v>
      </c>
      <c r="F48" s="502">
        <v>0.5</v>
      </c>
      <c r="G48" s="502">
        <v>0.75</v>
      </c>
      <c r="J48" s="495"/>
      <c r="K48" s="495"/>
      <c r="L48" s="495"/>
      <c r="M48" s="495"/>
    </row>
    <row r="49" spans="2:13" ht="30" customHeight="1" x14ac:dyDescent="0.5">
      <c r="B49" s="821" t="s">
        <v>822</v>
      </c>
      <c r="C49" s="503">
        <v>0</v>
      </c>
      <c r="D49" s="504">
        <f t="shared" ref="D49:G52" si="7">$L$17+$C49*$M$17+D$6*$N$17</f>
        <v>-0.16842488938679212</v>
      </c>
      <c r="E49" s="504">
        <f t="shared" si="7"/>
        <v>-0.11410772136137343</v>
      </c>
      <c r="F49" s="504">
        <f t="shared" si="7"/>
        <v>-5.9790553335954746E-2</v>
      </c>
      <c r="G49" s="504">
        <f t="shared" si="7"/>
        <v>-5.4733853105360664E-3</v>
      </c>
      <c r="J49" s="495"/>
      <c r="K49" s="495"/>
      <c r="L49" s="495"/>
      <c r="M49" s="495"/>
    </row>
    <row r="50" spans="2:13" ht="30" customHeight="1" x14ac:dyDescent="0.5">
      <c r="B50" s="821"/>
      <c r="C50" s="503">
        <v>0.4</v>
      </c>
      <c r="D50" s="504">
        <f t="shared" si="7"/>
        <v>-0.12284539205189424</v>
      </c>
      <c r="E50" s="504">
        <f t="shared" si="7"/>
        <v>-6.8528224026475543E-2</v>
      </c>
      <c r="F50" s="504">
        <f t="shared" si="7"/>
        <v>-1.4211056001056863E-2</v>
      </c>
      <c r="G50" s="504">
        <f t="shared" si="7"/>
        <v>4.0106112024361817E-2</v>
      </c>
      <c r="J50" s="495"/>
      <c r="K50" s="495"/>
      <c r="L50" s="495"/>
      <c r="M50" s="495"/>
    </row>
    <row r="51" spans="2:13" ht="30" customHeight="1" x14ac:dyDescent="0.5">
      <c r="B51" s="821"/>
      <c r="C51" s="503">
        <v>0.5</v>
      </c>
      <c r="D51" s="504">
        <f t="shared" si="7"/>
        <v>-0.11145051771816976</v>
      </c>
      <c r="E51" s="504">
        <f t="shared" si="7"/>
        <v>-5.7133349692751072E-2</v>
      </c>
      <c r="F51" s="504">
        <f t="shared" si="7"/>
        <v>-2.8161816673323847E-3</v>
      </c>
      <c r="G51" s="504">
        <f t="shared" si="7"/>
        <v>5.1500986358086295E-2</v>
      </c>
      <c r="J51" s="495"/>
      <c r="K51" s="495"/>
      <c r="L51" s="495"/>
      <c r="M51" s="495"/>
    </row>
    <row r="52" spans="2:13" ht="30" customHeight="1" x14ac:dyDescent="0.5">
      <c r="B52" s="822"/>
      <c r="C52" s="505">
        <v>0.6</v>
      </c>
      <c r="D52" s="506">
        <f t="shared" si="7"/>
        <v>-0.10005564338444529</v>
      </c>
      <c r="E52" s="506">
        <f t="shared" si="7"/>
        <v>-4.5738475359026608E-2</v>
      </c>
      <c r="F52" s="506">
        <f t="shared" si="7"/>
        <v>8.5786926663920793E-3</v>
      </c>
      <c r="G52" s="506">
        <f t="shared" si="7"/>
        <v>6.2895860691810759E-2</v>
      </c>
      <c r="J52" s="495"/>
      <c r="K52" s="495"/>
      <c r="L52" s="495"/>
      <c r="M52" s="495"/>
    </row>
    <row r="53" spans="2:13" ht="30" customHeight="1" x14ac:dyDescent="0.45">
      <c r="B53" s="498"/>
      <c r="C53" s="501"/>
      <c r="D53" s="819" t="s">
        <v>788</v>
      </c>
      <c r="E53" s="819"/>
      <c r="F53" s="819"/>
      <c r="G53" s="819"/>
    </row>
    <row r="54" spans="2:13" ht="30" customHeight="1" x14ac:dyDescent="0.5">
      <c r="B54" s="498"/>
      <c r="C54" s="501"/>
      <c r="D54" s="502">
        <v>0</v>
      </c>
      <c r="E54" s="502">
        <v>0.25</v>
      </c>
      <c r="F54" s="502">
        <v>0.5</v>
      </c>
      <c r="G54" s="502">
        <v>0.75</v>
      </c>
    </row>
    <row r="55" spans="2:13" ht="30" customHeight="1" x14ac:dyDescent="0.5">
      <c r="B55" s="821" t="s">
        <v>822</v>
      </c>
      <c r="C55" s="503">
        <v>0</v>
      </c>
      <c r="D55" s="504">
        <f>AVERAGE(D49,D43,D37,D31,D25,D19,D13,D7)</f>
        <v>-0.11482517529117525</v>
      </c>
      <c r="E55" s="504">
        <f t="shared" ref="E55:G55" si="8">AVERAGE(E49,E43,E37,E31,E25,E19,E13,E7)</f>
        <v>-5.8210810265362935E-2</v>
      </c>
      <c r="F55" s="504">
        <f t="shared" si="8"/>
        <v>-1.5964452395506052E-3</v>
      </c>
      <c r="G55" s="504">
        <f t="shared" si="8"/>
        <v>5.5017919786261721E-2</v>
      </c>
    </row>
    <row r="56" spans="2:13" ht="30" customHeight="1" x14ac:dyDescent="0.5">
      <c r="B56" s="821"/>
      <c r="C56" s="503">
        <v>0.4</v>
      </c>
      <c r="D56" s="504">
        <f t="shared" ref="D56:G56" si="9">AVERAGE(D50,D44,D38,D32,D26,D20,D14,D8)</f>
        <v>-6.1505338619046841E-2</v>
      </c>
      <c r="E56" s="504">
        <f t="shared" si="9"/>
        <v>-4.8909735932345152E-3</v>
      </c>
      <c r="F56" s="504">
        <f t="shared" si="9"/>
        <v>5.1723391432577814E-2</v>
      </c>
      <c r="G56" s="504">
        <f t="shared" si="9"/>
        <v>0.10833775645839014</v>
      </c>
    </row>
    <row r="57" spans="2:13" ht="30" customHeight="1" x14ac:dyDescent="0.5">
      <c r="B57" s="821"/>
      <c r="C57" s="503">
        <v>0.5</v>
      </c>
      <c r="D57" s="504">
        <f t="shared" ref="D57:G57" si="10">AVERAGE(D51,D45,D39,D33,D27,D21,D15,D9)</f>
        <v>-4.817537945101473E-2</v>
      </c>
      <c r="E57" s="504">
        <f t="shared" si="10"/>
        <v>8.4389855747975927E-3</v>
      </c>
      <c r="F57" s="504">
        <f t="shared" si="10"/>
        <v>6.5053350600609919E-2</v>
      </c>
      <c r="G57" s="504">
        <f t="shared" si="10"/>
        <v>0.12166771562642226</v>
      </c>
    </row>
    <row r="58" spans="2:13" ht="30" customHeight="1" thickBot="1" x14ac:dyDescent="0.55000000000000004">
      <c r="B58" s="824"/>
      <c r="C58" s="589">
        <v>0.6</v>
      </c>
      <c r="D58" s="590">
        <f t="shared" ref="D58:G58" si="11">AVERAGE(D52,D46,D40,D34,D28,D22,D16,D10)</f>
        <v>-3.4845420282982632E-2</v>
      </c>
      <c r="E58" s="590">
        <f t="shared" si="11"/>
        <v>2.1768944742829695E-2</v>
      </c>
      <c r="F58" s="590">
        <f t="shared" si="11"/>
        <v>7.8383309768642037E-2</v>
      </c>
      <c r="G58" s="590">
        <f t="shared" si="11"/>
        <v>0.13499767479445435</v>
      </c>
    </row>
    <row r="59" spans="2:13" ht="15.6" thickTop="1" x14ac:dyDescent="0.25"/>
  </sheetData>
  <mergeCells count="21">
    <mergeCell ref="B49:B52"/>
    <mergeCell ref="K4:M4"/>
    <mergeCell ref="D53:G53"/>
    <mergeCell ref="B55:B58"/>
    <mergeCell ref="D41:G41"/>
    <mergeCell ref="D47:G47"/>
    <mergeCell ref="D4:G4"/>
    <mergeCell ref="B7:B10"/>
    <mergeCell ref="B13:B16"/>
    <mergeCell ref="B19:B22"/>
    <mergeCell ref="B25:B28"/>
    <mergeCell ref="B31:B34"/>
    <mergeCell ref="B37:B40"/>
    <mergeCell ref="B43:B46"/>
    <mergeCell ref="D11:G11"/>
    <mergeCell ref="D17:G17"/>
    <mergeCell ref="D23:G23"/>
    <mergeCell ref="D29:G29"/>
    <mergeCell ref="D35:G35"/>
    <mergeCell ref="D5:G5"/>
    <mergeCell ref="B2:G2"/>
  </mergeCells>
  <phoneticPr fontId="13" type="noConversion"/>
  <pageMargins left="0.75" right="0.75" top="1" bottom="1" header="0.5" footer="0.5"/>
  <pageSetup paperSize="9" scale="38" orientation="portrait" horizontalDpi="4294967292" verticalDpi="4294967292"/>
  <extLst>
    <ext xmlns:mx="http://schemas.microsoft.com/office/mac/excel/2008/main" uri="{64002731-A6B0-56B0-2670-7721B7C09600}">
      <mx:PLV Mode="0" OnePage="0" WScale="100"/>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C1:P58"/>
  <sheetViews>
    <sheetView zoomScale="50" zoomScaleNormal="50" zoomScalePageLayoutView="50" workbookViewId="0"/>
  </sheetViews>
  <sheetFormatPr baseColWidth="10" defaultColWidth="10.7265625" defaultRowHeight="15" x14ac:dyDescent="0.25"/>
  <cols>
    <col min="1" max="2" width="10.7265625" style="489"/>
    <col min="3" max="3" width="49" style="489" customWidth="1"/>
    <col min="4" max="8" width="23.1796875" style="489" customWidth="1"/>
    <col min="9" max="9" width="16.26953125" style="489" customWidth="1"/>
    <col min="10" max="10" width="10.7265625" style="489"/>
    <col min="11" max="12" width="18" style="489" bestFit="1" customWidth="1"/>
    <col min="13" max="16384" width="10.7265625" style="489"/>
  </cols>
  <sheetData>
    <row r="1" spans="3:16" ht="58.05" customHeight="1" x14ac:dyDescent="0.25">
      <c r="K1" s="492"/>
      <c r="L1" s="491"/>
      <c r="M1" s="490"/>
      <c r="N1" s="490"/>
      <c r="O1" s="490"/>
    </row>
    <row r="2" spans="3:16" ht="58.05" customHeight="1" x14ac:dyDescent="0.5">
      <c r="C2" s="820" t="s">
        <v>874</v>
      </c>
      <c r="D2" s="820"/>
      <c r="E2" s="820"/>
      <c r="F2" s="820"/>
      <c r="G2" s="820"/>
      <c r="H2" s="820"/>
      <c r="I2" s="497"/>
      <c r="J2" s="497"/>
      <c r="K2" s="497"/>
      <c r="L2" s="497"/>
    </row>
    <row r="3" spans="3:16" ht="36" customHeight="1" thickBot="1" x14ac:dyDescent="0.3">
      <c r="C3" s="496"/>
    </row>
    <row r="4" spans="3:16" ht="78" customHeight="1" x14ac:dyDescent="0.5">
      <c r="C4" s="498"/>
      <c r="D4" s="499"/>
      <c r="E4" s="826" t="s">
        <v>838</v>
      </c>
      <c r="F4" s="826"/>
      <c r="G4" s="826"/>
      <c r="H4" s="826"/>
      <c r="K4" s="494"/>
      <c r="L4" s="823"/>
      <c r="M4" s="823"/>
      <c r="N4" s="823"/>
    </row>
    <row r="5" spans="3:16" ht="30" customHeight="1" x14ac:dyDescent="0.45">
      <c r="C5" s="498"/>
      <c r="D5" s="500"/>
      <c r="E5" s="819">
        <v>2001</v>
      </c>
      <c r="F5" s="819"/>
      <c r="G5" s="819"/>
      <c r="H5" s="819"/>
    </row>
    <row r="6" spans="3:16" ht="30" customHeight="1" x14ac:dyDescent="0.5">
      <c r="C6" s="498"/>
      <c r="D6" s="501"/>
      <c r="E6" s="502">
        <v>0</v>
      </c>
      <c r="F6" s="502">
        <v>0.25</v>
      </c>
      <c r="G6" s="502">
        <v>0.5</v>
      </c>
      <c r="H6" s="502">
        <v>0.75</v>
      </c>
      <c r="K6" s="495"/>
      <c r="L6" s="495"/>
      <c r="M6" s="495"/>
      <c r="N6" s="495"/>
    </row>
    <row r="7" spans="3:16" ht="30" customHeight="1" x14ac:dyDescent="0.5">
      <c r="C7" s="821" t="s">
        <v>837</v>
      </c>
      <c r="D7" s="503">
        <v>0</v>
      </c>
      <c r="E7" s="504">
        <f t="shared" ref="E7:H10" si="0">$M$10+$D7*$N$10+E$6*$O$10</f>
        <v>-0.1832177371285629</v>
      </c>
      <c r="F7" s="504">
        <f t="shared" si="0"/>
        <v>-0.1406305990688938</v>
      </c>
      <c r="G7" s="504">
        <f t="shared" si="0"/>
        <v>-9.8043461009224689E-2</v>
      </c>
      <c r="H7" s="504">
        <f t="shared" si="0"/>
        <v>-5.5456322949555575E-2</v>
      </c>
      <c r="K7" s="495"/>
      <c r="L7" s="495"/>
      <c r="M7" s="495"/>
      <c r="N7" s="495"/>
    </row>
    <row r="8" spans="3:16" ht="30" customHeight="1" x14ac:dyDescent="0.5">
      <c r="C8" s="821"/>
      <c r="D8" s="503">
        <v>0.05</v>
      </c>
      <c r="E8" s="504">
        <f t="shared" si="0"/>
        <v>-0.17936465662168113</v>
      </c>
      <c r="F8" s="504">
        <f t="shared" si="0"/>
        <v>-0.13677751856201203</v>
      </c>
      <c r="G8" s="504">
        <f t="shared" si="0"/>
        <v>-9.4190380502342921E-2</v>
      </c>
      <c r="H8" s="504">
        <f t="shared" si="0"/>
        <v>-5.1603242442673808E-2</v>
      </c>
      <c r="K8" s="495"/>
      <c r="N8" s="488"/>
    </row>
    <row r="9" spans="3:16" ht="30" customHeight="1" x14ac:dyDescent="0.5">
      <c r="C9" s="821"/>
      <c r="D9" s="503">
        <v>0.1</v>
      </c>
      <c r="E9" s="504">
        <f t="shared" si="0"/>
        <v>-0.17551157611479934</v>
      </c>
      <c r="F9" s="504">
        <f t="shared" si="0"/>
        <v>-0.13292443805513024</v>
      </c>
      <c r="G9" s="504">
        <f t="shared" si="0"/>
        <v>-9.0337299995461126E-2</v>
      </c>
      <c r="H9" s="504">
        <f t="shared" si="0"/>
        <v>-4.7750161935792013E-2</v>
      </c>
      <c r="K9" s="495"/>
      <c r="M9" s="489" t="s">
        <v>839</v>
      </c>
      <c r="N9" s="489" t="s">
        <v>841</v>
      </c>
      <c r="O9" s="489" t="s">
        <v>842</v>
      </c>
      <c r="P9" s="489" t="s">
        <v>834</v>
      </c>
    </row>
    <row r="10" spans="3:16" ht="30" customHeight="1" x14ac:dyDescent="0.5">
      <c r="C10" s="822"/>
      <c r="D10" s="505">
        <v>0.15</v>
      </c>
      <c r="E10" s="506">
        <f t="shared" si="0"/>
        <v>-0.17165849560791757</v>
      </c>
      <c r="F10" s="506">
        <f t="shared" si="0"/>
        <v>-0.12907135754824847</v>
      </c>
      <c r="G10" s="506">
        <f t="shared" si="0"/>
        <v>-8.6484219488579359E-2</v>
      </c>
      <c r="H10" s="506">
        <f t="shared" si="0"/>
        <v>-4.3897081428910245E-2</v>
      </c>
      <c r="K10" s="495"/>
      <c r="L10" s="489">
        <v>2001</v>
      </c>
      <c r="M10" s="493">
        <f>'Table A27'!K22</f>
        <v>-0.1832177371285629</v>
      </c>
      <c r="N10" s="493">
        <f>('Table A3'!E10*P10)/RawDataSources!EY41</f>
        <v>7.7061610137635503E-2</v>
      </c>
      <c r="O10" s="493">
        <f>('Table A3'!E10*(1-P10))/RawDataSources!EY41</f>
        <v>0.17034855223867643</v>
      </c>
      <c r="P10" s="493">
        <f>'Table A23'!N11</f>
        <v>0.31147309955855601</v>
      </c>
    </row>
    <row r="11" spans="3:16" ht="30" customHeight="1" x14ac:dyDescent="0.45">
      <c r="C11" s="498"/>
      <c r="D11" s="500"/>
      <c r="E11" s="819">
        <v>2002</v>
      </c>
      <c r="F11" s="819"/>
      <c r="G11" s="819"/>
      <c r="H11" s="819"/>
      <c r="L11" s="489">
        <v>2002</v>
      </c>
      <c r="M11" s="493">
        <f>'Table A27'!K23</f>
        <v>-0.19306821400917829</v>
      </c>
      <c r="N11" s="493">
        <f>('Table A3'!E11*P11)/RawDataSources!EY42</f>
        <v>8.107586156310953E-2</v>
      </c>
      <c r="O11" s="493">
        <f>('Table A3'!E11*(1-P11))/RawDataSources!EY42</f>
        <v>0.14479465602225949</v>
      </c>
      <c r="P11" s="493">
        <f>'Table A23'!N12</f>
        <v>0.35894840296041053</v>
      </c>
    </row>
    <row r="12" spans="3:16" ht="30" customHeight="1" x14ac:dyDescent="0.5">
      <c r="C12" s="498"/>
      <c r="D12" s="501"/>
      <c r="E12" s="502">
        <v>0</v>
      </c>
      <c r="F12" s="502">
        <v>0.25</v>
      </c>
      <c r="G12" s="502">
        <v>0.5</v>
      </c>
      <c r="H12" s="502">
        <v>0.75</v>
      </c>
      <c r="K12" s="495"/>
      <c r="L12" s="489">
        <v>2003</v>
      </c>
      <c r="M12" s="493">
        <f>'Table A27'!K24</f>
        <v>-0.18881380081520757</v>
      </c>
      <c r="N12" s="493">
        <f>('Table A3'!E12*P12)/RawDataSources!EY43</f>
        <v>9.731984539142309E-2</v>
      </c>
      <c r="O12" s="493">
        <f>('Table A3'!E12*(1-P12))/RawDataSources!EY43</f>
        <v>0.16037967673110248</v>
      </c>
      <c r="P12" s="493">
        <f>'Table A23'!N13</f>
        <v>0.37764852875882127</v>
      </c>
    </row>
    <row r="13" spans="3:16" ht="30" customHeight="1" x14ac:dyDescent="0.5">
      <c r="C13" s="821" t="s">
        <v>837</v>
      </c>
      <c r="D13" s="503">
        <v>0</v>
      </c>
      <c r="E13" s="504">
        <f t="shared" ref="E13:H16" si="1">$M$11+$D13*$N$11+E$6*$O$11</f>
        <v>-0.19306821400917829</v>
      </c>
      <c r="F13" s="504">
        <f t="shared" si="1"/>
        <v>-0.15686955000361341</v>
      </c>
      <c r="G13" s="504">
        <f t="shared" si="1"/>
        <v>-0.12067088599804854</v>
      </c>
      <c r="H13" s="504">
        <f t="shared" si="1"/>
        <v>-8.4472221992483665E-2</v>
      </c>
      <c r="K13" s="495"/>
      <c r="L13" s="489">
        <v>2004</v>
      </c>
      <c r="M13" s="493">
        <f>'Table A27'!K25</f>
        <v>-0.19073558917399661</v>
      </c>
      <c r="N13" s="493">
        <f>('Table A3'!E13*P13)/RawDataSources!EY44</f>
        <v>0.10678415175971891</v>
      </c>
      <c r="O13" s="493">
        <f>('Table A3'!E13*(1-P13))/RawDataSources!EY44</f>
        <v>0.17394234019320351</v>
      </c>
      <c r="P13" s="493">
        <f>'Table A23'!N14</f>
        <v>0.38038501823200399</v>
      </c>
    </row>
    <row r="14" spans="3:16" ht="30" customHeight="1" x14ac:dyDescent="0.5">
      <c r="C14" s="821"/>
      <c r="D14" s="503">
        <v>0.05</v>
      </c>
      <c r="E14" s="504">
        <f t="shared" si="1"/>
        <v>-0.1890144209310228</v>
      </c>
      <c r="F14" s="504">
        <f t="shared" si="1"/>
        <v>-0.15281575692545793</v>
      </c>
      <c r="G14" s="504">
        <f t="shared" si="1"/>
        <v>-0.11661709291989306</v>
      </c>
      <c r="H14" s="504">
        <f t="shared" si="1"/>
        <v>-8.0418428914328183E-2</v>
      </c>
      <c r="K14" s="495"/>
      <c r="L14" s="489">
        <v>2005</v>
      </c>
      <c r="M14" s="493">
        <f>'Table A27'!K26</f>
        <v>-0.15359261349634729</v>
      </c>
      <c r="N14" s="493">
        <f>('Table A3'!E14*P14)/RawDataSources!EY45</f>
        <v>0.10897636790417542</v>
      </c>
      <c r="O14" s="493">
        <f>('Table A3'!E14*(1-P14))/RawDataSources!EY45</f>
        <v>0.18321164204913198</v>
      </c>
      <c r="P14" s="493">
        <f>'Table A23'!N15</f>
        <v>0.37296659750545619</v>
      </c>
    </row>
    <row r="15" spans="3:16" ht="30" customHeight="1" x14ac:dyDescent="0.5">
      <c r="C15" s="821"/>
      <c r="D15" s="503">
        <v>0.1</v>
      </c>
      <c r="E15" s="504">
        <f t="shared" si="1"/>
        <v>-0.18496062785286732</v>
      </c>
      <c r="F15" s="504">
        <f t="shared" si="1"/>
        <v>-0.14876196384730245</v>
      </c>
      <c r="G15" s="504">
        <f t="shared" si="1"/>
        <v>-0.11256329984173757</v>
      </c>
      <c r="H15" s="504">
        <f t="shared" si="1"/>
        <v>-7.6364635836172701E-2</v>
      </c>
      <c r="K15" s="495"/>
      <c r="L15" s="489">
        <v>2006</v>
      </c>
      <c r="M15" s="493">
        <f>'Table A27'!K27</f>
        <v>-0.1643386421919287</v>
      </c>
      <c r="N15" s="493">
        <f>('Table A3'!E15*P15)/RawDataSources!EY46</f>
        <v>0.12250852763827066</v>
      </c>
      <c r="O15" s="493">
        <f>('Table A3'!E15*(1-P15))/RawDataSources!EY46</f>
        <v>0.15943109161384067</v>
      </c>
      <c r="P15" s="493">
        <f>'Table A23'!N16</f>
        <v>0.43452044080659386</v>
      </c>
    </row>
    <row r="16" spans="3:16" ht="30" customHeight="1" x14ac:dyDescent="0.5">
      <c r="C16" s="822"/>
      <c r="D16" s="505">
        <v>0.15</v>
      </c>
      <c r="E16" s="506">
        <f t="shared" si="1"/>
        <v>-0.18090683477471187</v>
      </c>
      <c r="F16" s="506">
        <f t="shared" si="1"/>
        <v>-0.14470817076914699</v>
      </c>
      <c r="G16" s="506">
        <f t="shared" si="1"/>
        <v>-0.10850950676358212</v>
      </c>
      <c r="H16" s="506">
        <f t="shared" si="1"/>
        <v>-7.2310842758017246E-2</v>
      </c>
      <c r="K16" s="495"/>
      <c r="L16" s="489">
        <v>2007</v>
      </c>
      <c r="M16" s="493">
        <f>'Table A27'!K28</f>
        <v>-0.1277222688418268</v>
      </c>
      <c r="N16" s="493">
        <f>('Table A3'!E16*P16)/RawDataSources!EY47</f>
        <v>0.1416732804515059</v>
      </c>
      <c r="O16" s="493">
        <f>('Table A3'!E16*(1-P16))/RawDataSources!EY47</f>
        <v>0.2232391320321653</v>
      </c>
      <c r="P16" s="493">
        <f>'Table A23'!N17</f>
        <v>0.38823913795435877</v>
      </c>
    </row>
    <row r="17" spans="3:16" ht="30" customHeight="1" x14ac:dyDescent="0.45">
      <c r="C17" s="498"/>
      <c r="D17" s="501"/>
      <c r="E17" s="819">
        <v>2003</v>
      </c>
      <c r="F17" s="819"/>
      <c r="G17" s="819"/>
      <c r="H17" s="819"/>
      <c r="L17" s="489">
        <v>2008</v>
      </c>
      <c r="M17" s="493">
        <f>'Table A27'!K29</f>
        <v>-0.22688672220250397</v>
      </c>
      <c r="N17" s="493">
        <f>('Table A3'!E17*P17)/RawDataSources!EY48</f>
        <v>0.10750062261670282</v>
      </c>
      <c r="O17" s="493">
        <f>('Table A3'!E17*(1-P17))/RawDataSources!EY48</f>
        <v>0.20497389301528252</v>
      </c>
      <c r="P17" s="493">
        <f>'Table A23'!N18</f>
        <v>0.34403004801617459</v>
      </c>
    </row>
    <row r="18" spans="3:16" ht="30" customHeight="1" x14ac:dyDescent="0.5">
      <c r="C18" s="498"/>
      <c r="D18" s="504"/>
      <c r="E18" s="503">
        <v>0</v>
      </c>
      <c r="F18" s="503">
        <v>0.25</v>
      </c>
      <c r="G18" s="503">
        <v>0.5</v>
      </c>
      <c r="H18" s="503">
        <v>0.75</v>
      </c>
      <c r="K18" s="495"/>
      <c r="L18" s="495"/>
      <c r="M18" s="495"/>
      <c r="N18" s="495"/>
    </row>
    <row r="19" spans="3:16" ht="30" customHeight="1" x14ac:dyDescent="0.5">
      <c r="C19" s="821" t="s">
        <v>837</v>
      </c>
      <c r="D19" s="503">
        <v>0</v>
      </c>
      <c r="E19" s="504">
        <f t="shared" ref="E19:H22" si="2">$M$12+$D19*$N$12+E$6*$O$12</f>
        <v>-0.18881380081520757</v>
      </c>
      <c r="F19" s="504">
        <f t="shared" si="2"/>
        <v>-0.14871888163243197</v>
      </c>
      <c r="G19" s="504">
        <f t="shared" si="2"/>
        <v>-0.10862396244965633</v>
      </c>
      <c r="H19" s="504">
        <f t="shared" si="2"/>
        <v>-6.852904326688071E-2</v>
      </c>
      <c r="K19" s="495"/>
      <c r="L19" s="495"/>
      <c r="M19" s="495"/>
      <c r="N19" s="495"/>
    </row>
    <row r="20" spans="3:16" ht="30" customHeight="1" x14ac:dyDescent="0.5">
      <c r="C20" s="821"/>
      <c r="D20" s="503">
        <v>0.05</v>
      </c>
      <c r="E20" s="504">
        <f t="shared" si="2"/>
        <v>-0.18394780854563642</v>
      </c>
      <c r="F20" s="504">
        <f t="shared" si="2"/>
        <v>-0.14385288936286078</v>
      </c>
      <c r="G20" s="504">
        <f t="shared" si="2"/>
        <v>-0.10375797018008517</v>
      </c>
      <c r="H20" s="504">
        <f t="shared" si="2"/>
        <v>-6.3663050997309553E-2</v>
      </c>
      <c r="K20" s="495"/>
      <c r="L20" s="495"/>
      <c r="M20" s="495"/>
      <c r="N20" s="495"/>
    </row>
    <row r="21" spans="3:16" ht="30" customHeight="1" x14ac:dyDescent="0.5">
      <c r="C21" s="821"/>
      <c r="D21" s="503">
        <v>0.1</v>
      </c>
      <c r="E21" s="504">
        <f t="shared" si="2"/>
        <v>-0.17908181627606526</v>
      </c>
      <c r="F21" s="504">
        <f t="shared" si="2"/>
        <v>-0.13898689709328965</v>
      </c>
      <c r="G21" s="504">
        <f t="shared" si="2"/>
        <v>-9.8891977910514017E-2</v>
      </c>
      <c r="H21" s="504">
        <f t="shared" si="2"/>
        <v>-5.8797058727738397E-2</v>
      </c>
      <c r="K21" s="495"/>
      <c r="L21" s="495"/>
      <c r="M21" s="495"/>
      <c r="N21" s="495"/>
    </row>
    <row r="22" spans="3:16" ht="30" customHeight="1" x14ac:dyDescent="0.5">
      <c r="C22" s="822"/>
      <c r="D22" s="505">
        <v>0.15</v>
      </c>
      <c r="E22" s="506">
        <f t="shared" si="2"/>
        <v>-0.1742158240064941</v>
      </c>
      <c r="F22" s="506">
        <f t="shared" si="2"/>
        <v>-0.13412090482371847</v>
      </c>
      <c r="G22" s="506">
        <f t="shared" si="2"/>
        <v>-9.4025985640942861E-2</v>
      </c>
      <c r="H22" s="506">
        <f t="shared" si="2"/>
        <v>-5.393106645816724E-2</v>
      </c>
      <c r="K22" s="495"/>
      <c r="L22" s="495"/>
      <c r="M22" s="495"/>
      <c r="N22" s="495"/>
    </row>
    <row r="23" spans="3:16" ht="30" customHeight="1" x14ac:dyDescent="0.45">
      <c r="C23" s="498"/>
      <c r="D23" s="501"/>
      <c r="E23" s="819">
        <v>2004</v>
      </c>
      <c r="F23" s="819"/>
      <c r="G23" s="819"/>
      <c r="H23" s="819"/>
      <c r="L23" s="495"/>
      <c r="M23" s="495"/>
      <c r="N23" s="495"/>
    </row>
    <row r="24" spans="3:16" ht="30" customHeight="1" x14ac:dyDescent="0.5">
      <c r="C24" s="498"/>
      <c r="D24" s="504"/>
      <c r="E24" s="503">
        <v>0</v>
      </c>
      <c r="F24" s="503">
        <v>0.25</v>
      </c>
      <c r="G24" s="503">
        <v>0.5</v>
      </c>
      <c r="H24" s="503">
        <v>0.75</v>
      </c>
      <c r="K24" s="495"/>
      <c r="L24" s="495"/>
      <c r="M24" s="495"/>
      <c r="N24" s="495"/>
    </row>
    <row r="25" spans="3:16" ht="30" customHeight="1" x14ac:dyDescent="0.5">
      <c r="C25" s="821" t="s">
        <v>837</v>
      </c>
      <c r="D25" s="503">
        <v>0</v>
      </c>
      <c r="E25" s="504">
        <f t="shared" ref="E25:H28" si="3">$M$13+$D25*$N$13+E$6*$O$13</f>
        <v>-0.19073558917399661</v>
      </c>
      <c r="F25" s="504">
        <f t="shared" si="3"/>
        <v>-0.14725000412569572</v>
      </c>
      <c r="G25" s="504">
        <f t="shared" si="3"/>
        <v>-0.10376441907739485</v>
      </c>
      <c r="H25" s="504">
        <f t="shared" si="3"/>
        <v>-6.0278834029093981E-2</v>
      </c>
      <c r="K25" s="495"/>
      <c r="L25" s="495"/>
      <c r="M25" s="495"/>
      <c r="N25" s="495"/>
    </row>
    <row r="26" spans="3:16" ht="30" customHeight="1" x14ac:dyDescent="0.5">
      <c r="C26" s="821"/>
      <c r="D26" s="503">
        <v>0.05</v>
      </c>
      <c r="E26" s="504">
        <f t="shared" si="3"/>
        <v>-0.18539638158601066</v>
      </c>
      <c r="F26" s="504">
        <f t="shared" si="3"/>
        <v>-0.14191079653770977</v>
      </c>
      <c r="G26" s="504">
        <f t="shared" si="3"/>
        <v>-9.8425211489408901E-2</v>
      </c>
      <c r="H26" s="504">
        <f t="shared" si="3"/>
        <v>-5.493962644110803E-2</v>
      </c>
      <c r="K26" s="495"/>
      <c r="L26" s="495"/>
      <c r="M26" s="495"/>
      <c r="N26" s="495"/>
    </row>
    <row r="27" spans="3:16" ht="30" customHeight="1" x14ac:dyDescent="0.5">
      <c r="C27" s="821"/>
      <c r="D27" s="503">
        <v>0.1</v>
      </c>
      <c r="E27" s="504">
        <f t="shared" si="3"/>
        <v>-0.18005717399802471</v>
      </c>
      <c r="F27" s="504">
        <f t="shared" si="3"/>
        <v>-0.13657158894972382</v>
      </c>
      <c r="G27" s="504">
        <f t="shared" si="3"/>
        <v>-9.3086003901422951E-2</v>
      </c>
      <c r="H27" s="504">
        <f t="shared" si="3"/>
        <v>-4.960041885312208E-2</v>
      </c>
      <c r="K27" s="495"/>
      <c r="L27" s="495"/>
      <c r="M27" s="495"/>
      <c r="N27" s="495"/>
    </row>
    <row r="28" spans="3:16" ht="30" customHeight="1" x14ac:dyDescent="0.5">
      <c r="C28" s="822"/>
      <c r="D28" s="505">
        <v>0.15</v>
      </c>
      <c r="E28" s="506">
        <f t="shared" si="3"/>
        <v>-0.17471796641003878</v>
      </c>
      <c r="F28" s="506">
        <f t="shared" si="3"/>
        <v>-0.1312323813617379</v>
      </c>
      <c r="G28" s="506">
        <f t="shared" si="3"/>
        <v>-8.7746796313437028E-2</v>
      </c>
      <c r="H28" s="506">
        <f t="shared" si="3"/>
        <v>-4.4261211265136158E-2</v>
      </c>
      <c r="K28" s="495"/>
      <c r="L28" s="495"/>
      <c r="M28" s="495"/>
      <c r="N28" s="495"/>
    </row>
    <row r="29" spans="3:16" ht="30" customHeight="1" x14ac:dyDescent="0.45">
      <c r="C29" s="498"/>
      <c r="D29" s="501"/>
      <c r="E29" s="819">
        <v>2005</v>
      </c>
      <c r="F29" s="819"/>
      <c r="G29" s="819"/>
      <c r="H29" s="819"/>
      <c r="L29" s="495"/>
      <c r="M29" s="495"/>
      <c r="N29" s="495"/>
    </row>
    <row r="30" spans="3:16" ht="30" customHeight="1" x14ac:dyDescent="0.5">
      <c r="C30" s="498"/>
      <c r="D30" s="501"/>
      <c r="E30" s="502">
        <v>0</v>
      </c>
      <c r="F30" s="502">
        <v>0.25</v>
      </c>
      <c r="G30" s="502">
        <v>0.5</v>
      </c>
      <c r="H30" s="502">
        <v>0.75</v>
      </c>
      <c r="K30" s="495"/>
      <c r="L30" s="495"/>
      <c r="M30" s="495"/>
      <c r="N30" s="495"/>
    </row>
    <row r="31" spans="3:16" ht="30" customHeight="1" x14ac:dyDescent="0.5">
      <c r="C31" s="821" t="s">
        <v>837</v>
      </c>
      <c r="D31" s="503">
        <v>0</v>
      </c>
      <c r="E31" s="504">
        <f t="shared" ref="E31:H34" si="4">$M$14+$D31*$N$14+E$6*$O$14</f>
        <v>-0.15359261349634729</v>
      </c>
      <c r="F31" s="504">
        <f t="shared" si="4"/>
        <v>-0.10778970298406429</v>
      </c>
      <c r="G31" s="504">
        <f t="shared" si="4"/>
        <v>-6.1986792471781293E-2</v>
      </c>
      <c r="H31" s="504">
        <f t="shared" si="4"/>
        <v>-1.6183881959498297E-2</v>
      </c>
      <c r="K31" s="495"/>
      <c r="L31" s="495"/>
      <c r="M31" s="495"/>
      <c r="N31" s="495"/>
    </row>
    <row r="32" spans="3:16" ht="30" customHeight="1" x14ac:dyDescent="0.5">
      <c r="C32" s="821"/>
      <c r="D32" s="503">
        <v>0.05</v>
      </c>
      <c r="E32" s="504">
        <f t="shared" si="4"/>
        <v>-0.14814379510113851</v>
      </c>
      <c r="F32" s="504">
        <f t="shared" si="4"/>
        <v>-0.10234088458885551</v>
      </c>
      <c r="G32" s="504">
        <f t="shared" si="4"/>
        <v>-5.6537974076572517E-2</v>
      </c>
      <c r="H32" s="504">
        <f t="shared" si="4"/>
        <v>-1.0735063564289521E-2</v>
      </c>
      <c r="K32" s="495"/>
      <c r="L32" s="495"/>
      <c r="M32" s="495"/>
      <c r="N32" s="495"/>
    </row>
    <row r="33" spans="3:14" ht="30" customHeight="1" x14ac:dyDescent="0.5">
      <c r="C33" s="821"/>
      <c r="D33" s="503">
        <v>0.1</v>
      </c>
      <c r="E33" s="504">
        <f t="shared" si="4"/>
        <v>-0.14269497670592973</v>
      </c>
      <c r="F33" s="504">
        <f t="shared" si="4"/>
        <v>-9.6892066193646736E-2</v>
      </c>
      <c r="G33" s="504">
        <f t="shared" si="4"/>
        <v>-5.108915568136374E-2</v>
      </c>
      <c r="H33" s="504">
        <f t="shared" si="4"/>
        <v>-5.2862451690807444E-3</v>
      </c>
      <c r="K33" s="495"/>
      <c r="L33" s="495"/>
      <c r="M33" s="495"/>
      <c r="N33" s="495"/>
    </row>
    <row r="34" spans="3:14" ht="30" customHeight="1" x14ac:dyDescent="0.5">
      <c r="C34" s="822"/>
      <c r="D34" s="505">
        <v>0.15</v>
      </c>
      <c r="E34" s="506">
        <f t="shared" si="4"/>
        <v>-0.13724615831072098</v>
      </c>
      <c r="F34" s="506">
        <f t="shared" si="4"/>
        <v>-9.1443247798437988E-2</v>
      </c>
      <c r="G34" s="506">
        <f t="shared" si="4"/>
        <v>-4.5640337286154992E-2</v>
      </c>
      <c r="H34" s="506">
        <f t="shared" si="4"/>
        <v>1.625732261280044E-4</v>
      </c>
      <c r="K34" s="495"/>
      <c r="L34" s="495"/>
      <c r="M34" s="495"/>
      <c r="N34" s="495"/>
    </row>
    <row r="35" spans="3:14" ht="30" customHeight="1" x14ac:dyDescent="0.45">
      <c r="C35" s="498"/>
      <c r="D35" s="501"/>
      <c r="E35" s="819">
        <v>2006</v>
      </c>
      <c r="F35" s="819"/>
      <c r="G35" s="819"/>
      <c r="H35" s="819"/>
      <c r="L35" s="495"/>
      <c r="M35" s="495"/>
      <c r="N35" s="495"/>
    </row>
    <row r="36" spans="3:14" ht="30" customHeight="1" x14ac:dyDescent="0.5">
      <c r="C36" s="498"/>
      <c r="D36" s="504"/>
      <c r="E36" s="503">
        <v>0</v>
      </c>
      <c r="F36" s="503">
        <v>0.25</v>
      </c>
      <c r="G36" s="503">
        <v>0.5</v>
      </c>
      <c r="H36" s="503">
        <v>0.75</v>
      </c>
      <c r="K36" s="495"/>
      <c r="L36" s="495"/>
      <c r="M36" s="495"/>
      <c r="N36" s="495"/>
    </row>
    <row r="37" spans="3:14" ht="30" customHeight="1" x14ac:dyDescent="0.5">
      <c r="C37" s="821" t="s">
        <v>837</v>
      </c>
      <c r="D37" s="503">
        <v>0</v>
      </c>
      <c r="E37" s="504">
        <f t="shared" ref="E37:H40" si="5">$M$15+$D37*$N$15+E$6*$O$15</f>
        <v>-0.1643386421919287</v>
      </c>
      <c r="F37" s="504">
        <f t="shared" si="5"/>
        <v>-0.12448086928846853</v>
      </c>
      <c r="G37" s="504">
        <f t="shared" si="5"/>
        <v>-8.4623096385008367E-2</v>
      </c>
      <c r="H37" s="504">
        <f t="shared" si="5"/>
        <v>-4.47653234815482E-2</v>
      </c>
      <c r="K37" s="495"/>
      <c r="L37" s="495"/>
      <c r="M37" s="495"/>
      <c r="N37" s="495"/>
    </row>
    <row r="38" spans="3:14" ht="30" customHeight="1" x14ac:dyDescent="0.5">
      <c r="C38" s="821"/>
      <c r="D38" s="503">
        <v>0.05</v>
      </c>
      <c r="E38" s="504">
        <f t="shared" si="5"/>
        <v>-0.15821321581001516</v>
      </c>
      <c r="F38" s="504">
        <f t="shared" si="5"/>
        <v>-0.11835544290655499</v>
      </c>
      <c r="G38" s="504">
        <f t="shared" si="5"/>
        <v>-7.8497670003094822E-2</v>
      </c>
      <c r="H38" s="504">
        <f t="shared" si="5"/>
        <v>-3.8639897099634654E-2</v>
      </c>
      <c r="K38" s="495"/>
      <c r="L38" s="495"/>
      <c r="M38" s="495"/>
      <c r="N38" s="495"/>
    </row>
    <row r="39" spans="3:14" ht="30" customHeight="1" x14ac:dyDescent="0.5">
      <c r="C39" s="821"/>
      <c r="D39" s="503">
        <v>0.1</v>
      </c>
      <c r="E39" s="504">
        <f t="shared" si="5"/>
        <v>-0.15208778942810164</v>
      </c>
      <c r="F39" s="504">
        <f t="shared" si="5"/>
        <v>-0.11223001652464147</v>
      </c>
      <c r="G39" s="504">
        <f t="shared" si="5"/>
        <v>-7.2372243621181304E-2</v>
      </c>
      <c r="H39" s="504">
        <f t="shared" si="5"/>
        <v>-3.2514470717721136E-2</v>
      </c>
      <c r="K39" s="495"/>
      <c r="L39" s="495"/>
      <c r="M39" s="495"/>
      <c r="N39" s="495"/>
    </row>
    <row r="40" spans="3:14" ht="30" customHeight="1" x14ac:dyDescent="0.5">
      <c r="C40" s="822"/>
      <c r="D40" s="505">
        <v>0.15</v>
      </c>
      <c r="E40" s="506">
        <f t="shared" si="5"/>
        <v>-0.14596236304618809</v>
      </c>
      <c r="F40" s="506">
        <f t="shared" si="5"/>
        <v>-0.10610459014272793</v>
      </c>
      <c r="G40" s="506">
        <f t="shared" si="5"/>
        <v>-6.6246817239267758E-2</v>
      </c>
      <c r="H40" s="506">
        <f t="shared" si="5"/>
        <v>-2.638904433580759E-2</v>
      </c>
      <c r="K40" s="495"/>
      <c r="L40" s="495"/>
      <c r="M40" s="495"/>
      <c r="N40" s="495"/>
    </row>
    <row r="41" spans="3:14" ht="30" customHeight="1" x14ac:dyDescent="0.45">
      <c r="C41" s="498"/>
      <c r="D41" s="501"/>
      <c r="E41" s="819">
        <v>2007</v>
      </c>
      <c r="F41" s="819"/>
      <c r="G41" s="819"/>
      <c r="H41" s="819"/>
      <c r="L41" s="495"/>
      <c r="M41" s="495"/>
      <c r="N41" s="495"/>
    </row>
    <row r="42" spans="3:14" ht="30" customHeight="1" x14ac:dyDescent="0.5">
      <c r="C42" s="498"/>
      <c r="D42" s="501"/>
      <c r="E42" s="502">
        <v>0</v>
      </c>
      <c r="F42" s="502">
        <v>0.25</v>
      </c>
      <c r="G42" s="502">
        <v>0.5</v>
      </c>
      <c r="H42" s="502">
        <v>0.75</v>
      </c>
      <c r="K42" s="495"/>
      <c r="L42" s="495"/>
      <c r="M42" s="495"/>
      <c r="N42" s="495"/>
    </row>
    <row r="43" spans="3:14" ht="30" customHeight="1" x14ac:dyDescent="0.5">
      <c r="C43" s="821" t="s">
        <v>837</v>
      </c>
      <c r="D43" s="503">
        <v>0</v>
      </c>
      <c r="E43" s="504">
        <f t="shared" ref="E43:H46" si="6">$M$16+$D43*$N$16+E$6*$O$16</f>
        <v>-0.1277222688418268</v>
      </c>
      <c r="F43" s="504">
        <f t="shared" si="6"/>
        <v>-7.1912485833785483E-2</v>
      </c>
      <c r="G43" s="504">
        <f t="shared" si="6"/>
        <v>-1.610270282574415E-2</v>
      </c>
      <c r="H43" s="504">
        <f t="shared" si="6"/>
        <v>3.9707080182297183E-2</v>
      </c>
      <c r="K43" s="495"/>
      <c r="L43" s="495"/>
      <c r="M43" s="495"/>
      <c r="N43" s="495"/>
    </row>
    <row r="44" spans="3:14" ht="30" customHeight="1" x14ac:dyDescent="0.5">
      <c r="C44" s="821"/>
      <c r="D44" s="503">
        <v>0.05</v>
      </c>
      <c r="E44" s="504">
        <f t="shared" si="6"/>
        <v>-0.12063860481925151</v>
      </c>
      <c r="F44" s="504">
        <f t="shared" si="6"/>
        <v>-6.4828821811210191E-2</v>
      </c>
      <c r="G44" s="504">
        <f t="shared" si="6"/>
        <v>-9.0190388031688579E-3</v>
      </c>
      <c r="H44" s="504">
        <f t="shared" si="6"/>
        <v>4.6790744204872475E-2</v>
      </c>
      <c r="K44" s="495"/>
      <c r="L44" s="495"/>
      <c r="M44" s="495"/>
      <c r="N44" s="495"/>
    </row>
    <row r="45" spans="3:14" ht="30" customHeight="1" x14ac:dyDescent="0.5">
      <c r="C45" s="821"/>
      <c r="D45" s="503">
        <v>0.1</v>
      </c>
      <c r="E45" s="504">
        <f t="shared" si="6"/>
        <v>-0.11355494079667622</v>
      </c>
      <c r="F45" s="504">
        <f t="shared" si="6"/>
        <v>-5.7745157788634892E-2</v>
      </c>
      <c r="G45" s="504">
        <f t="shared" si="6"/>
        <v>-1.9353747805935656E-3</v>
      </c>
      <c r="H45" s="504">
        <f t="shared" si="6"/>
        <v>5.3874408227447768E-2</v>
      </c>
      <c r="K45" s="495"/>
      <c r="L45" s="495"/>
      <c r="M45" s="495"/>
      <c r="N45" s="495"/>
    </row>
    <row r="46" spans="3:14" ht="30" customHeight="1" x14ac:dyDescent="0.5">
      <c r="C46" s="822"/>
      <c r="D46" s="505">
        <v>0.15</v>
      </c>
      <c r="E46" s="506">
        <f t="shared" si="6"/>
        <v>-0.10647127677410093</v>
      </c>
      <c r="F46" s="506">
        <f t="shared" si="6"/>
        <v>-5.06614937660596E-2</v>
      </c>
      <c r="G46" s="506">
        <f t="shared" si="6"/>
        <v>5.1482892419817267E-3</v>
      </c>
      <c r="H46" s="506">
        <f t="shared" si="6"/>
        <v>6.095807225002306E-2</v>
      </c>
      <c r="K46" s="495"/>
      <c r="L46" s="495"/>
      <c r="M46" s="495"/>
      <c r="N46" s="495"/>
    </row>
    <row r="47" spans="3:14" ht="30" customHeight="1" x14ac:dyDescent="0.45">
      <c r="C47" s="498"/>
      <c r="D47" s="501"/>
      <c r="E47" s="819">
        <v>2008</v>
      </c>
      <c r="F47" s="819"/>
      <c r="G47" s="819"/>
      <c r="H47" s="819"/>
      <c r="L47" s="495"/>
      <c r="M47" s="495"/>
      <c r="N47" s="495"/>
    </row>
    <row r="48" spans="3:14" ht="30" customHeight="1" x14ac:dyDescent="0.5">
      <c r="C48" s="498"/>
      <c r="D48" s="501"/>
      <c r="E48" s="502">
        <v>0</v>
      </c>
      <c r="F48" s="502">
        <v>0.25</v>
      </c>
      <c r="G48" s="502">
        <v>0.5</v>
      </c>
      <c r="H48" s="502">
        <v>0.75</v>
      </c>
      <c r="K48" s="495"/>
      <c r="L48" s="495"/>
      <c r="M48" s="495"/>
      <c r="N48" s="495"/>
    </row>
    <row r="49" spans="3:14" ht="30" customHeight="1" x14ac:dyDescent="0.5">
      <c r="C49" s="821" t="s">
        <v>837</v>
      </c>
      <c r="D49" s="503">
        <v>0</v>
      </c>
      <c r="E49" s="504">
        <f t="shared" ref="E49:H52" si="7">$M$17+$D49*$N$17+E$6*$O$17</f>
        <v>-0.22688672220250397</v>
      </c>
      <c r="F49" s="504">
        <f t="shared" si="7"/>
        <v>-0.17564324894868333</v>
      </c>
      <c r="G49" s="504">
        <f t="shared" si="7"/>
        <v>-0.12439977569486271</v>
      </c>
      <c r="H49" s="504">
        <f t="shared" si="7"/>
        <v>-7.315630244104207E-2</v>
      </c>
      <c r="K49" s="495"/>
      <c r="L49" s="495"/>
      <c r="M49" s="495"/>
      <c r="N49" s="495"/>
    </row>
    <row r="50" spans="3:14" ht="30" customHeight="1" x14ac:dyDescent="0.5">
      <c r="C50" s="821"/>
      <c r="D50" s="503">
        <v>0.05</v>
      </c>
      <c r="E50" s="504">
        <f t="shared" si="7"/>
        <v>-0.22151169107166882</v>
      </c>
      <c r="F50" s="504">
        <f t="shared" si="7"/>
        <v>-0.17026821781784818</v>
      </c>
      <c r="G50" s="504">
        <f t="shared" si="7"/>
        <v>-0.11902474456402756</v>
      </c>
      <c r="H50" s="504">
        <f t="shared" si="7"/>
        <v>-6.778127131020692E-2</v>
      </c>
      <c r="K50" s="495"/>
      <c r="L50" s="495"/>
      <c r="M50" s="495"/>
      <c r="N50" s="495"/>
    </row>
    <row r="51" spans="3:14" ht="30" customHeight="1" x14ac:dyDescent="0.5">
      <c r="C51" s="821"/>
      <c r="D51" s="503">
        <v>0.1</v>
      </c>
      <c r="E51" s="504">
        <f t="shared" si="7"/>
        <v>-0.2161366599408337</v>
      </c>
      <c r="F51" s="504">
        <f t="shared" si="7"/>
        <v>-0.16489318668701308</v>
      </c>
      <c r="G51" s="504">
        <f t="shared" si="7"/>
        <v>-0.11364971343319244</v>
      </c>
      <c r="H51" s="504">
        <f t="shared" si="7"/>
        <v>-6.2406240179371797E-2</v>
      </c>
      <c r="K51" s="495"/>
      <c r="L51" s="495"/>
      <c r="M51" s="495"/>
      <c r="N51" s="495"/>
    </row>
    <row r="52" spans="3:14" ht="30" customHeight="1" x14ac:dyDescent="0.5">
      <c r="C52" s="822"/>
      <c r="D52" s="505">
        <v>0.15</v>
      </c>
      <c r="E52" s="506">
        <f t="shared" si="7"/>
        <v>-0.21076162880999855</v>
      </c>
      <c r="F52" s="506">
        <f t="shared" si="7"/>
        <v>-0.15951815555617793</v>
      </c>
      <c r="G52" s="506">
        <f t="shared" si="7"/>
        <v>-0.10827468230235729</v>
      </c>
      <c r="H52" s="506">
        <f t="shared" si="7"/>
        <v>-5.7031209048536646E-2</v>
      </c>
      <c r="K52" s="495"/>
      <c r="L52" s="495"/>
      <c r="M52" s="495"/>
      <c r="N52" s="495"/>
    </row>
    <row r="53" spans="3:14" ht="30" customHeight="1" x14ac:dyDescent="0.45">
      <c r="C53" s="498"/>
      <c r="D53" s="501"/>
      <c r="E53" s="819" t="s">
        <v>788</v>
      </c>
      <c r="F53" s="819"/>
      <c r="G53" s="819"/>
      <c r="H53" s="819"/>
    </row>
    <row r="54" spans="3:14" ht="30" customHeight="1" x14ac:dyDescent="0.5">
      <c r="C54" s="498"/>
      <c r="D54" s="501"/>
      <c r="E54" s="502">
        <v>0</v>
      </c>
      <c r="F54" s="502">
        <v>0.25</v>
      </c>
      <c r="G54" s="502">
        <v>0.5</v>
      </c>
      <c r="H54" s="502">
        <v>0.75</v>
      </c>
    </row>
    <row r="55" spans="3:14" ht="30" customHeight="1" x14ac:dyDescent="0.5">
      <c r="C55" s="821" t="s">
        <v>837</v>
      </c>
      <c r="D55" s="503">
        <v>0</v>
      </c>
      <c r="E55" s="504">
        <f>AVERAGE(E49,E43,E37,E31,E25,E19,E13,E7)</f>
        <v>-0.17854694848244398</v>
      </c>
      <c r="F55" s="504">
        <f t="shared" ref="F55:H55" si="8">AVERAGE(F49,F43,F37,F31,F25,F19,F13,F7)</f>
        <v>-0.13416191773570457</v>
      </c>
      <c r="G55" s="504">
        <f t="shared" si="8"/>
        <v>-8.9776886988965118E-2</v>
      </c>
      <c r="H55" s="504">
        <f t="shared" si="8"/>
        <v>-4.5391856242225664E-2</v>
      </c>
    </row>
    <row r="56" spans="3:14" ht="30" customHeight="1" x14ac:dyDescent="0.5">
      <c r="C56" s="821"/>
      <c r="D56" s="503">
        <v>0.05</v>
      </c>
      <c r="E56" s="504">
        <f t="shared" ref="E56:H57" si="9">AVERAGE(E50,E44,E38,E32,E26,E20,E14,E8)</f>
        <v>-0.17327882181080312</v>
      </c>
      <c r="F56" s="504">
        <f t="shared" si="9"/>
        <v>-0.12889379106406368</v>
      </c>
      <c r="G56" s="504">
        <f t="shared" si="9"/>
        <v>-8.4508760317324239E-2</v>
      </c>
      <c r="H56" s="504">
        <f t="shared" si="9"/>
        <v>-4.0123729570584771E-2</v>
      </c>
    </row>
    <row r="57" spans="3:14" ht="30" customHeight="1" x14ac:dyDescent="0.5">
      <c r="C57" s="821"/>
      <c r="D57" s="503">
        <v>0.1</v>
      </c>
      <c r="E57" s="504">
        <f t="shared" si="9"/>
        <v>-0.16801069513916225</v>
      </c>
      <c r="F57" s="504">
        <f t="shared" si="9"/>
        <v>-0.1236256643924228</v>
      </c>
      <c r="G57" s="504">
        <f t="shared" si="9"/>
        <v>-7.9240633645683345E-2</v>
      </c>
      <c r="H57" s="504">
        <f t="shared" si="9"/>
        <v>-3.4855602898943891E-2</v>
      </c>
    </row>
    <row r="58" spans="3:14" ht="30" customHeight="1" x14ac:dyDescent="0.5">
      <c r="C58" s="822"/>
      <c r="D58" s="505">
        <v>0.15</v>
      </c>
      <c r="E58" s="506">
        <f>AVERAGE(E52,E46,E40,E34,E28,E22,E16,E10)</f>
        <v>-0.16274256846752133</v>
      </c>
      <c r="F58" s="506">
        <f>AVERAGE(F52,F46,F40,F34,F28,F22,F16,F10)</f>
        <v>-0.11835753772078191</v>
      </c>
      <c r="G58" s="506">
        <f>AVERAGE(G52,G46,G40,G34,G28,G22,G16,G10)</f>
        <v>-7.3972506974042451E-2</v>
      </c>
      <c r="H58" s="506">
        <f>AVERAGE(H52,H46,H40,H34,H28,H22,H16,H10)</f>
        <v>-2.9587476227303008E-2</v>
      </c>
    </row>
  </sheetData>
  <mergeCells count="21">
    <mergeCell ref="E29:H29"/>
    <mergeCell ref="C2:H2"/>
    <mergeCell ref="E4:H4"/>
    <mergeCell ref="L4:N4"/>
    <mergeCell ref="E5:H5"/>
    <mergeCell ref="C7:C10"/>
    <mergeCell ref="E11:H11"/>
    <mergeCell ref="C13:C16"/>
    <mergeCell ref="E17:H17"/>
    <mergeCell ref="C19:C22"/>
    <mergeCell ref="E23:H23"/>
    <mergeCell ref="C25:C28"/>
    <mergeCell ref="C49:C52"/>
    <mergeCell ref="E53:H53"/>
    <mergeCell ref="C55:C58"/>
    <mergeCell ref="C31:C34"/>
    <mergeCell ref="E35:H35"/>
    <mergeCell ref="C37:C40"/>
    <mergeCell ref="E41:H41"/>
    <mergeCell ref="C43:C46"/>
    <mergeCell ref="E47:H47"/>
  </mergeCells>
  <phoneticPr fontId="13" type="noConversion"/>
  <pageMargins left="0.75" right="0.75" top="1" bottom="1" header="0.5" footer="0.5"/>
  <pageSetup paperSize="9" scale="38" orientation="portrait" horizontalDpi="4294967292" verticalDpi="4294967292"/>
  <extLst>
    <ext xmlns:mx="http://schemas.microsoft.com/office/mac/excel/2008/main" uri="{64002731-A6B0-56B0-2670-7721B7C09600}">
      <mx:PLV Mode="0" OnePage="0" WScale="100"/>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B3:K19"/>
  <sheetViews>
    <sheetView zoomScale="70" zoomScaleNormal="70" zoomScalePageLayoutView="70" workbookViewId="0">
      <selection activeCell="E25" sqref="E25"/>
    </sheetView>
  </sheetViews>
  <sheetFormatPr baseColWidth="10" defaultColWidth="10.7265625" defaultRowHeight="17.399999999999999" x14ac:dyDescent="0.3"/>
  <cols>
    <col min="1" max="1" width="10.7265625" style="59"/>
    <col min="2" max="2" width="5.26953125" style="59" customWidth="1"/>
    <col min="3" max="3" width="74.453125" style="59" customWidth="1"/>
    <col min="4" max="16384" width="10.7265625" style="59"/>
  </cols>
  <sheetData>
    <row r="3" spans="2:11" ht="31.05" customHeight="1" x14ac:dyDescent="0.5">
      <c r="B3" s="815" t="s">
        <v>875</v>
      </c>
      <c r="C3" s="815"/>
      <c r="D3" s="815"/>
      <c r="E3" s="815"/>
      <c r="F3" s="815"/>
      <c r="G3" s="815"/>
      <c r="H3" s="815"/>
      <c r="I3" s="815"/>
      <c r="J3" s="815"/>
      <c r="K3" s="815"/>
    </row>
    <row r="4" spans="2:11" ht="31.05" customHeight="1" thickBot="1" x14ac:dyDescent="0.35">
      <c r="B4" s="94"/>
      <c r="C4" s="94"/>
      <c r="D4" s="94"/>
      <c r="E4" s="94"/>
      <c r="F4" s="94"/>
      <c r="G4" s="94"/>
      <c r="H4" s="94"/>
      <c r="I4" s="94"/>
      <c r="J4" s="94"/>
      <c r="K4" s="94"/>
    </row>
    <row r="5" spans="2:11" ht="40.049999999999997" customHeight="1" thickTop="1" x14ac:dyDescent="0.35">
      <c r="B5" s="394"/>
      <c r="C5" s="591"/>
      <c r="D5" s="592">
        <v>2001</v>
      </c>
      <c r="E5" s="592">
        <v>2002</v>
      </c>
      <c r="F5" s="592">
        <v>2003</v>
      </c>
      <c r="G5" s="592">
        <v>2004</v>
      </c>
      <c r="H5" s="592">
        <v>2005</v>
      </c>
      <c r="I5" s="592">
        <v>2006</v>
      </c>
      <c r="J5" s="592">
        <v>2007</v>
      </c>
      <c r="K5" s="592">
        <v>2008</v>
      </c>
    </row>
    <row r="6" spans="2:11" ht="40.049999999999997" customHeight="1" x14ac:dyDescent="0.4">
      <c r="B6" s="394" t="s">
        <v>85</v>
      </c>
      <c r="C6" s="593" t="s">
        <v>811</v>
      </c>
      <c r="D6" s="594">
        <f t="array" ref="D6:K6">TRANSPOSE('Table A3'!E10:E17)</f>
        <v>2531.9708607429384</v>
      </c>
      <c r="E6" s="594">
        <v>2392.0139553325753</v>
      </c>
      <c r="F6" s="594">
        <v>2857.6815407211107</v>
      </c>
      <c r="G6" s="594">
        <v>3316.0255408955054</v>
      </c>
      <c r="H6" s="594">
        <v>3675.6375088096211</v>
      </c>
      <c r="I6" s="594">
        <v>3760.0031502700076</v>
      </c>
      <c r="J6" s="594">
        <v>5131.3253618628878</v>
      </c>
      <c r="K6" s="594">
        <v>4489.9775625675611</v>
      </c>
    </row>
    <row r="7" spans="2:11" ht="40.049999999999997" customHeight="1" x14ac:dyDescent="0.35">
      <c r="B7" s="394" t="s">
        <v>86</v>
      </c>
      <c r="C7" s="595" t="s">
        <v>814</v>
      </c>
      <c r="D7" s="596">
        <v>340.18700000000001</v>
      </c>
      <c r="E7" s="596">
        <v>374.334</v>
      </c>
      <c r="F7" s="596">
        <v>380.55500000000001</v>
      </c>
      <c r="G7" s="596">
        <v>468.99400000000003</v>
      </c>
      <c r="H7" s="596">
        <v>330.31099999999998</v>
      </c>
      <c r="I7" s="596">
        <v>159.37</v>
      </c>
      <c r="J7" s="596">
        <v>97.403999999999996</v>
      </c>
      <c r="K7" s="596" t="s">
        <v>202</v>
      </c>
    </row>
    <row r="8" spans="2:11" ht="40.049999999999997" customHeight="1" x14ac:dyDescent="0.35">
      <c r="B8" s="394" t="s">
        <v>87</v>
      </c>
      <c r="C8" s="595" t="s">
        <v>816</v>
      </c>
      <c r="D8" s="596">
        <v>16.719000000000001</v>
      </c>
      <c r="E8" s="596">
        <v>-3.06</v>
      </c>
      <c r="F8" s="596">
        <v>-32.341999999999999</v>
      </c>
      <c r="G8" s="596">
        <v>-45.07</v>
      </c>
      <c r="H8" s="596">
        <v>37.51</v>
      </c>
      <c r="I8" s="596">
        <v>24.218</v>
      </c>
      <c r="J8" s="596">
        <v>-46.621000000000002</v>
      </c>
      <c r="K8" s="596" t="s">
        <v>202</v>
      </c>
    </row>
    <row r="9" spans="2:11" ht="40.049999999999997" customHeight="1" x14ac:dyDescent="0.35">
      <c r="B9" s="394" t="s">
        <v>88</v>
      </c>
      <c r="C9" s="597" t="s">
        <v>815</v>
      </c>
      <c r="D9" s="596">
        <f>'Table A8'!D45</f>
        <v>187.71553292595343</v>
      </c>
      <c r="E9" s="596">
        <f>'Table A8'!E45</f>
        <v>209.29837955603836</v>
      </c>
      <c r="F9" s="596">
        <f>'Table A8'!F45</f>
        <v>263.44082348088409</v>
      </c>
      <c r="G9" s="596">
        <f>'Table A8'!G45</f>
        <v>287.43512504904436</v>
      </c>
      <c r="H9" s="596">
        <f>'Table A8'!H45</f>
        <v>368.87635197549622</v>
      </c>
      <c r="I9" s="596">
        <f>'Table A8'!I45</f>
        <v>452.30243835663083</v>
      </c>
      <c r="J9" s="596">
        <f>'Table A8'!J45</f>
        <v>569.96729750079101</v>
      </c>
      <c r="K9" s="596" t="s">
        <v>202</v>
      </c>
    </row>
    <row r="10" spans="2:11" ht="40.049999999999997" customHeight="1" x14ac:dyDescent="0.35">
      <c r="B10" s="394" t="s">
        <v>89</v>
      </c>
      <c r="C10" s="595" t="s">
        <v>812</v>
      </c>
      <c r="D10" s="596">
        <f t="array" ref="D10:K10">TRANSPOSE('Table A2'!G10:G17)</f>
        <v>242.30787229000001</v>
      </c>
      <c r="E10" s="596">
        <v>198.41886923000001</v>
      </c>
      <c r="F10" s="596">
        <v>268.61155945999997</v>
      </c>
      <c r="G10" s="596">
        <v>225.13289893000001</v>
      </c>
      <c r="H10" s="596">
        <v>456.19876069999998</v>
      </c>
      <c r="I10" s="596">
        <v>429.84205400000002</v>
      </c>
      <c r="J10" s="596">
        <v>619.19511699999998</v>
      </c>
      <c r="K10" s="596">
        <v>523.33192151000003</v>
      </c>
    </row>
    <row r="11" spans="2:11" ht="40.049999999999997" customHeight="1" x14ac:dyDescent="0.35">
      <c r="B11" s="394" t="s">
        <v>90</v>
      </c>
      <c r="C11" s="595" t="s">
        <v>821</v>
      </c>
      <c r="D11" s="596"/>
      <c r="E11" s="596"/>
      <c r="F11" s="596"/>
      <c r="G11" s="596">
        <f>'Table A21'!$O$42</f>
        <v>89.435600000000008</v>
      </c>
      <c r="H11" s="596">
        <f>'Table A21'!$O$42+'Table A21'!$O$43</f>
        <v>226.74980000000005</v>
      </c>
      <c r="I11" s="596">
        <f>'Table A21'!$O$42+'Table A21'!$O$43+'Table A21'!$O$44</f>
        <v>487.97280000000006</v>
      </c>
      <c r="J11" s="596">
        <f>'Table A21'!$O$42+'Table A21'!$O$43+'Table A21'!$O$44+'Table A21'!$O$45</f>
        <v>892.32680000000005</v>
      </c>
      <c r="K11" s="596">
        <f>'Table A21'!$O$42+'Table A21'!$O$43+'Table A21'!$O$44+'Table A21'!$O$45+'Table A21'!$O$46</f>
        <v>1258.6668</v>
      </c>
    </row>
    <row r="12" spans="2:11" ht="40.049999999999997" customHeight="1" x14ac:dyDescent="0.35">
      <c r="B12" s="394" t="s">
        <v>91</v>
      </c>
      <c r="C12" s="595" t="s">
        <v>813</v>
      </c>
      <c r="D12" s="596">
        <f>D6-D9-D7-D8-D10-D13</f>
        <v>108.11345552698481</v>
      </c>
      <c r="E12" s="596">
        <f>E6-E9-E7-E8-E10-E13</f>
        <v>-192.14929345346332</v>
      </c>
      <c r="F12" s="596">
        <f>F6-F9-F7-F8-F10-F13</f>
        <v>106.69615778022649</v>
      </c>
      <c r="G12" s="596">
        <f>G6-G9-G7-G8-G10-G11-G13</f>
        <v>314.79791691646119</v>
      </c>
      <c r="H12" s="596">
        <f>H6-H9-H7-H8-H10-H11-H13</f>
        <v>792.75159613412438</v>
      </c>
      <c r="I12" s="596">
        <f>I6-I9-I7-I8-I10-I11-I13</f>
        <v>460.30585791337694</v>
      </c>
      <c r="J12" s="596">
        <f>J6-J9-J7-J8-J10-J11-J13</f>
        <v>1324.7171473620967</v>
      </c>
      <c r="K12" s="596" t="s">
        <v>202</v>
      </c>
    </row>
    <row r="13" spans="2:11" ht="40.049999999999997" customHeight="1" x14ac:dyDescent="0.4">
      <c r="B13" s="394" t="s">
        <v>92</v>
      </c>
      <c r="C13" s="593" t="s">
        <v>817</v>
      </c>
      <c r="D13" s="598">
        <v>1636.9280000000001</v>
      </c>
      <c r="E13" s="598">
        <v>1805.172</v>
      </c>
      <c r="F13" s="598">
        <v>1870.72</v>
      </c>
      <c r="G13" s="598">
        <v>1975.3</v>
      </c>
      <c r="H13" s="598">
        <v>1463.24</v>
      </c>
      <c r="I13" s="598">
        <v>1745.992</v>
      </c>
      <c r="J13" s="598">
        <v>1674.336</v>
      </c>
      <c r="K13" s="598" t="s">
        <v>202</v>
      </c>
    </row>
    <row r="14" spans="2:11" ht="40.049999999999997" customHeight="1" thickBot="1" x14ac:dyDescent="0.4">
      <c r="B14" s="399" t="s">
        <v>93</v>
      </c>
      <c r="C14" s="599" t="s">
        <v>818</v>
      </c>
      <c r="D14" s="600">
        <v>1723.84</v>
      </c>
      <c r="E14" s="600">
        <v>2015.9</v>
      </c>
      <c r="F14" s="600">
        <v>1993.79</v>
      </c>
      <c r="G14" s="600">
        <v>2179.98</v>
      </c>
      <c r="H14" s="600">
        <v>1547.27</v>
      </c>
      <c r="I14" s="600">
        <v>1403.47</v>
      </c>
      <c r="J14" s="600">
        <v>1083.79</v>
      </c>
      <c r="K14" s="600">
        <v>645.23900000000003</v>
      </c>
    </row>
    <row r="15" spans="2:11" ht="18" thickTop="1" x14ac:dyDescent="0.3"/>
    <row r="16" spans="2:11" x14ac:dyDescent="0.3">
      <c r="C16" s="96"/>
      <c r="D16" s="91"/>
      <c r="E16" s="91"/>
      <c r="F16" s="91"/>
      <c r="G16" s="91"/>
      <c r="H16" s="91"/>
      <c r="I16" s="91"/>
      <c r="J16" s="91"/>
      <c r="K16" s="91"/>
    </row>
    <row r="18" spans="4:10" x14ac:dyDescent="0.3">
      <c r="D18" s="484"/>
      <c r="E18" s="484"/>
      <c r="F18" s="484"/>
      <c r="G18" s="484"/>
      <c r="H18" s="484"/>
      <c r="I18" s="484"/>
      <c r="J18" s="484"/>
    </row>
    <row r="19" spans="4:10" x14ac:dyDescent="0.3">
      <c r="D19" s="484"/>
      <c r="E19" s="484"/>
      <c r="F19" s="484"/>
      <c r="G19" s="484"/>
      <c r="H19" s="484"/>
      <c r="I19" s="484"/>
      <c r="J19" s="484"/>
    </row>
  </sheetData>
  <mergeCells count="1">
    <mergeCell ref="B3:K3"/>
  </mergeCells>
  <phoneticPr fontId="13" type="noConversion"/>
  <pageMargins left="0.75000000000000011" right="0.75000000000000011" top="1" bottom="1" header="0.5" footer="0.5"/>
  <pageSetup paperSize="9" scale="63" orientation="landscape" horizontalDpi="4294967292" verticalDpi="4294967292"/>
  <extLst>
    <ext xmlns:mx="http://schemas.microsoft.com/office/mac/excel/2008/main" uri="{64002731-A6B0-56B0-2670-7721B7C09600}">
      <mx:PLV Mode="0" OnePage="0" WScale="100"/>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B1:P53"/>
  <sheetViews>
    <sheetView zoomScale="50" zoomScaleNormal="50" zoomScalePageLayoutView="50" workbookViewId="0">
      <selection activeCell="B25" sqref="B25:B28"/>
    </sheetView>
  </sheetViews>
  <sheetFormatPr baseColWidth="10" defaultColWidth="10.7265625" defaultRowHeight="15" x14ac:dyDescent="0.25"/>
  <cols>
    <col min="1" max="1" width="10.7265625" style="489"/>
    <col min="2" max="2" width="53" style="489" customWidth="1"/>
    <col min="3" max="7" width="24" style="489" customWidth="1"/>
    <col min="8" max="8" width="16.26953125" style="489" customWidth="1"/>
    <col min="9" max="9" width="10.7265625" style="489"/>
    <col min="10" max="11" width="18" style="489" bestFit="1" customWidth="1"/>
    <col min="12" max="16384" width="10.7265625" style="489"/>
  </cols>
  <sheetData>
    <row r="1" spans="2:16" ht="58.05" customHeight="1" x14ac:dyDescent="0.25">
      <c r="J1" s="492"/>
      <c r="K1" s="491"/>
      <c r="L1" s="490"/>
      <c r="M1" s="490"/>
      <c r="N1" s="490"/>
    </row>
    <row r="2" spans="2:16" ht="52.05" customHeight="1" x14ac:dyDescent="0.5">
      <c r="B2" s="827" t="s">
        <v>876</v>
      </c>
      <c r="C2" s="827"/>
      <c r="D2" s="827"/>
      <c r="E2" s="827"/>
      <c r="F2" s="827"/>
      <c r="G2" s="827"/>
      <c r="H2" s="497"/>
      <c r="I2" s="497"/>
      <c r="J2" s="497"/>
      <c r="K2" s="497"/>
    </row>
    <row r="3" spans="2:16" ht="36" customHeight="1" thickBot="1" x14ac:dyDescent="0.3">
      <c r="B3" s="588"/>
      <c r="C3" s="588"/>
      <c r="D3" s="588"/>
      <c r="E3" s="588"/>
      <c r="F3" s="588"/>
      <c r="G3" s="588"/>
    </row>
    <row r="4" spans="2:16" ht="78" customHeight="1" thickTop="1" x14ac:dyDescent="0.5">
      <c r="B4" s="498"/>
      <c r="C4" s="587"/>
      <c r="D4" s="825" t="s">
        <v>823</v>
      </c>
      <c r="E4" s="825"/>
      <c r="F4" s="825"/>
      <c r="G4" s="825"/>
      <c r="J4" s="494"/>
      <c r="K4" s="823"/>
      <c r="L4" s="823"/>
      <c r="M4" s="823"/>
    </row>
    <row r="5" spans="2:16" ht="30" customHeight="1" x14ac:dyDescent="0.45">
      <c r="B5" s="498"/>
      <c r="C5" s="500"/>
      <c r="D5" s="819">
        <v>2001</v>
      </c>
      <c r="E5" s="819"/>
      <c r="F5" s="819"/>
      <c r="G5" s="819"/>
    </row>
    <row r="6" spans="2:16" ht="30" customHeight="1" x14ac:dyDescent="0.5">
      <c r="B6" s="498"/>
      <c r="C6" s="501"/>
      <c r="D6" s="502">
        <v>0</v>
      </c>
      <c r="E6" s="502">
        <v>0.25</v>
      </c>
      <c r="F6" s="502">
        <v>0.5</v>
      </c>
      <c r="G6" s="502">
        <v>0.75</v>
      </c>
      <c r="J6" s="495"/>
      <c r="K6" s="495"/>
      <c r="L6" s="495"/>
      <c r="M6" s="495"/>
    </row>
    <row r="7" spans="2:16" ht="30" customHeight="1" x14ac:dyDescent="0.5">
      <c r="B7" s="821" t="s">
        <v>822</v>
      </c>
      <c r="C7" s="503">
        <v>0</v>
      </c>
      <c r="D7" s="504">
        <f t="shared" ref="D7:G10" si="0">$L$10+$C7*$M$10+D$6*$N$10</f>
        <v>-0.1017672117541352</v>
      </c>
      <c r="E7" s="504">
        <f t="shared" si="0"/>
        <v>-3.3076354923417844E-2</v>
      </c>
      <c r="F7" s="504">
        <f t="shared" si="0"/>
        <v>3.5614501907299506E-2</v>
      </c>
      <c r="G7" s="504">
        <f t="shared" si="0"/>
        <v>0.10430535873801686</v>
      </c>
      <c r="J7" s="495"/>
      <c r="K7" s="495"/>
      <c r="L7" s="495"/>
      <c r="M7" s="495"/>
    </row>
    <row r="8" spans="2:16" ht="30" customHeight="1" x14ac:dyDescent="0.5">
      <c r="B8" s="821"/>
      <c r="C8" s="503">
        <v>0.4</v>
      </c>
      <c r="D8" s="504">
        <f t="shared" si="0"/>
        <v>-5.2048650984052709E-2</v>
      </c>
      <c r="E8" s="504">
        <f t="shared" si="0"/>
        <v>1.6642205846664641E-2</v>
      </c>
      <c r="F8" s="504">
        <f t="shared" si="0"/>
        <v>8.5333062677381999E-2</v>
      </c>
      <c r="G8" s="504">
        <f t="shared" si="0"/>
        <v>0.15402391950809935</v>
      </c>
      <c r="J8" s="495"/>
      <c r="M8" s="488"/>
    </row>
    <row r="9" spans="2:16" ht="30" customHeight="1" x14ac:dyDescent="0.5">
      <c r="B9" s="821"/>
      <c r="C9" s="503">
        <v>0.5</v>
      </c>
      <c r="D9" s="504">
        <f t="shared" si="0"/>
        <v>-3.9619010791532093E-2</v>
      </c>
      <c r="E9" s="504">
        <f t="shared" si="0"/>
        <v>2.9071846039185258E-2</v>
      </c>
      <c r="F9" s="504">
        <f t="shared" si="0"/>
        <v>9.7762702869902601E-2</v>
      </c>
      <c r="G9" s="504">
        <f t="shared" si="0"/>
        <v>0.16645355970061995</v>
      </c>
      <c r="J9" s="495"/>
      <c r="L9" s="489" t="s">
        <v>825</v>
      </c>
      <c r="M9" s="489" t="s">
        <v>826</v>
      </c>
      <c r="N9" s="489" t="s">
        <v>827</v>
      </c>
      <c r="O9" s="489" t="s">
        <v>834</v>
      </c>
      <c r="P9" s="489" t="s">
        <v>835</v>
      </c>
    </row>
    <row r="10" spans="2:16" ht="30" customHeight="1" x14ac:dyDescent="0.5">
      <c r="B10" s="822"/>
      <c r="C10" s="505">
        <v>0.6</v>
      </c>
      <c r="D10" s="506">
        <f t="shared" si="0"/>
        <v>-2.718937059901147E-2</v>
      </c>
      <c r="E10" s="506">
        <f t="shared" si="0"/>
        <v>4.1501486231705881E-2</v>
      </c>
      <c r="F10" s="506">
        <f t="shared" si="0"/>
        <v>0.11019234306242323</v>
      </c>
      <c r="G10" s="506">
        <f t="shared" si="0"/>
        <v>0.17888319989314058</v>
      </c>
      <c r="J10" s="495"/>
      <c r="K10" s="489">
        <v>2001</v>
      </c>
      <c r="L10" s="493">
        <f>(RawDataSources!EH41-'Table A12'!O8-'Table A12'!O19-0.25*P10)/RawDataSources!EW41</f>
        <v>-0.1017672117541352</v>
      </c>
      <c r="M10" s="493">
        <f>('Table A3'!E10*O10)/RawDataSources!EW41</f>
        <v>0.1242964019252062</v>
      </c>
      <c r="N10" s="493">
        <f>('Table A3'!E10*(1-O10))/RawDataSources!EW41</f>
        <v>0.2747634273228694</v>
      </c>
      <c r="O10" s="493">
        <f>'Table A23'!N11</f>
        <v>0.31147309955855601</v>
      </c>
      <c r="P10" s="489">
        <f t="array" ref="P10:P16">TRANSPOSE('Table A30'!D7:J7)+TRANSPOSE('Table A30'!D8:J8)+TRANSPOSE('Table A30'!D11:J11)+TRANSPOSE('Table A30'!D12:J12)</f>
        <v>465.01945552698481</v>
      </c>
    </row>
    <row r="11" spans="2:16" ht="30" customHeight="1" x14ac:dyDescent="0.45">
      <c r="B11" s="498"/>
      <c r="C11" s="500"/>
      <c r="D11" s="819">
        <v>2002</v>
      </c>
      <c r="E11" s="819"/>
      <c r="F11" s="819"/>
      <c r="G11" s="819"/>
      <c r="K11" s="489">
        <v>2002</v>
      </c>
      <c r="L11" s="493">
        <f>(RawDataSources!EH42-'Table A12'!O9-'Table A12'!O20-0.25*P11)/RawDataSources!EW42</f>
        <v>-0.13492419254733443</v>
      </c>
      <c r="M11" s="493">
        <f>('Table A3'!E11*O11)/RawDataSources!EW42</f>
        <v>0.12429877712348543</v>
      </c>
      <c r="N11" s="493">
        <f>('Table A3'!E11*(1-O11))/RawDataSources!EW42</f>
        <v>0.2219871405692441</v>
      </c>
      <c r="O11" s="493">
        <f>'Table A23'!N12</f>
        <v>0.35894840296041053</v>
      </c>
      <c r="P11" s="489">
        <v>179.12470654653669</v>
      </c>
    </row>
    <row r="12" spans="2:16" ht="30" customHeight="1" x14ac:dyDescent="0.5">
      <c r="B12" s="498"/>
      <c r="C12" s="501"/>
      <c r="D12" s="502">
        <v>0</v>
      </c>
      <c r="E12" s="502">
        <v>0.25</v>
      </c>
      <c r="F12" s="502">
        <v>0.5</v>
      </c>
      <c r="G12" s="502">
        <v>0.75</v>
      </c>
      <c r="J12" s="495"/>
      <c r="K12" s="489">
        <v>2003</v>
      </c>
      <c r="L12" s="493">
        <f>(RawDataSources!EH43-'Table A12'!O10-'Table A12'!O21-0.25*P12)/RawDataSources!EW43</f>
        <v>-0.14970690842310327</v>
      </c>
      <c r="M12" s="493">
        <f>('Table A3'!E12*O12)/RawDataSources!EW43</f>
        <v>0.12644618789803033</v>
      </c>
      <c r="N12" s="493">
        <f>('Table A3'!E12*(1-O12))/RawDataSources!EW43</f>
        <v>0.2083788630921273</v>
      </c>
      <c r="O12" s="493">
        <f>'Table A23'!N13</f>
        <v>0.37764852875882127</v>
      </c>
      <c r="P12" s="489">
        <v>454.90915778022651</v>
      </c>
    </row>
    <row r="13" spans="2:16" ht="30" customHeight="1" x14ac:dyDescent="0.5">
      <c r="B13" s="821" t="s">
        <v>822</v>
      </c>
      <c r="C13" s="503">
        <v>0</v>
      </c>
      <c r="D13" s="504">
        <f t="shared" ref="D13:G16" si="1">$L$11+$C13*$M$11+D$6*$N$11</f>
        <v>-0.13492419254733443</v>
      </c>
      <c r="E13" s="504">
        <f t="shared" si="1"/>
        <v>-7.9427407405023409E-2</v>
      </c>
      <c r="F13" s="504">
        <f t="shared" si="1"/>
        <v>-2.3930622262712378E-2</v>
      </c>
      <c r="G13" s="504">
        <f t="shared" si="1"/>
        <v>3.1566162879598653E-2</v>
      </c>
      <c r="J13" s="495"/>
      <c r="K13" s="489">
        <v>2004</v>
      </c>
      <c r="L13" s="493">
        <f>(RawDataSources!EH44-'Table A12'!O11-'Table A12'!O22-0.25*P13)/RawDataSources!EW44</f>
        <v>-0.15537854993019717</v>
      </c>
      <c r="M13" s="493">
        <f>('Table A3'!E13*O13)/RawDataSources!EW44</f>
        <v>0.12905813443477851</v>
      </c>
      <c r="N13" s="493">
        <f>('Table A3'!E13*(1-O13))/RawDataSources!EW44</f>
        <v>0.21022477169709108</v>
      </c>
      <c r="O13" s="493">
        <f>'Table A23'!N14</f>
        <v>0.38038501823200399</v>
      </c>
      <c r="P13" s="489">
        <v>828.15751691646119</v>
      </c>
    </row>
    <row r="14" spans="2:16" ht="30" customHeight="1" x14ac:dyDescent="0.5">
      <c r="B14" s="821"/>
      <c r="C14" s="503">
        <v>0.4</v>
      </c>
      <c r="D14" s="504">
        <f t="shared" si="1"/>
        <v>-8.5204681697940252E-2</v>
      </c>
      <c r="E14" s="504">
        <f t="shared" si="1"/>
        <v>-2.9707896555629228E-2</v>
      </c>
      <c r="F14" s="504">
        <f t="shared" si="1"/>
        <v>2.5788888586681796E-2</v>
      </c>
      <c r="G14" s="504">
        <f t="shared" si="1"/>
        <v>8.1285673728992827E-2</v>
      </c>
      <c r="J14" s="495"/>
      <c r="K14" s="489">
        <v>2005</v>
      </c>
      <c r="L14" s="493">
        <f>(RawDataSources!EH45-'Table A12'!O12-'Table A12'!O23-0.25*P14)/RawDataSources!EW45</f>
        <v>-0.13733152406631061</v>
      </c>
      <c r="M14" s="493">
        <f>('Table A3'!E14*O14)/RawDataSources!EW45</f>
        <v>0.13506600085451298</v>
      </c>
      <c r="N14" s="493">
        <f>('Table A3'!E14*(1-O14))/RawDataSources!EW45</f>
        <v>0.22707366998434034</v>
      </c>
      <c r="O14" s="493">
        <f>'Table A23'!N15</f>
        <v>0.37296659750545619</v>
      </c>
      <c r="P14" s="489">
        <v>1387.3223961341243</v>
      </c>
    </row>
    <row r="15" spans="2:16" ht="30" customHeight="1" x14ac:dyDescent="0.5">
      <c r="B15" s="821"/>
      <c r="C15" s="503">
        <v>0.5</v>
      </c>
      <c r="D15" s="504">
        <f t="shared" si="1"/>
        <v>-7.2774803985591718E-2</v>
      </c>
      <c r="E15" s="504">
        <f t="shared" si="1"/>
        <v>-1.7278018843280694E-2</v>
      </c>
      <c r="F15" s="504">
        <f t="shared" si="1"/>
        <v>3.821876629903033E-2</v>
      </c>
      <c r="G15" s="504">
        <f t="shared" si="1"/>
        <v>9.371555144134136E-2</v>
      </c>
      <c r="J15" s="495"/>
      <c r="K15" s="489">
        <v>2006</v>
      </c>
      <c r="L15" s="493">
        <f>(RawDataSources!EH46-'Table A12'!O13-'Table A12'!O24-0.25*P15)/RawDataSources!EW46</f>
        <v>-0.1730854141950901</v>
      </c>
      <c r="M15" s="493">
        <f>('Table A3'!E15*O15)/RawDataSources!EW46</f>
        <v>0.15194818261315571</v>
      </c>
      <c r="N15" s="493">
        <f>('Table A3'!E15*(1-O15))/RawDataSources!EW46</f>
        <v>0.1977434966346526</v>
      </c>
      <c r="O15" s="493">
        <f>'Table A23'!N16</f>
        <v>0.43452044080659386</v>
      </c>
      <c r="P15" s="489">
        <v>1131.8666579133769</v>
      </c>
    </row>
    <row r="16" spans="2:16" ht="30" customHeight="1" x14ac:dyDescent="0.5">
      <c r="B16" s="822"/>
      <c r="C16" s="505">
        <v>0.6</v>
      </c>
      <c r="D16" s="506">
        <f t="shared" si="1"/>
        <v>-6.0344926273243171E-2</v>
      </c>
      <c r="E16" s="506">
        <f t="shared" si="1"/>
        <v>-4.8481411309321473E-3</v>
      </c>
      <c r="F16" s="506">
        <f t="shared" si="1"/>
        <v>5.0648644011378877E-2</v>
      </c>
      <c r="G16" s="506">
        <f t="shared" si="1"/>
        <v>0.10614542915368991</v>
      </c>
      <c r="J16" s="495"/>
      <c r="K16" s="489">
        <v>2007</v>
      </c>
      <c r="L16" s="493">
        <f>(RawDataSources!EH47-'Table A12'!O14-'Table A12'!O25-0.25*P16)/RawDataSources!EW47</f>
        <v>-0.22138667019512079</v>
      </c>
      <c r="M16" s="493">
        <f>('Table A3'!E16*O16)/RawDataSources!EW47</f>
        <v>0.16133430525615455</v>
      </c>
      <c r="N16" s="493">
        <f>('Table A3'!E16*(1-O16))/RawDataSources!EW47</f>
        <v>0.254219639423995</v>
      </c>
      <c r="O16" s="493">
        <f>'Table A23'!N17</f>
        <v>0.38823913795435877</v>
      </c>
      <c r="P16" s="489">
        <v>2267.8269473620967</v>
      </c>
    </row>
    <row r="17" spans="2:15" ht="30" customHeight="1" x14ac:dyDescent="0.45">
      <c r="B17" s="498"/>
      <c r="C17" s="501"/>
      <c r="D17" s="819">
        <v>2003</v>
      </c>
      <c r="E17" s="819"/>
      <c r="F17" s="819"/>
      <c r="G17" s="819"/>
      <c r="L17" s="493"/>
      <c r="M17" s="493"/>
      <c r="N17" s="493"/>
      <c r="O17" s="493"/>
    </row>
    <row r="18" spans="2:15" ht="30" customHeight="1" x14ac:dyDescent="0.5">
      <c r="B18" s="498"/>
      <c r="C18" s="504"/>
      <c r="D18" s="503">
        <v>0</v>
      </c>
      <c r="E18" s="503">
        <v>0.25</v>
      </c>
      <c r="F18" s="503">
        <v>0.5</v>
      </c>
      <c r="G18" s="503">
        <v>0.75</v>
      </c>
      <c r="J18" s="495"/>
      <c r="K18" s="495"/>
      <c r="L18" s="495"/>
      <c r="M18" s="495"/>
    </row>
    <row r="19" spans="2:15" ht="30" customHeight="1" x14ac:dyDescent="0.5">
      <c r="B19" s="821" t="s">
        <v>822</v>
      </c>
      <c r="C19" s="503">
        <v>0</v>
      </c>
      <c r="D19" s="504">
        <f t="shared" ref="D19:G22" si="2">$L$12+$C19*$M$12+D$6*$N$12</f>
        <v>-0.14970690842310327</v>
      </c>
      <c r="E19" s="504">
        <f t="shared" si="2"/>
        <v>-9.7612192650071455E-2</v>
      </c>
      <c r="F19" s="504">
        <f t="shared" si="2"/>
        <v>-4.5517476877039623E-2</v>
      </c>
      <c r="G19" s="504">
        <f t="shared" si="2"/>
        <v>6.5772388959922101E-3</v>
      </c>
      <c r="J19" s="495"/>
      <c r="K19" s="495"/>
      <c r="L19" s="495"/>
      <c r="M19" s="495"/>
    </row>
    <row r="20" spans="2:15" ht="30" customHeight="1" x14ac:dyDescent="0.5">
      <c r="B20" s="821"/>
      <c r="C20" s="503">
        <v>0.4</v>
      </c>
      <c r="D20" s="504">
        <f t="shared" si="2"/>
        <v>-9.9128433263891147E-2</v>
      </c>
      <c r="E20" s="504">
        <f t="shared" si="2"/>
        <v>-4.7033717490859321E-2</v>
      </c>
      <c r="F20" s="504">
        <f t="shared" si="2"/>
        <v>5.0609982821725047E-3</v>
      </c>
      <c r="G20" s="504">
        <f t="shared" si="2"/>
        <v>5.7155714055204337E-2</v>
      </c>
      <c r="J20" s="495"/>
      <c r="K20" s="495"/>
      <c r="L20" s="495"/>
      <c r="M20" s="495"/>
    </row>
    <row r="21" spans="2:15" ht="30" customHeight="1" x14ac:dyDescent="0.5">
      <c r="B21" s="821"/>
      <c r="C21" s="503">
        <v>0.5</v>
      </c>
      <c r="D21" s="504">
        <f t="shared" si="2"/>
        <v>-8.6483814474088108E-2</v>
      </c>
      <c r="E21" s="504">
        <f t="shared" si="2"/>
        <v>-3.4389098701056282E-2</v>
      </c>
      <c r="F21" s="504">
        <f t="shared" si="2"/>
        <v>1.7705617071975543E-2</v>
      </c>
      <c r="G21" s="504">
        <f t="shared" si="2"/>
        <v>6.9800332845007376E-2</v>
      </c>
      <c r="J21" s="495"/>
      <c r="K21" s="495"/>
      <c r="L21" s="495"/>
      <c r="M21" s="495"/>
    </row>
    <row r="22" spans="2:15" ht="30" customHeight="1" x14ac:dyDescent="0.5">
      <c r="B22" s="822"/>
      <c r="C22" s="505">
        <v>0.6</v>
      </c>
      <c r="D22" s="506">
        <f t="shared" si="2"/>
        <v>-7.3839195684285083E-2</v>
      </c>
      <c r="E22" s="506">
        <f t="shared" si="2"/>
        <v>-2.1744479911253257E-2</v>
      </c>
      <c r="F22" s="506">
        <f t="shared" si="2"/>
        <v>3.0350235861778568E-2</v>
      </c>
      <c r="G22" s="506">
        <f t="shared" si="2"/>
        <v>8.2444951634810401E-2</v>
      </c>
      <c r="J22" s="495"/>
      <c r="K22" s="495"/>
      <c r="L22" s="495"/>
      <c r="M22" s="495"/>
    </row>
    <row r="23" spans="2:15" ht="30" customHeight="1" x14ac:dyDescent="0.45">
      <c r="B23" s="498"/>
      <c r="C23" s="501"/>
      <c r="D23" s="819">
        <v>2004</v>
      </c>
      <c r="E23" s="819"/>
      <c r="F23" s="819"/>
      <c r="G23" s="819"/>
      <c r="K23" s="495"/>
      <c r="L23" s="495"/>
      <c r="M23" s="495"/>
    </row>
    <row r="24" spans="2:15" ht="30" customHeight="1" x14ac:dyDescent="0.5">
      <c r="B24" s="498"/>
      <c r="C24" s="504"/>
      <c r="D24" s="503">
        <v>0</v>
      </c>
      <c r="E24" s="503">
        <v>0.25</v>
      </c>
      <c r="F24" s="503">
        <v>0.5</v>
      </c>
      <c r="G24" s="503">
        <v>0.75</v>
      </c>
      <c r="J24" s="495"/>
      <c r="K24" s="495"/>
      <c r="L24" s="495"/>
      <c r="M24" s="495"/>
    </row>
    <row r="25" spans="2:15" ht="30" customHeight="1" x14ac:dyDescent="0.5">
      <c r="B25" s="821" t="s">
        <v>822</v>
      </c>
      <c r="C25" s="503">
        <v>0</v>
      </c>
      <c r="D25" s="504">
        <f t="shared" ref="D25:G28" si="3">$L$13+$C25*$M$13+D$6*$N$13</f>
        <v>-0.15537854993019717</v>
      </c>
      <c r="E25" s="504">
        <f t="shared" si="3"/>
        <v>-0.1028223570059244</v>
      </c>
      <c r="F25" s="504">
        <f t="shared" si="3"/>
        <v>-5.0266164081651632E-2</v>
      </c>
      <c r="G25" s="504">
        <f t="shared" si="3"/>
        <v>2.290028842621139E-3</v>
      </c>
      <c r="J25" s="495"/>
      <c r="K25" s="495"/>
      <c r="L25" s="495"/>
      <c r="M25" s="495"/>
    </row>
    <row r="26" spans="2:15" ht="30" customHeight="1" x14ac:dyDescent="0.5">
      <c r="B26" s="821"/>
      <c r="C26" s="503">
        <v>0.4</v>
      </c>
      <c r="D26" s="504">
        <f t="shared" si="3"/>
        <v>-0.10375529615628576</v>
      </c>
      <c r="E26" s="504">
        <f t="shared" si="3"/>
        <v>-5.1199103232012988E-2</v>
      </c>
      <c r="F26" s="504">
        <f t="shared" si="3"/>
        <v>1.357089692259783E-3</v>
      </c>
      <c r="G26" s="504">
        <f t="shared" si="3"/>
        <v>5.3913282616532554E-2</v>
      </c>
      <c r="J26" s="495"/>
      <c r="K26" s="495"/>
      <c r="L26" s="495"/>
      <c r="M26" s="495"/>
    </row>
    <row r="27" spans="2:15" ht="30" customHeight="1" x14ac:dyDescent="0.5">
      <c r="B27" s="821"/>
      <c r="C27" s="503">
        <v>0.5</v>
      </c>
      <c r="D27" s="504">
        <f t="shared" si="3"/>
        <v>-9.0849482712807919E-2</v>
      </c>
      <c r="E27" s="504">
        <f t="shared" si="3"/>
        <v>-3.8293289788535148E-2</v>
      </c>
      <c r="F27" s="504">
        <f t="shared" si="3"/>
        <v>1.4262903135737623E-2</v>
      </c>
      <c r="G27" s="504">
        <f t="shared" si="3"/>
        <v>6.6819096060010394E-2</v>
      </c>
      <c r="J27" s="495"/>
      <c r="K27" s="495"/>
      <c r="L27" s="495"/>
      <c r="M27" s="495"/>
    </row>
    <row r="28" spans="2:15" ht="30" customHeight="1" x14ac:dyDescent="0.5">
      <c r="B28" s="822"/>
      <c r="C28" s="505">
        <v>0.6</v>
      </c>
      <c r="D28" s="506">
        <f t="shared" si="3"/>
        <v>-7.7943669269330065E-2</v>
      </c>
      <c r="E28" s="506">
        <f t="shared" si="3"/>
        <v>-2.5387476345057294E-2</v>
      </c>
      <c r="F28" s="506">
        <f t="shared" si="3"/>
        <v>2.7168716579215477E-2</v>
      </c>
      <c r="G28" s="506">
        <f t="shared" si="3"/>
        <v>7.9724909503488248E-2</v>
      </c>
      <c r="J28" s="495"/>
      <c r="K28" s="495"/>
      <c r="L28" s="495"/>
      <c r="M28" s="495"/>
    </row>
    <row r="29" spans="2:15" ht="30" customHeight="1" x14ac:dyDescent="0.45">
      <c r="B29" s="498"/>
      <c r="C29" s="501"/>
      <c r="D29" s="819">
        <v>2005</v>
      </c>
      <c r="E29" s="819"/>
      <c r="F29" s="819"/>
      <c r="G29" s="819"/>
      <c r="K29" s="495"/>
      <c r="L29" s="495"/>
      <c r="M29" s="495"/>
    </row>
    <row r="30" spans="2:15" ht="30" customHeight="1" x14ac:dyDescent="0.5">
      <c r="B30" s="498"/>
      <c r="C30" s="501"/>
      <c r="D30" s="502">
        <v>0</v>
      </c>
      <c r="E30" s="502">
        <v>0.25</v>
      </c>
      <c r="F30" s="502">
        <v>0.5</v>
      </c>
      <c r="G30" s="502">
        <v>0.75</v>
      </c>
      <c r="J30" s="495"/>
      <c r="K30" s="495"/>
      <c r="L30" s="495"/>
      <c r="M30" s="495"/>
    </row>
    <row r="31" spans="2:15" ht="30" customHeight="1" x14ac:dyDescent="0.5">
      <c r="B31" s="821" t="s">
        <v>822</v>
      </c>
      <c r="C31" s="503">
        <v>0</v>
      </c>
      <c r="D31" s="504">
        <f t="shared" ref="D31:G34" si="4">$L$14+$C31*$M$14+D$6*$N$14</f>
        <v>-0.13733152406631061</v>
      </c>
      <c r="E31" s="504">
        <f t="shared" si="4"/>
        <v>-8.0563106570225529E-2</v>
      </c>
      <c r="F31" s="504">
        <f t="shared" si="4"/>
        <v>-2.3794689074140438E-2</v>
      </c>
      <c r="G31" s="504">
        <f t="shared" si="4"/>
        <v>3.2973728421944654E-2</v>
      </c>
      <c r="J31" s="495"/>
      <c r="K31" s="495"/>
      <c r="L31" s="495"/>
      <c r="M31" s="495"/>
    </row>
    <row r="32" spans="2:15" ht="30" customHeight="1" x14ac:dyDescent="0.5">
      <c r="B32" s="821"/>
      <c r="C32" s="503">
        <v>0.4</v>
      </c>
      <c r="D32" s="504">
        <f t="shared" si="4"/>
        <v>-8.3305123724505409E-2</v>
      </c>
      <c r="E32" s="504">
        <f t="shared" si="4"/>
        <v>-2.6536706228420325E-2</v>
      </c>
      <c r="F32" s="504">
        <f t="shared" si="4"/>
        <v>3.023171126766476E-2</v>
      </c>
      <c r="G32" s="504">
        <f t="shared" si="4"/>
        <v>8.7000128763749851E-2</v>
      </c>
      <c r="J32" s="495"/>
      <c r="K32" s="495"/>
      <c r="L32" s="495"/>
      <c r="M32" s="495"/>
    </row>
    <row r="33" spans="2:13" ht="30" customHeight="1" x14ac:dyDescent="0.5">
      <c r="B33" s="821"/>
      <c r="C33" s="503">
        <v>0.5</v>
      </c>
      <c r="D33" s="504">
        <f t="shared" si="4"/>
        <v>-6.9798523639054116E-2</v>
      </c>
      <c r="E33" s="504">
        <f t="shared" si="4"/>
        <v>-1.3030106142969032E-2</v>
      </c>
      <c r="F33" s="504">
        <f t="shared" si="4"/>
        <v>4.3738311353116052E-2</v>
      </c>
      <c r="G33" s="504">
        <f t="shared" si="4"/>
        <v>0.10050672884920114</v>
      </c>
      <c r="J33" s="495"/>
      <c r="K33" s="495"/>
      <c r="L33" s="495"/>
      <c r="M33" s="495"/>
    </row>
    <row r="34" spans="2:13" ht="30" customHeight="1" x14ac:dyDescent="0.5">
      <c r="B34" s="822"/>
      <c r="C34" s="505">
        <v>0.6</v>
      </c>
      <c r="D34" s="506">
        <f t="shared" si="4"/>
        <v>-5.6291923553602824E-2</v>
      </c>
      <c r="E34" s="506">
        <f t="shared" si="4"/>
        <v>4.7649394248226035E-4</v>
      </c>
      <c r="F34" s="506">
        <f t="shared" si="4"/>
        <v>5.7244911438567345E-2</v>
      </c>
      <c r="G34" s="506">
        <f t="shared" si="4"/>
        <v>0.11401332893465244</v>
      </c>
      <c r="J34" s="495"/>
      <c r="K34" s="495"/>
      <c r="L34" s="495"/>
      <c r="M34" s="495"/>
    </row>
    <row r="35" spans="2:13" ht="30" customHeight="1" x14ac:dyDescent="0.45">
      <c r="B35" s="498"/>
      <c r="C35" s="501"/>
      <c r="D35" s="819">
        <v>2006</v>
      </c>
      <c r="E35" s="819"/>
      <c r="F35" s="819"/>
      <c r="G35" s="819"/>
      <c r="K35" s="495"/>
      <c r="L35" s="495"/>
      <c r="M35" s="495"/>
    </row>
    <row r="36" spans="2:13" ht="30" customHeight="1" x14ac:dyDescent="0.5">
      <c r="B36" s="498"/>
      <c r="C36" s="504"/>
      <c r="D36" s="503">
        <v>0</v>
      </c>
      <c r="E36" s="503">
        <v>0.25</v>
      </c>
      <c r="F36" s="503">
        <v>0.5</v>
      </c>
      <c r="G36" s="503">
        <v>0.75</v>
      </c>
      <c r="J36" s="495"/>
      <c r="K36" s="495"/>
      <c r="L36" s="495"/>
      <c r="M36" s="495"/>
    </row>
    <row r="37" spans="2:13" ht="30" customHeight="1" x14ac:dyDescent="0.5">
      <c r="B37" s="821" t="s">
        <v>822</v>
      </c>
      <c r="C37" s="503">
        <v>0</v>
      </c>
      <c r="D37" s="504">
        <f t="shared" ref="D37:G40" si="5">$L$15+$C37*$M$15+D$6*$N$15</f>
        <v>-0.1730854141950901</v>
      </c>
      <c r="E37" s="504">
        <f t="shared" si="5"/>
        <v>-0.12364954003642695</v>
      </c>
      <c r="F37" s="504">
        <f t="shared" si="5"/>
        <v>-7.4213665877763804E-2</v>
      </c>
      <c r="G37" s="504">
        <f t="shared" si="5"/>
        <v>-2.4777791719100661E-2</v>
      </c>
      <c r="J37" s="495"/>
      <c r="K37" s="495"/>
      <c r="L37" s="495"/>
      <c r="M37" s="495"/>
    </row>
    <row r="38" spans="2:13" ht="30" customHeight="1" x14ac:dyDescent="0.5">
      <c r="B38" s="821"/>
      <c r="C38" s="503">
        <v>0.4</v>
      </c>
      <c r="D38" s="504">
        <f t="shared" si="5"/>
        <v>-0.11230614114982782</v>
      </c>
      <c r="E38" s="504">
        <f t="shared" si="5"/>
        <v>-6.2870266991164658E-2</v>
      </c>
      <c r="F38" s="504">
        <f t="shared" si="5"/>
        <v>-1.3434392832501516E-2</v>
      </c>
      <c r="G38" s="504">
        <f t="shared" si="5"/>
        <v>3.6001481326161627E-2</v>
      </c>
      <c r="J38" s="495"/>
      <c r="K38" s="495"/>
      <c r="L38" s="495"/>
      <c r="M38" s="495"/>
    </row>
    <row r="39" spans="2:13" ht="30" customHeight="1" x14ac:dyDescent="0.5">
      <c r="B39" s="821"/>
      <c r="C39" s="503">
        <v>0.5</v>
      </c>
      <c r="D39" s="504">
        <f t="shared" si="5"/>
        <v>-9.711132288851225E-2</v>
      </c>
      <c r="E39" s="504">
        <f t="shared" si="5"/>
        <v>-4.76754487298491E-2</v>
      </c>
      <c r="F39" s="504">
        <f t="shared" si="5"/>
        <v>1.7604254288140497E-3</v>
      </c>
      <c r="G39" s="504">
        <f t="shared" si="5"/>
        <v>5.1196299587477193E-2</v>
      </c>
      <c r="J39" s="495"/>
      <c r="K39" s="495"/>
      <c r="L39" s="495"/>
      <c r="M39" s="495"/>
    </row>
    <row r="40" spans="2:13" ht="30" customHeight="1" x14ac:dyDescent="0.5">
      <c r="B40" s="822"/>
      <c r="C40" s="505">
        <v>0.6</v>
      </c>
      <c r="D40" s="506">
        <f t="shared" si="5"/>
        <v>-8.1916504627196685E-2</v>
      </c>
      <c r="E40" s="506">
        <f t="shared" si="5"/>
        <v>-3.2480630468533535E-2</v>
      </c>
      <c r="F40" s="506">
        <f t="shared" si="5"/>
        <v>1.6955243690129615E-2</v>
      </c>
      <c r="G40" s="506">
        <f t="shared" si="5"/>
        <v>6.6391117848792758E-2</v>
      </c>
      <c r="J40" s="495"/>
      <c r="K40" s="495"/>
      <c r="L40" s="495"/>
      <c r="M40" s="495"/>
    </row>
    <row r="41" spans="2:13" ht="30" customHeight="1" x14ac:dyDescent="0.45">
      <c r="B41" s="498"/>
      <c r="C41" s="501"/>
      <c r="D41" s="819">
        <v>2007</v>
      </c>
      <c r="E41" s="819"/>
      <c r="F41" s="819"/>
      <c r="G41" s="819"/>
      <c r="K41" s="495"/>
      <c r="L41" s="495"/>
      <c r="M41" s="495"/>
    </row>
    <row r="42" spans="2:13" ht="30" customHeight="1" x14ac:dyDescent="0.5">
      <c r="B42" s="498"/>
      <c r="C42" s="501"/>
      <c r="D42" s="502">
        <v>0</v>
      </c>
      <c r="E42" s="502">
        <v>0.25</v>
      </c>
      <c r="F42" s="502">
        <v>0.5</v>
      </c>
      <c r="G42" s="502">
        <v>0.75</v>
      </c>
      <c r="J42" s="495"/>
      <c r="K42" s="495"/>
      <c r="L42" s="495"/>
      <c r="M42" s="495"/>
    </row>
    <row r="43" spans="2:13" ht="30" customHeight="1" x14ac:dyDescent="0.5">
      <c r="B43" s="821" t="s">
        <v>822</v>
      </c>
      <c r="C43" s="503">
        <v>0</v>
      </c>
      <c r="D43" s="504">
        <f t="shared" ref="D43:G46" si="6">$L$16+$C43*$M$16+D$6*$N$16</f>
        <v>-0.22138667019512079</v>
      </c>
      <c r="E43" s="504">
        <f t="shared" si="6"/>
        <v>-0.15783176033912205</v>
      </c>
      <c r="F43" s="504">
        <f t="shared" si="6"/>
        <v>-9.4276850483123287E-2</v>
      </c>
      <c r="G43" s="504">
        <f t="shared" si="6"/>
        <v>-3.072194062712455E-2</v>
      </c>
      <c r="J43" s="495"/>
      <c r="K43" s="495"/>
      <c r="L43" s="495"/>
      <c r="M43" s="495"/>
    </row>
    <row r="44" spans="2:13" ht="30" customHeight="1" x14ac:dyDescent="0.5">
      <c r="B44" s="821"/>
      <c r="C44" s="503">
        <v>0.4</v>
      </c>
      <c r="D44" s="504">
        <f t="shared" si="6"/>
        <v>-0.15685294809265898</v>
      </c>
      <c r="E44" s="504">
        <f t="shared" si="6"/>
        <v>-9.3298038236660233E-2</v>
      </c>
      <c r="F44" s="504">
        <f t="shared" si="6"/>
        <v>-2.9743128380661482E-2</v>
      </c>
      <c r="G44" s="504">
        <f t="shared" si="6"/>
        <v>3.3811781475337255E-2</v>
      </c>
      <c r="J44" s="495"/>
      <c r="K44" s="495"/>
      <c r="L44" s="495"/>
      <c r="M44" s="495"/>
    </row>
    <row r="45" spans="2:13" ht="30" customHeight="1" x14ac:dyDescent="0.5">
      <c r="B45" s="821"/>
      <c r="C45" s="503">
        <v>0.5</v>
      </c>
      <c r="D45" s="504">
        <f t="shared" si="6"/>
        <v>-0.14071951756704351</v>
      </c>
      <c r="E45" s="504">
        <f t="shared" si="6"/>
        <v>-7.7164607711044761E-2</v>
      </c>
      <c r="F45" s="504">
        <f t="shared" si="6"/>
        <v>-1.360969785504601E-2</v>
      </c>
      <c r="G45" s="504">
        <f t="shared" si="6"/>
        <v>4.9945212000952727E-2</v>
      </c>
      <c r="J45" s="495"/>
      <c r="K45" s="495"/>
      <c r="L45" s="495"/>
      <c r="M45" s="495"/>
    </row>
    <row r="46" spans="2:13" ht="30" customHeight="1" x14ac:dyDescent="0.5">
      <c r="B46" s="822"/>
      <c r="C46" s="505">
        <v>0.6</v>
      </c>
      <c r="D46" s="506">
        <f t="shared" si="6"/>
        <v>-0.12458608704142805</v>
      </c>
      <c r="E46" s="506">
        <f t="shared" si="6"/>
        <v>-6.1031177185429303E-2</v>
      </c>
      <c r="F46" s="506">
        <f t="shared" si="6"/>
        <v>2.5237326705694479E-3</v>
      </c>
      <c r="G46" s="506">
        <f t="shared" si="6"/>
        <v>6.6078642526568185E-2</v>
      </c>
      <c r="J46" s="495"/>
      <c r="K46" s="495"/>
      <c r="L46" s="495"/>
      <c r="M46" s="495"/>
    </row>
    <row r="47" spans="2:13" ht="30" customHeight="1" x14ac:dyDescent="0.45">
      <c r="B47" s="498"/>
      <c r="C47" s="501"/>
      <c r="D47" s="819" t="s">
        <v>836</v>
      </c>
      <c r="E47" s="819"/>
      <c r="F47" s="819"/>
      <c r="G47" s="819"/>
    </row>
    <row r="48" spans="2:13" ht="30" customHeight="1" x14ac:dyDescent="0.5">
      <c r="B48" s="498"/>
      <c r="C48" s="501"/>
      <c r="D48" s="502">
        <v>0</v>
      </c>
      <c r="E48" s="502">
        <v>0.25</v>
      </c>
      <c r="F48" s="502">
        <v>0.5</v>
      </c>
      <c r="G48" s="502">
        <v>0.75</v>
      </c>
    </row>
    <row r="49" spans="2:7" ht="30" customHeight="1" x14ac:dyDescent="0.5">
      <c r="B49" s="821" t="s">
        <v>822</v>
      </c>
      <c r="C49" s="503">
        <v>0</v>
      </c>
      <c r="D49" s="504">
        <f>AVERAGE(,D43,D37,D31,D25,D19,D13,D7)</f>
        <v>-0.13419755888891144</v>
      </c>
      <c r="E49" s="504">
        <f t="shared" ref="E49:G49" si="7">AVERAGE(,E43,E37,E31,E25,E19,E13,E7)</f>
        <v>-8.4372839866276458E-2</v>
      </c>
      <c r="F49" s="504">
        <f t="shared" si="7"/>
        <v>-3.454812084364145E-2</v>
      </c>
      <c r="G49" s="504">
        <f t="shared" si="7"/>
        <v>1.5276598178993538E-2</v>
      </c>
    </row>
    <row r="50" spans="2:7" ht="30" customHeight="1" x14ac:dyDescent="0.5">
      <c r="B50" s="821"/>
      <c r="C50" s="503">
        <v>0.4</v>
      </c>
      <c r="D50" s="504">
        <f t="shared" ref="D50:G50" si="8">AVERAGE(,D44,D38,D32,D26,D20,D14,D8)</f>
        <v>-8.6575159383645253E-2</v>
      </c>
      <c r="E50" s="504">
        <f t="shared" si="8"/>
        <v>-3.6750440361010259E-2</v>
      </c>
      <c r="F50" s="504">
        <f t="shared" si="8"/>
        <v>1.3074278661624731E-2</v>
      </c>
      <c r="G50" s="504">
        <f t="shared" si="8"/>
        <v>6.2898997684259716E-2</v>
      </c>
    </row>
    <row r="51" spans="2:7" ht="30" customHeight="1" x14ac:dyDescent="0.5">
      <c r="B51" s="821"/>
      <c r="C51" s="503">
        <v>0.5</v>
      </c>
      <c r="D51" s="504">
        <f t="shared" ref="D51:G51" si="9">AVERAGE(,D45,D39,D33,D27,D21,D15,D9)</f>
        <v>-7.4669559507328703E-2</v>
      </c>
      <c r="E51" s="504">
        <f t="shared" si="9"/>
        <v>-2.4844840484693723E-2</v>
      </c>
      <c r="F51" s="504">
        <f t="shared" si="9"/>
        <v>2.4979878537941272E-2</v>
      </c>
      <c r="G51" s="504">
        <f t="shared" si="9"/>
        <v>7.4804597560576266E-2</v>
      </c>
    </row>
    <row r="52" spans="2:7" ht="30" customHeight="1" thickBot="1" x14ac:dyDescent="0.55000000000000004">
      <c r="B52" s="824"/>
      <c r="C52" s="589">
        <v>0.6</v>
      </c>
      <c r="D52" s="590">
        <f t="shared" ref="D52:G52" si="10">AVERAGE(,D46,D40,D34,D28,D22,D16,D10)</f>
        <v>-6.2763959631012167E-2</v>
      </c>
      <c r="E52" s="590">
        <f t="shared" si="10"/>
        <v>-1.2939240608377176E-2</v>
      </c>
      <c r="F52" s="590">
        <f t="shared" si="10"/>
        <v>3.6885478414257822E-2</v>
      </c>
      <c r="G52" s="590">
        <f t="shared" si="10"/>
        <v>8.6710197436892816E-2</v>
      </c>
    </row>
    <row r="53" spans="2:7" ht="15.6" thickTop="1" x14ac:dyDescent="0.25"/>
  </sheetData>
  <mergeCells count="19">
    <mergeCell ref="D29:G29"/>
    <mergeCell ref="B2:G2"/>
    <mergeCell ref="D4:G4"/>
    <mergeCell ref="K4:M4"/>
    <mergeCell ref="D5:G5"/>
    <mergeCell ref="B7:B10"/>
    <mergeCell ref="D11:G11"/>
    <mergeCell ref="B13:B16"/>
    <mergeCell ref="D17:G17"/>
    <mergeCell ref="B19:B22"/>
    <mergeCell ref="D23:G23"/>
    <mergeCell ref="B25:B28"/>
    <mergeCell ref="D47:G47"/>
    <mergeCell ref="B49:B52"/>
    <mergeCell ref="B31:B34"/>
    <mergeCell ref="D35:G35"/>
    <mergeCell ref="B37:B40"/>
    <mergeCell ref="D41:G41"/>
    <mergeCell ref="B43:B46"/>
  </mergeCells>
  <phoneticPr fontId="13" type="noConversion"/>
  <pageMargins left="0.75" right="0.75" top="1" bottom="1" header="0.5" footer="0.5"/>
  <pageSetup paperSize="9" scale="40" orientation="portrait" horizontalDpi="4294967292" verticalDpi="4294967292"/>
  <extLst>
    <ext xmlns:mx="http://schemas.microsoft.com/office/mac/excel/2008/main" uri="{64002731-A6B0-56B0-2670-7721B7C09600}">
      <mx:PLV Mode="0" OnePage="0" WScale="100"/>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B1:Q53"/>
  <sheetViews>
    <sheetView zoomScale="50" zoomScaleNormal="50" zoomScalePageLayoutView="50" workbookViewId="0"/>
  </sheetViews>
  <sheetFormatPr baseColWidth="10" defaultColWidth="10.7265625" defaultRowHeight="15" x14ac:dyDescent="0.25"/>
  <cols>
    <col min="1" max="1" width="10.7265625" style="489"/>
    <col min="2" max="2" width="56.7265625" style="489" customWidth="1"/>
    <col min="3" max="7" width="23.1796875" style="489" customWidth="1"/>
    <col min="8" max="8" width="16.26953125" style="489" customWidth="1"/>
    <col min="9" max="9" width="10.7265625" style="489"/>
    <col min="10" max="11" width="18" style="489" bestFit="1" customWidth="1"/>
    <col min="12" max="16384" width="10.7265625" style="489"/>
  </cols>
  <sheetData>
    <row r="1" spans="2:17" ht="58.05" customHeight="1" x14ac:dyDescent="0.25">
      <c r="J1" s="492"/>
      <c r="K1" s="491"/>
      <c r="L1" s="490"/>
      <c r="M1" s="490"/>
      <c r="N1" s="490"/>
    </row>
    <row r="2" spans="2:17" ht="48" customHeight="1" x14ac:dyDescent="0.5">
      <c r="B2" s="827" t="s">
        <v>877</v>
      </c>
      <c r="C2" s="827"/>
      <c r="D2" s="827"/>
      <c r="E2" s="827"/>
      <c r="F2" s="827"/>
      <c r="G2" s="827"/>
      <c r="H2" s="497"/>
      <c r="I2" s="497"/>
      <c r="J2" s="497"/>
      <c r="K2" s="497"/>
    </row>
    <row r="3" spans="2:17" ht="36" customHeight="1" thickBot="1" x14ac:dyDescent="0.3">
      <c r="B3" s="588"/>
      <c r="C3" s="588"/>
      <c r="D3" s="588"/>
      <c r="E3" s="588"/>
      <c r="F3" s="588"/>
      <c r="G3" s="588"/>
    </row>
    <row r="4" spans="2:17" ht="78" customHeight="1" thickTop="1" x14ac:dyDescent="0.5">
      <c r="B4" s="498"/>
      <c r="C4" s="587"/>
      <c r="D4" s="825" t="s">
        <v>846</v>
      </c>
      <c r="E4" s="825"/>
      <c r="F4" s="825"/>
      <c r="G4" s="825"/>
      <c r="J4" s="494"/>
      <c r="K4" s="823"/>
      <c r="L4" s="823"/>
      <c r="M4" s="823"/>
    </row>
    <row r="5" spans="2:17" ht="30" customHeight="1" x14ac:dyDescent="0.45">
      <c r="B5" s="498"/>
      <c r="C5" s="500"/>
      <c r="D5" s="819">
        <v>2001</v>
      </c>
      <c r="E5" s="819"/>
      <c r="F5" s="819"/>
      <c r="G5" s="819"/>
    </row>
    <row r="6" spans="2:17" ht="30" customHeight="1" x14ac:dyDescent="0.5">
      <c r="B6" s="498"/>
      <c r="C6" s="501"/>
      <c r="D6" s="502">
        <v>0</v>
      </c>
      <c r="E6" s="502">
        <v>0.3</v>
      </c>
      <c r="F6" s="502">
        <v>0.6</v>
      </c>
      <c r="G6" s="502">
        <v>0.9</v>
      </c>
      <c r="J6" s="495"/>
      <c r="K6" s="495"/>
      <c r="L6" s="495"/>
      <c r="M6" s="495"/>
    </row>
    <row r="7" spans="2:17" ht="30" customHeight="1" x14ac:dyDescent="0.5">
      <c r="B7" s="821" t="s">
        <v>845</v>
      </c>
      <c r="C7" s="503">
        <v>0</v>
      </c>
      <c r="D7" s="504">
        <f t="shared" ref="D7:G10" si="0">$L$10+$C7*$M$10+D$6*$N$10</f>
        <v>-6.1784912681503511E-2</v>
      </c>
      <c r="E7" s="504">
        <f t="shared" si="0"/>
        <v>-4.009750059233301E-2</v>
      </c>
      <c r="F7" s="504">
        <f t="shared" si="0"/>
        <v>-1.8410088503162503E-2</v>
      </c>
      <c r="G7" s="504">
        <f t="shared" si="0"/>
        <v>3.2773235860080116E-3</v>
      </c>
      <c r="J7" s="495"/>
      <c r="K7" s="495"/>
      <c r="L7" s="495"/>
      <c r="M7" s="495"/>
    </row>
    <row r="8" spans="2:17" ht="30" customHeight="1" x14ac:dyDescent="0.5">
      <c r="B8" s="821"/>
      <c r="C8" s="503">
        <v>0.5</v>
      </c>
      <c r="D8" s="504">
        <f t="shared" si="0"/>
        <v>-4.5433468604574714E-2</v>
      </c>
      <c r="E8" s="504">
        <f t="shared" si="0"/>
        <v>-2.374605651540421E-2</v>
      </c>
      <c r="F8" s="504">
        <f t="shared" si="0"/>
        <v>-2.0586444262337064E-3</v>
      </c>
      <c r="G8" s="504">
        <f t="shared" si="0"/>
        <v>1.9628767662936808E-2</v>
      </c>
      <c r="J8" s="495"/>
      <c r="M8" s="488"/>
    </row>
    <row r="9" spans="2:17" ht="30" customHeight="1" x14ac:dyDescent="0.5">
      <c r="B9" s="821"/>
      <c r="C9" s="503">
        <v>0.6</v>
      </c>
      <c r="D9" s="504">
        <f t="shared" si="0"/>
        <v>-4.2163179789188959E-2</v>
      </c>
      <c r="E9" s="504">
        <f t="shared" si="0"/>
        <v>-2.0475767700018455E-2</v>
      </c>
      <c r="F9" s="504">
        <f t="shared" si="0"/>
        <v>1.2116443891520487E-3</v>
      </c>
      <c r="G9" s="504">
        <f t="shared" si="0"/>
        <v>2.2899056478322563E-2</v>
      </c>
      <c r="J9" s="495"/>
      <c r="L9" s="489" t="s">
        <v>840</v>
      </c>
      <c r="M9" s="489" t="s">
        <v>843</v>
      </c>
      <c r="N9" s="489" t="s">
        <v>844</v>
      </c>
      <c r="O9" s="489" t="s">
        <v>834</v>
      </c>
      <c r="P9" s="489" t="s">
        <v>835</v>
      </c>
      <c r="Q9" s="489" t="s">
        <v>847</v>
      </c>
    </row>
    <row r="10" spans="2:17" ht="30" customHeight="1" x14ac:dyDescent="0.5">
      <c r="B10" s="822"/>
      <c r="C10" s="505">
        <v>0.7</v>
      </c>
      <c r="D10" s="506">
        <f t="shared" si="0"/>
        <v>-3.8892890973803204E-2</v>
      </c>
      <c r="E10" s="506">
        <f t="shared" si="0"/>
        <v>-1.72054788846327E-2</v>
      </c>
      <c r="F10" s="506">
        <f t="shared" si="0"/>
        <v>4.4819332045378038E-3</v>
      </c>
      <c r="G10" s="506">
        <f t="shared" si="0"/>
        <v>2.6169345293708318E-2</v>
      </c>
      <c r="J10" s="495"/>
      <c r="K10" s="489">
        <v>2001</v>
      </c>
      <c r="L10" s="493">
        <f>(RawDataSources!EF41+RawDataSources!EG41+RawDataSources!EH41+RawDataSources!EK41+RawDataSources!EL41+RawDataSources!EM41+RawDataSources!EN41+RawDataSources!EO41+RawDataSources!EP41+RawDataSources!ER41+RawDataSources!ES41+RawDataSources!ET41-'Table A12'!N8-'Table A12'!N19-0.5*P10)/(RawDataSources!EW41+RawDataSources!EY41+RawDataSources!EZ41+RawDataSources!FA41+RawDataSources!FB41)</f>
        <v>-6.1784912681503511E-2</v>
      </c>
      <c r="M10" s="493">
        <f>('Table A3'!E10*O10)/(RawDataSources!EW41+RawDataSources!EY41+RawDataSources!EZ41+RawDataSources!FA41+RawDataSources!FB41)</f>
        <v>3.2702888153857586E-2</v>
      </c>
      <c r="N10" s="493">
        <f>('Table A3'!E10*(1-O10))/(RawDataSources!EW41+RawDataSources!EY41+RawDataSources!EZ41+RawDataSources!FA41+RawDataSources!FB41)</f>
        <v>7.2291373630568354E-2</v>
      </c>
      <c r="O10" s="493">
        <f>'Table A23'!N11</f>
        <v>0.31147309955855601</v>
      </c>
      <c r="P10" s="489">
        <f t="array" ref="P10:P16">TRANSPOSE('Table A30'!D7:J7)+TRANSPOSE('Table A30'!D8:J8)+TRANSPOSE('Table A30'!D11:J11)+TRANSPOSE('Table A30'!D12:J12)</f>
        <v>465.01945552698481</v>
      </c>
    </row>
    <row r="11" spans="2:17" ht="30" customHeight="1" x14ac:dyDescent="0.45">
      <c r="B11" s="498"/>
      <c r="C11" s="500"/>
      <c r="D11" s="819">
        <v>2002</v>
      </c>
      <c r="E11" s="819"/>
      <c r="F11" s="819"/>
      <c r="G11" s="819"/>
      <c r="K11" s="489">
        <v>2002</v>
      </c>
      <c r="L11" s="493">
        <f>(RawDataSources!EF42+RawDataSources!EG42+RawDataSources!EH42+RawDataSources!EK42+RawDataSources!EL42+RawDataSources!EM42+RawDataSources!EN42+RawDataSources!EO42+RawDataSources!EP42+RawDataSources!ER42+RawDataSources!ES42+RawDataSources!ET42-'Table A12'!N9-'Table A12'!N20-0.5*P11)/(RawDataSources!EW42+RawDataSources!EY42+RawDataSources!EZ42+RawDataSources!FA42+RawDataSources!FB42)</f>
        <v>-7.1145514867935772E-2</v>
      </c>
      <c r="M11" s="493">
        <f>('Table A3'!E11*O11)/(RawDataSources!EW42+RawDataSources!EY42+RawDataSources!EZ42+RawDataSources!FA42+RawDataSources!FB42)</f>
        <v>3.4167143764497608E-2</v>
      </c>
      <c r="N11" s="493">
        <f>('Table A3'!E11*(1-O11))/(RawDataSources!EW42+RawDataSources!EY42+RawDataSources!EZ42+RawDataSources!FA42+RawDataSources!FB42)</f>
        <v>6.1019639301552138E-2</v>
      </c>
      <c r="O11" s="493">
        <f>'Table A23'!N12</f>
        <v>0.35894840296041053</v>
      </c>
      <c r="P11" s="489">
        <v>179.12470654653669</v>
      </c>
    </row>
    <row r="12" spans="2:17" ht="30" customHeight="1" x14ac:dyDescent="0.5">
      <c r="B12" s="498"/>
      <c r="C12" s="501"/>
      <c r="D12" s="502">
        <v>0</v>
      </c>
      <c r="E12" s="502">
        <v>0.3</v>
      </c>
      <c r="F12" s="502">
        <v>0.6</v>
      </c>
      <c r="G12" s="502">
        <v>0.9</v>
      </c>
      <c r="J12" s="495"/>
      <c r="K12" s="489">
        <v>2003</v>
      </c>
      <c r="L12" s="493">
        <f>(RawDataSources!EF43+RawDataSources!EG43+RawDataSources!EH43+RawDataSources!EK43+RawDataSources!EL43+RawDataSources!EM43+RawDataSources!EN43+RawDataSources!EO43+RawDataSources!EP43+RawDataSources!ER43+RawDataSources!ES43+RawDataSources!ET43-'Table A12'!N10-'Table A12'!N21-0.5*P12)/(RawDataSources!EW43+RawDataSources!EY43+RawDataSources!EZ43+RawDataSources!FA43+RawDataSources!FB43)</f>
        <v>-7.6810591959729488E-2</v>
      </c>
      <c r="M12" s="493">
        <f>('Table A3'!E12*O12)/(RawDataSources!EW43+RawDataSources!EY43+RawDataSources!EZ43+RawDataSources!FA43+RawDataSources!FB43)</f>
        <v>3.8237892823394327E-2</v>
      </c>
      <c r="N12" s="493">
        <f>('Table A3'!E12*(1-O12))/(RawDataSources!EW43+RawDataSources!EY43+RawDataSources!EZ43+RawDataSources!FA43+RawDataSources!FB43)</f>
        <v>6.3014700292927064E-2</v>
      </c>
      <c r="O12" s="493">
        <f>'Table A23'!N13</f>
        <v>0.37764852875882127</v>
      </c>
      <c r="P12" s="489">
        <v>454.90915778022651</v>
      </c>
    </row>
    <row r="13" spans="2:17" ht="30" customHeight="1" x14ac:dyDescent="0.5">
      <c r="B13" s="821" t="s">
        <v>845</v>
      </c>
      <c r="C13" s="503">
        <v>0</v>
      </c>
      <c r="D13" s="504">
        <f t="shared" ref="D13:G16" si="1">$L$11+$C13*$M$11+D$6*$N$11</f>
        <v>-7.1145514867935772E-2</v>
      </c>
      <c r="E13" s="504">
        <f t="shared" si="1"/>
        <v>-5.283962307747013E-2</v>
      </c>
      <c r="F13" s="504">
        <f t="shared" si="1"/>
        <v>-3.4533731287004488E-2</v>
      </c>
      <c r="G13" s="504">
        <f t="shared" si="1"/>
        <v>-1.6227839496538846E-2</v>
      </c>
      <c r="J13" s="495"/>
      <c r="K13" s="489">
        <v>2004</v>
      </c>
      <c r="L13" s="493">
        <f>(RawDataSources!EF44+RawDataSources!EG44+RawDataSources!EH44+RawDataSources!EK44+RawDataSources!EL44+RawDataSources!EM44+RawDataSources!EN44+RawDataSources!EO44+RawDataSources!EP44+RawDataSources!ER44+RawDataSources!ES44+RawDataSources!ET44-'Table A12'!N11-'Table A12'!N22-0.5*P13)/(RawDataSources!EW44+RawDataSources!EY44+RawDataSources!EZ44+RawDataSources!FA44+RawDataSources!FB44)</f>
        <v>-8.6570038187722409E-2</v>
      </c>
      <c r="M13" s="493">
        <f>('Table A3'!E13*O13)/(RawDataSources!EW44+RawDataSources!EY44+RawDataSources!EZ44+RawDataSources!FA44+RawDataSources!FB44)</f>
        <v>4.0240524920254539E-2</v>
      </c>
      <c r="N13" s="493">
        <f>('Table A3'!E13*(1-O13))/(RawDataSources!EW44+RawDataSources!EY44+RawDataSources!EZ44+RawDataSources!FA44+RawDataSources!FB44)</f>
        <v>6.5548407323420446E-2</v>
      </c>
      <c r="O13" s="493">
        <f>'Table A23'!N14</f>
        <v>0.38038501823200399</v>
      </c>
      <c r="P13" s="489">
        <v>828.15751691646119</v>
      </c>
    </row>
    <row r="14" spans="2:17" ht="30" customHeight="1" x14ac:dyDescent="0.5">
      <c r="B14" s="821"/>
      <c r="C14" s="503">
        <v>0.5</v>
      </c>
      <c r="D14" s="504">
        <f t="shared" si="1"/>
        <v>-5.4061942985686964E-2</v>
      </c>
      <c r="E14" s="504">
        <f t="shared" si="1"/>
        <v>-3.5756051195221322E-2</v>
      </c>
      <c r="F14" s="504">
        <f t="shared" si="1"/>
        <v>-1.745015940475568E-2</v>
      </c>
      <c r="G14" s="504">
        <f t="shared" si="1"/>
        <v>8.5573238570996191E-4</v>
      </c>
      <c r="J14" s="495"/>
      <c r="K14" s="489">
        <v>2005</v>
      </c>
      <c r="L14" s="493">
        <f>(RawDataSources!EF45+RawDataSources!EG45+RawDataSources!EH45+RawDataSources!EK45+RawDataSources!EL45+RawDataSources!EM45+RawDataSources!EN45+RawDataSources!EO45+RawDataSources!EP45+RawDataSources!ER45+RawDataSources!ES45+RawDataSources!ET45-'Table A12'!N12-'Table A12'!N23-0.5*P14)/(RawDataSources!EW45+RawDataSources!EY45+RawDataSources!EZ45+RawDataSources!FA45+RawDataSources!FB45)</f>
        <v>-8.3000252746469896E-2</v>
      </c>
      <c r="M14" s="493">
        <f>('Table A3'!E14*O14)/(RawDataSources!EW45+RawDataSources!EY45+RawDataSources!EZ45+RawDataSources!FA45+RawDataSources!FB45)</f>
        <v>4.176791028611581E-2</v>
      </c>
      <c r="N14" s="493">
        <f>('Table A3'!E14*(1-O14))/(RawDataSources!EW45+RawDataSources!EY45+RawDataSources!EZ45+RawDataSources!FA45+RawDataSources!FB45)</f>
        <v>7.0220430132237027E-2</v>
      </c>
      <c r="O14" s="493">
        <f>'Table A23'!N15</f>
        <v>0.37296659750545619</v>
      </c>
      <c r="P14" s="489">
        <v>1387.3223961341243</v>
      </c>
    </row>
    <row r="15" spans="2:17" ht="30" customHeight="1" x14ac:dyDescent="0.5">
      <c r="B15" s="821"/>
      <c r="C15" s="503">
        <v>0.6</v>
      </c>
      <c r="D15" s="504">
        <f t="shared" si="1"/>
        <v>-5.0645228609237203E-2</v>
      </c>
      <c r="E15" s="504">
        <f t="shared" si="1"/>
        <v>-3.2339336818771561E-2</v>
      </c>
      <c r="F15" s="504">
        <f t="shared" si="1"/>
        <v>-1.4033445028305919E-2</v>
      </c>
      <c r="G15" s="504">
        <f t="shared" si="1"/>
        <v>4.2724467621597234E-3</v>
      </c>
      <c r="J15" s="495"/>
      <c r="K15" s="489">
        <v>2006</v>
      </c>
      <c r="L15" s="493">
        <f>(RawDataSources!EF46+RawDataSources!EG46+RawDataSources!EH46+RawDataSources!EK46+RawDataSources!EL46+RawDataSources!EM46+RawDataSources!EN46+RawDataSources!EO46+RawDataSources!EP46+RawDataSources!ER46+RawDataSources!ES46+RawDataSources!ET46-'Table A12'!N13-'Table A12'!N24-0.5*P15)/(RawDataSources!EW46+RawDataSources!EY46+RawDataSources!EZ46+RawDataSources!FA46+RawDataSources!FB46)</f>
        <v>-9.3825890995670916E-2</v>
      </c>
      <c r="M15" s="493">
        <f>('Table A3'!E15*O15)/(RawDataSources!EW46+RawDataSources!EY46+RawDataSources!EZ46+RawDataSources!FA46+RawDataSources!FB46)</f>
        <v>4.7429181065140297E-2</v>
      </c>
      <c r="N15" s="493">
        <f>('Table A3'!E15*(1-O15))/(RawDataSources!EW46+RawDataSources!EY46+RawDataSources!EZ46+RawDataSources!FA46+RawDataSources!FB46)</f>
        <v>6.1723753091646905E-2</v>
      </c>
      <c r="O15" s="493">
        <f>'Table A23'!N16</f>
        <v>0.43452044080659386</v>
      </c>
      <c r="P15" s="489">
        <v>1131.8666579133769</v>
      </c>
    </row>
    <row r="16" spans="2:17" ht="30" customHeight="1" x14ac:dyDescent="0.5">
      <c r="B16" s="822"/>
      <c r="C16" s="505">
        <v>0.7</v>
      </c>
      <c r="D16" s="506">
        <f t="shared" si="1"/>
        <v>-4.7228514232787448E-2</v>
      </c>
      <c r="E16" s="506">
        <f t="shared" si="1"/>
        <v>-2.8922622442321806E-2</v>
      </c>
      <c r="F16" s="506">
        <f t="shared" si="1"/>
        <v>-1.0616730651856164E-2</v>
      </c>
      <c r="G16" s="506">
        <f t="shared" si="1"/>
        <v>7.689161138609478E-3</v>
      </c>
      <c r="J16" s="495"/>
      <c r="K16" s="489">
        <v>2007</v>
      </c>
      <c r="L16" s="493">
        <f>(RawDataSources!EF47+RawDataSources!EG47+RawDataSources!EH47+RawDataSources!EK47+RawDataSources!EL47+RawDataSources!EM47+RawDataSources!EN47+RawDataSources!EO47+RawDataSources!EP47+RawDataSources!ER47+RawDataSources!ES47+RawDataSources!ET47-'Table A12'!N14-'Table A12'!N25-0.5*P16)/(RawDataSources!EW47+RawDataSources!EY47+RawDataSources!EZ47+RawDataSources!FA47+RawDataSources!FB47)</f>
        <v>-9.3823465930117228E-2</v>
      </c>
      <c r="M16" s="493">
        <f>('Table A3'!E16*O16)/(RawDataSources!EW47+RawDataSources!EY47+RawDataSources!EZ47+RawDataSources!FA47+RawDataSources!FB47)</f>
        <v>5.2953331154433229E-2</v>
      </c>
      <c r="N16" s="493">
        <f>('Table A3'!E16*(1-O16))/(RawDataSources!EW47+RawDataSources!EY47+RawDataSources!EZ47+RawDataSources!FA47+RawDataSources!FB47)</f>
        <v>8.3440262323662737E-2</v>
      </c>
      <c r="O16" s="493">
        <f>'Table A23'!N17</f>
        <v>0.38823913795435877</v>
      </c>
      <c r="P16" s="489">
        <v>2267.8269473620967</v>
      </c>
    </row>
    <row r="17" spans="2:15" ht="30" customHeight="1" x14ac:dyDescent="0.45">
      <c r="B17" s="498"/>
      <c r="C17" s="501"/>
      <c r="D17" s="819">
        <v>2003</v>
      </c>
      <c r="E17" s="819"/>
      <c r="F17" s="819"/>
      <c r="G17" s="819"/>
      <c r="L17" s="493"/>
      <c r="M17" s="493"/>
      <c r="N17" s="493"/>
      <c r="O17" s="493"/>
    </row>
    <row r="18" spans="2:15" ht="30" customHeight="1" x14ac:dyDescent="0.5">
      <c r="B18" s="498"/>
      <c r="C18" s="504"/>
      <c r="D18" s="503">
        <v>0</v>
      </c>
      <c r="E18" s="502">
        <v>0.3</v>
      </c>
      <c r="F18" s="502">
        <v>0.6</v>
      </c>
      <c r="G18" s="502">
        <v>0.9</v>
      </c>
      <c r="J18" s="495"/>
      <c r="K18" s="495"/>
      <c r="L18" s="495"/>
      <c r="M18" s="495"/>
    </row>
    <row r="19" spans="2:15" ht="30" customHeight="1" x14ac:dyDescent="0.5">
      <c r="B19" s="821" t="s">
        <v>845</v>
      </c>
      <c r="C19" s="503">
        <v>0</v>
      </c>
      <c r="D19" s="504">
        <f t="shared" ref="D19:G22" si="2">$L$12+$C19*$M$12+D$6*$N$12</f>
        <v>-7.6810591959729488E-2</v>
      </c>
      <c r="E19" s="504">
        <f t="shared" si="2"/>
        <v>-5.790618187185137E-2</v>
      </c>
      <c r="F19" s="504">
        <f t="shared" si="2"/>
        <v>-3.9001771783973252E-2</v>
      </c>
      <c r="G19" s="504">
        <f t="shared" si="2"/>
        <v>-2.0097361696095127E-2</v>
      </c>
      <c r="J19" s="495"/>
      <c r="K19" s="495"/>
      <c r="L19" s="495"/>
      <c r="M19" s="495"/>
    </row>
    <row r="20" spans="2:15" ht="30" customHeight="1" x14ac:dyDescent="0.5">
      <c r="B20" s="821"/>
      <c r="C20" s="503">
        <v>0.5</v>
      </c>
      <c r="D20" s="504">
        <f t="shared" si="2"/>
        <v>-5.7691645548032328E-2</v>
      </c>
      <c r="E20" s="504">
        <f t="shared" si="2"/>
        <v>-3.878723546015421E-2</v>
      </c>
      <c r="F20" s="504">
        <f t="shared" si="2"/>
        <v>-1.9882825372276092E-2</v>
      </c>
      <c r="G20" s="504">
        <f t="shared" si="2"/>
        <v>-9.7841528439796682E-4</v>
      </c>
      <c r="J20" s="495"/>
      <c r="K20" s="495"/>
      <c r="L20" s="495"/>
      <c r="M20" s="495"/>
    </row>
    <row r="21" spans="2:15" ht="30" customHeight="1" x14ac:dyDescent="0.5">
      <c r="B21" s="821"/>
      <c r="C21" s="503">
        <v>0.6</v>
      </c>
      <c r="D21" s="504">
        <f t="shared" si="2"/>
        <v>-5.386785626569289E-2</v>
      </c>
      <c r="E21" s="504">
        <f t="shared" si="2"/>
        <v>-3.4963446177814772E-2</v>
      </c>
      <c r="F21" s="504">
        <f t="shared" si="2"/>
        <v>-1.6059036089936654E-2</v>
      </c>
      <c r="G21" s="504">
        <f t="shared" si="2"/>
        <v>2.8453739979414708E-3</v>
      </c>
      <c r="J21" s="495"/>
      <c r="K21" s="495"/>
      <c r="L21" s="495"/>
      <c r="M21" s="495"/>
    </row>
    <row r="22" spans="2:15" ht="30" customHeight="1" x14ac:dyDescent="0.5">
      <c r="B22" s="822"/>
      <c r="C22" s="505">
        <v>0.7</v>
      </c>
      <c r="D22" s="506">
        <f t="shared" si="2"/>
        <v>-5.0044066983353459E-2</v>
      </c>
      <c r="E22" s="506">
        <f t="shared" si="2"/>
        <v>-3.1139656895475341E-2</v>
      </c>
      <c r="F22" s="506">
        <f t="shared" si="2"/>
        <v>-1.2235246807597223E-2</v>
      </c>
      <c r="G22" s="506">
        <f t="shared" si="2"/>
        <v>6.6691632802809014E-3</v>
      </c>
      <c r="J22" s="495"/>
      <c r="K22" s="495"/>
      <c r="L22" s="495"/>
      <c r="M22" s="495"/>
    </row>
    <row r="23" spans="2:15" ht="30" customHeight="1" x14ac:dyDescent="0.45">
      <c r="B23" s="498"/>
      <c r="C23" s="501"/>
      <c r="D23" s="819">
        <v>2004</v>
      </c>
      <c r="E23" s="819"/>
      <c r="F23" s="819"/>
      <c r="G23" s="819"/>
      <c r="K23" s="495"/>
      <c r="L23" s="495"/>
      <c r="M23" s="495"/>
    </row>
    <row r="24" spans="2:15" ht="30" customHeight="1" x14ac:dyDescent="0.5">
      <c r="B24" s="498"/>
      <c r="C24" s="504"/>
      <c r="D24" s="503">
        <v>0</v>
      </c>
      <c r="E24" s="502">
        <v>0.3</v>
      </c>
      <c r="F24" s="502">
        <v>0.6</v>
      </c>
      <c r="G24" s="502">
        <v>0.9</v>
      </c>
      <c r="J24" s="495"/>
      <c r="K24" s="495"/>
      <c r="L24" s="495"/>
      <c r="M24" s="495"/>
    </row>
    <row r="25" spans="2:15" ht="30" customHeight="1" x14ac:dyDescent="0.5">
      <c r="B25" s="821" t="s">
        <v>845</v>
      </c>
      <c r="C25" s="503">
        <v>0</v>
      </c>
      <c r="D25" s="504">
        <f t="shared" ref="D25:G28" si="3">$L$13+$C25*$M$13+D$6*$N$13</f>
        <v>-8.6570038187722409E-2</v>
      </c>
      <c r="E25" s="504">
        <f t="shared" si="3"/>
        <v>-6.6905515990696274E-2</v>
      </c>
      <c r="F25" s="504">
        <f t="shared" si="3"/>
        <v>-4.7240993793670145E-2</v>
      </c>
      <c r="G25" s="504">
        <f t="shared" si="3"/>
        <v>-2.7576471596644003E-2</v>
      </c>
      <c r="J25" s="495"/>
      <c r="K25" s="495"/>
      <c r="L25" s="495"/>
      <c r="M25" s="495"/>
    </row>
    <row r="26" spans="2:15" ht="30" customHeight="1" x14ac:dyDescent="0.5">
      <c r="B26" s="821"/>
      <c r="C26" s="503">
        <v>0.5</v>
      </c>
      <c r="D26" s="504">
        <f t="shared" si="3"/>
        <v>-6.644977572759514E-2</v>
      </c>
      <c r="E26" s="504">
        <f t="shared" si="3"/>
        <v>-4.6785253530569004E-2</v>
      </c>
      <c r="F26" s="504">
        <f t="shared" si="3"/>
        <v>-2.7120731333542876E-2</v>
      </c>
      <c r="G26" s="504">
        <f t="shared" si="3"/>
        <v>-7.4562091365167338E-3</v>
      </c>
      <c r="J26" s="495"/>
      <c r="K26" s="495"/>
      <c r="L26" s="495"/>
      <c r="M26" s="495"/>
    </row>
    <row r="27" spans="2:15" ht="30" customHeight="1" x14ac:dyDescent="0.5">
      <c r="B27" s="821"/>
      <c r="C27" s="503">
        <v>0.6</v>
      </c>
      <c r="D27" s="504">
        <f t="shared" si="3"/>
        <v>-6.2425723235569691E-2</v>
      </c>
      <c r="E27" s="504">
        <f t="shared" si="3"/>
        <v>-4.2761201038543556E-2</v>
      </c>
      <c r="F27" s="504">
        <f t="shared" si="3"/>
        <v>-2.3096678841517428E-2</v>
      </c>
      <c r="G27" s="504">
        <f t="shared" si="3"/>
        <v>-3.4321566444912854E-3</v>
      </c>
      <c r="J27" s="495"/>
      <c r="K27" s="495"/>
      <c r="L27" s="495"/>
      <c r="M27" s="495"/>
    </row>
    <row r="28" spans="2:15" ht="30" customHeight="1" x14ac:dyDescent="0.5">
      <c r="B28" s="822"/>
      <c r="C28" s="505">
        <v>0.7</v>
      </c>
      <c r="D28" s="506">
        <f t="shared" si="3"/>
        <v>-5.8401670743544229E-2</v>
      </c>
      <c r="E28" s="506">
        <f t="shared" si="3"/>
        <v>-3.8737148546518094E-2</v>
      </c>
      <c r="F28" s="506">
        <f t="shared" si="3"/>
        <v>-1.9072626349491965E-2</v>
      </c>
      <c r="G28" s="506">
        <f t="shared" si="3"/>
        <v>5.9189584753417679E-4</v>
      </c>
      <c r="J28" s="495"/>
      <c r="K28" s="495"/>
      <c r="L28" s="495"/>
      <c r="M28" s="495"/>
    </row>
    <row r="29" spans="2:15" ht="30" customHeight="1" x14ac:dyDescent="0.45">
      <c r="B29" s="498"/>
      <c r="C29" s="501"/>
      <c r="D29" s="819">
        <v>2005</v>
      </c>
      <c r="E29" s="819"/>
      <c r="F29" s="819"/>
      <c r="G29" s="819"/>
      <c r="K29" s="495"/>
      <c r="L29" s="495"/>
      <c r="M29" s="495"/>
    </row>
    <row r="30" spans="2:15" ht="30" customHeight="1" x14ac:dyDescent="0.5">
      <c r="B30" s="498"/>
      <c r="C30" s="501"/>
      <c r="D30" s="502">
        <v>0</v>
      </c>
      <c r="E30" s="502">
        <v>0.3</v>
      </c>
      <c r="F30" s="502">
        <v>0.6</v>
      </c>
      <c r="G30" s="502">
        <v>0.9</v>
      </c>
      <c r="J30" s="495"/>
      <c r="K30" s="495"/>
      <c r="L30" s="495"/>
      <c r="M30" s="495"/>
    </row>
    <row r="31" spans="2:15" ht="30" customHeight="1" x14ac:dyDescent="0.5">
      <c r="B31" s="821" t="s">
        <v>845</v>
      </c>
      <c r="C31" s="503">
        <v>0</v>
      </c>
      <c r="D31" s="504">
        <f t="shared" ref="D31:G34" si="4">$L$14+$C31*$M$14+D$6*$N$14</f>
        <v>-8.3000252746469896E-2</v>
      </c>
      <c r="E31" s="504">
        <f t="shared" si="4"/>
        <v>-6.1934123706798794E-2</v>
      </c>
      <c r="F31" s="504">
        <f t="shared" si="4"/>
        <v>-4.0867994667127684E-2</v>
      </c>
      <c r="G31" s="504">
        <f t="shared" si="4"/>
        <v>-1.9801865627456575E-2</v>
      </c>
      <c r="J31" s="495"/>
      <c r="K31" s="495"/>
      <c r="L31" s="495"/>
      <c r="M31" s="495"/>
    </row>
    <row r="32" spans="2:15" ht="30" customHeight="1" x14ac:dyDescent="0.5">
      <c r="B32" s="821"/>
      <c r="C32" s="503">
        <v>0.5</v>
      </c>
      <c r="D32" s="504">
        <f t="shared" si="4"/>
        <v>-6.2116297603411988E-2</v>
      </c>
      <c r="E32" s="504">
        <f t="shared" si="4"/>
        <v>-4.1050168563740885E-2</v>
      </c>
      <c r="F32" s="504">
        <f t="shared" si="4"/>
        <v>-1.9984039524069776E-2</v>
      </c>
      <c r="G32" s="504">
        <f t="shared" si="4"/>
        <v>1.0820895156013338E-3</v>
      </c>
      <c r="J32" s="495"/>
      <c r="K32" s="495"/>
      <c r="L32" s="495"/>
      <c r="M32" s="495"/>
    </row>
    <row r="33" spans="2:13" ht="30" customHeight="1" x14ac:dyDescent="0.5">
      <c r="B33" s="821"/>
      <c r="C33" s="503">
        <v>0.6</v>
      </c>
      <c r="D33" s="504">
        <f t="shared" si="4"/>
        <v>-5.793950657480041E-2</v>
      </c>
      <c r="E33" s="504">
        <f t="shared" si="4"/>
        <v>-3.6873377535129301E-2</v>
      </c>
      <c r="F33" s="504">
        <f t="shared" si="4"/>
        <v>-1.5807248495458198E-2</v>
      </c>
      <c r="G33" s="504">
        <f t="shared" si="4"/>
        <v>5.2588805442129113E-3</v>
      </c>
      <c r="J33" s="495"/>
      <c r="K33" s="495"/>
      <c r="L33" s="495"/>
      <c r="M33" s="495"/>
    </row>
    <row r="34" spans="2:13" ht="30" customHeight="1" x14ac:dyDescent="0.5">
      <c r="B34" s="822"/>
      <c r="C34" s="505">
        <v>0.7</v>
      </c>
      <c r="D34" s="506">
        <f t="shared" si="4"/>
        <v>-5.3762715546188833E-2</v>
      </c>
      <c r="E34" s="506">
        <f t="shared" si="4"/>
        <v>-3.269658650651773E-2</v>
      </c>
      <c r="F34" s="506">
        <f t="shared" si="4"/>
        <v>-1.1630457466846621E-2</v>
      </c>
      <c r="G34" s="506">
        <f t="shared" si="4"/>
        <v>9.4356715728244889E-3</v>
      </c>
      <c r="J34" s="495"/>
      <c r="K34" s="495"/>
      <c r="L34" s="495"/>
      <c r="M34" s="495"/>
    </row>
    <row r="35" spans="2:13" ht="30" customHeight="1" x14ac:dyDescent="0.45">
      <c r="B35" s="498"/>
      <c r="C35" s="501"/>
      <c r="D35" s="819">
        <v>2006</v>
      </c>
      <c r="E35" s="819"/>
      <c r="F35" s="819"/>
      <c r="G35" s="819"/>
      <c r="K35" s="495"/>
      <c r="L35" s="495"/>
      <c r="M35" s="495"/>
    </row>
    <row r="36" spans="2:13" ht="30" customHeight="1" x14ac:dyDescent="0.5">
      <c r="B36" s="498"/>
      <c r="C36" s="504"/>
      <c r="D36" s="503">
        <v>0</v>
      </c>
      <c r="E36" s="502">
        <v>0.3</v>
      </c>
      <c r="F36" s="502">
        <v>0.6</v>
      </c>
      <c r="G36" s="502">
        <v>0.9</v>
      </c>
      <c r="J36" s="495"/>
      <c r="K36" s="495"/>
      <c r="L36" s="495"/>
      <c r="M36" s="495"/>
    </row>
    <row r="37" spans="2:13" ht="30" customHeight="1" x14ac:dyDescent="0.5">
      <c r="B37" s="821" t="s">
        <v>845</v>
      </c>
      <c r="C37" s="503">
        <v>0</v>
      </c>
      <c r="D37" s="504">
        <f t="shared" ref="D37:G40" si="5">$L$15+$C37*$M$15+D$6*$N$15</f>
        <v>-9.3825890995670916E-2</v>
      </c>
      <c r="E37" s="504">
        <f t="shared" si="5"/>
        <v>-7.5308765068176853E-2</v>
      </c>
      <c r="F37" s="504">
        <f t="shared" si="5"/>
        <v>-5.6791639140682776E-2</v>
      </c>
      <c r="G37" s="504">
        <f t="shared" si="5"/>
        <v>-3.8274513213188699E-2</v>
      </c>
      <c r="J37" s="495"/>
      <c r="K37" s="495"/>
      <c r="L37" s="495"/>
      <c r="M37" s="495"/>
    </row>
    <row r="38" spans="2:13" ht="30" customHeight="1" x14ac:dyDescent="0.5">
      <c r="B38" s="821"/>
      <c r="C38" s="503">
        <v>0.5</v>
      </c>
      <c r="D38" s="504">
        <f t="shared" si="5"/>
        <v>-7.0111300463100767E-2</v>
      </c>
      <c r="E38" s="504">
        <f t="shared" si="5"/>
        <v>-5.1594174535606697E-2</v>
      </c>
      <c r="F38" s="504">
        <f t="shared" si="5"/>
        <v>-3.3077048608112627E-2</v>
      </c>
      <c r="G38" s="504">
        <f t="shared" si="5"/>
        <v>-1.4559922680618551E-2</v>
      </c>
      <c r="J38" s="495"/>
      <c r="K38" s="495"/>
      <c r="L38" s="495"/>
      <c r="M38" s="495"/>
    </row>
    <row r="39" spans="2:13" ht="30" customHeight="1" x14ac:dyDescent="0.5">
      <c r="B39" s="821"/>
      <c r="C39" s="503">
        <v>0.6</v>
      </c>
      <c r="D39" s="504">
        <f t="shared" si="5"/>
        <v>-6.5368382356586735E-2</v>
      </c>
      <c r="E39" s="504">
        <f t="shared" si="5"/>
        <v>-4.6851256429092665E-2</v>
      </c>
      <c r="F39" s="504">
        <f t="shared" si="5"/>
        <v>-2.8334130501598595E-2</v>
      </c>
      <c r="G39" s="504">
        <f t="shared" si="5"/>
        <v>-9.8170045741045181E-3</v>
      </c>
      <c r="J39" s="495"/>
      <c r="K39" s="495"/>
      <c r="L39" s="495"/>
      <c r="M39" s="495"/>
    </row>
    <row r="40" spans="2:13" ht="30" customHeight="1" x14ac:dyDescent="0.5">
      <c r="B40" s="822"/>
      <c r="C40" s="505">
        <v>0.7</v>
      </c>
      <c r="D40" s="506">
        <f t="shared" si="5"/>
        <v>-6.062546425007271E-2</v>
      </c>
      <c r="E40" s="506">
        <f t="shared" si="5"/>
        <v>-4.210833832257864E-2</v>
      </c>
      <c r="F40" s="506">
        <f t="shared" si="5"/>
        <v>-2.359121239508457E-2</v>
      </c>
      <c r="G40" s="506">
        <f t="shared" si="5"/>
        <v>-5.0740864675904926E-3</v>
      </c>
      <c r="J40" s="495"/>
      <c r="K40" s="495"/>
      <c r="L40" s="495"/>
      <c r="M40" s="495"/>
    </row>
    <row r="41" spans="2:13" ht="30" customHeight="1" x14ac:dyDescent="0.45">
      <c r="B41" s="498"/>
      <c r="C41" s="501"/>
      <c r="D41" s="819">
        <v>2007</v>
      </c>
      <c r="E41" s="819"/>
      <c r="F41" s="819"/>
      <c r="G41" s="819"/>
      <c r="K41" s="495"/>
      <c r="L41" s="495"/>
      <c r="M41" s="495"/>
    </row>
    <row r="42" spans="2:13" ht="30" customHeight="1" x14ac:dyDescent="0.5">
      <c r="B42" s="498"/>
      <c r="C42" s="501"/>
      <c r="D42" s="502">
        <v>0</v>
      </c>
      <c r="E42" s="520">
        <v>0.3</v>
      </c>
      <c r="F42" s="520">
        <v>0.6</v>
      </c>
      <c r="G42" s="520">
        <v>0.9</v>
      </c>
      <c r="J42" s="495"/>
      <c r="K42" s="495"/>
      <c r="L42" s="495"/>
      <c r="M42" s="495"/>
    </row>
    <row r="43" spans="2:13" ht="30" customHeight="1" x14ac:dyDescent="0.5">
      <c r="B43" s="821" t="s">
        <v>845</v>
      </c>
      <c r="C43" s="503">
        <v>0</v>
      </c>
      <c r="D43" s="504">
        <f t="shared" ref="D43:G46" si="6">$L$16+$C43*$M$16+D$6*$N$16</f>
        <v>-9.3823465930117228E-2</v>
      </c>
      <c r="E43" s="504">
        <f t="shared" si="6"/>
        <v>-6.8791387233018406E-2</v>
      </c>
      <c r="F43" s="504">
        <f t="shared" si="6"/>
        <v>-4.375930853591959E-2</v>
      </c>
      <c r="G43" s="504">
        <f t="shared" si="6"/>
        <v>-1.8727229838820761E-2</v>
      </c>
      <c r="J43" s="495"/>
      <c r="K43" s="495"/>
      <c r="L43" s="495"/>
      <c r="M43" s="495"/>
    </row>
    <row r="44" spans="2:13" ht="30" customHeight="1" x14ac:dyDescent="0.5">
      <c r="B44" s="821"/>
      <c r="C44" s="503">
        <v>0.5</v>
      </c>
      <c r="D44" s="504">
        <f t="shared" si="6"/>
        <v>-6.734680035290061E-2</v>
      </c>
      <c r="E44" s="504">
        <f t="shared" si="6"/>
        <v>-4.2314721655801787E-2</v>
      </c>
      <c r="F44" s="504">
        <f t="shared" si="6"/>
        <v>-1.7282642958702972E-2</v>
      </c>
      <c r="G44" s="504">
        <f t="shared" si="6"/>
        <v>7.7494357383958573E-3</v>
      </c>
      <c r="J44" s="495"/>
      <c r="K44" s="495"/>
      <c r="L44" s="495"/>
      <c r="M44" s="495"/>
    </row>
    <row r="45" spans="2:13" ht="30" customHeight="1" x14ac:dyDescent="0.5">
      <c r="B45" s="821"/>
      <c r="C45" s="503">
        <v>0.6</v>
      </c>
      <c r="D45" s="504">
        <f t="shared" si="6"/>
        <v>-6.2051467237457289E-2</v>
      </c>
      <c r="E45" s="504">
        <f t="shared" si="6"/>
        <v>-3.7019388540358467E-2</v>
      </c>
      <c r="F45" s="504">
        <f t="shared" si="6"/>
        <v>-1.1987309843259651E-2</v>
      </c>
      <c r="G45" s="504">
        <f t="shared" si="6"/>
        <v>1.3044768853839178E-2</v>
      </c>
      <c r="J45" s="495"/>
      <c r="K45" s="495"/>
      <c r="L45" s="495"/>
      <c r="M45" s="495"/>
    </row>
    <row r="46" spans="2:13" ht="30" customHeight="1" x14ac:dyDescent="0.5">
      <c r="B46" s="822"/>
      <c r="C46" s="505">
        <v>0.7</v>
      </c>
      <c r="D46" s="506">
        <f t="shared" si="6"/>
        <v>-5.6756134122013968E-2</v>
      </c>
      <c r="E46" s="506">
        <f t="shared" si="6"/>
        <v>-3.1724055424915146E-2</v>
      </c>
      <c r="F46" s="506">
        <f t="shared" si="6"/>
        <v>-6.6919767278163303E-3</v>
      </c>
      <c r="G46" s="506">
        <f t="shared" si="6"/>
        <v>1.8340101969282499E-2</v>
      </c>
      <c r="J46" s="495"/>
      <c r="K46" s="495"/>
      <c r="L46" s="495"/>
      <c r="M46" s="495"/>
    </row>
    <row r="47" spans="2:13" ht="30" customHeight="1" x14ac:dyDescent="0.45">
      <c r="B47" s="498"/>
      <c r="C47" s="501"/>
      <c r="D47" s="819" t="s">
        <v>836</v>
      </c>
      <c r="E47" s="819"/>
      <c r="F47" s="819"/>
      <c r="G47" s="819"/>
    </row>
    <row r="48" spans="2:13" ht="30" customHeight="1" x14ac:dyDescent="0.5">
      <c r="B48" s="498"/>
      <c r="C48" s="501"/>
      <c r="D48" s="502">
        <v>0</v>
      </c>
      <c r="E48" s="520">
        <v>0.3</v>
      </c>
      <c r="F48" s="520">
        <v>0.6</v>
      </c>
      <c r="G48" s="520">
        <v>0.9</v>
      </c>
    </row>
    <row r="49" spans="2:7" ht="30" customHeight="1" x14ac:dyDescent="0.5">
      <c r="B49" s="821" t="s">
        <v>845</v>
      </c>
      <c r="C49" s="503">
        <v>0</v>
      </c>
      <c r="D49" s="504">
        <f>AVERAGE(,D43,D37,D31,D25,D19,D13,D7)</f>
        <v>-7.0870083421143662E-2</v>
      </c>
      <c r="E49" s="504">
        <f t="shared" ref="E49:G49" si="7">AVERAGE(,E43,E37,E31,E25,E19,E13,E7)</f>
        <v>-5.297288719254311E-2</v>
      </c>
      <c r="F49" s="504">
        <f t="shared" si="7"/>
        <v>-3.507569096394255E-2</v>
      </c>
      <c r="G49" s="504">
        <f t="shared" si="7"/>
        <v>-1.7178494735341998E-2</v>
      </c>
    </row>
    <row r="50" spans="2:7" ht="30" customHeight="1" x14ac:dyDescent="0.5">
      <c r="B50" s="821"/>
      <c r="C50" s="503">
        <v>0.5</v>
      </c>
      <c r="D50" s="504">
        <f t="shared" ref="D50:G52" si="8">AVERAGE(,D44,D38,D32,D26,D20,D14,D8)</f>
        <v>-5.2901403910662809E-2</v>
      </c>
      <c r="E50" s="504">
        <f t="shared" si="8"/>
        <v>-3.500420768206227E-2</v>
      </c>
      <c r="F50" s="504">
        <f t="shared" si="8"/>
        <v>-1.7107011453461718E-2</v>
      </c>
      <c r="G50" s="504">
        <f t="shared" si="8"/>
        <v>7.9018477513883873E-4</v>
      </c>
    </row>
    <row r="51" spans="2:7" ht="30" customHeight="1" x14ac:dyDescent="0.5">
      <c r="B51" s="821"/>
      <c r="C51" s="503">
        <v>0.6</v>
      </c>
      <c r="D51" s="504">
        <f t="shared" si="8"/>
        <v>-4.9307668008566646E-2</v>
      </c>
      <c r="E51" s="504">
        <f t="shared" si="8"/>
        <v>-3.1410471779966094E-2</v>
      </c>
      <c r="F51" s="504">
        <f t="shared" si="8"/>
        <v>-1.3513275551365549E-2</v>
      </c>
      <c r="G51" s="504">
        <f t="shared" si="8"/>
        <v>4.3839206772350054E-3</v>
      </c>
    </row>
    <row r="52" spans="2:7" ht="30" customHeight="1" thickBot="1" x14ac:dyDescent="0.55000000000000004">
      <c r="B52" s="824"/>
      <c r="C52" s="589">
        <v>0.7</v>
      </c>
      <c r="D52" s="590">
        <f t="shared" si="8"/>
        <v>-4.5713932106470484E-2</v>
      </c>
      <c r="E52" s="590">
        <f t="shared" si="8"/>
        <v>-2.7816735877869932E-2</v>
      </c>
      <c r="F52" s="590">
        <f t="shared" si="8"/>
        <v>-9.9195396492693863E-3</v>
      </c>
      <c r="G52" s="590">
        <f t="shared" si="8"/>
        <v>7.9776565793311712E-3</v>
      </c>
    </row>
    <row r="53" spans="2:7" ht="15.6" thickTop="1" x14ac:dyDescent="0.25"/>
  </sheetData>
  <mergeCells count="19">
    <mergeCell ref="D29:G29"/>
    <mergeCell ref="B2:G2"/>
    <mergeCell ref="D4:G4"/>
    <mergeCell ref="K4:M4"/>
    <mergeCell ref="D5:G5"/>
    <mergeCell ref="B7:B10"/>
    <mergeCell ref="D11:G11"/>
    <mergeCell ref="B13:B16"/>
    <mergeCell ref="D17:G17"/>
    <mergeCell ref="B19:B22"/>
    <mergeCell ref="D23:G23"/>
    <mergeCell ref="B25:B28"/>
    <mergeCell ref="B49:B52"/>
    <mergeCell ref="B31:B34"/>
    <mergeCell ref="D35:G35"/>
    <mergeCell ref="B37:B40"/>
    <mergeCell ref="D41:G41"/>
    <mergeCell ref="B43:B46"/>
    <mergeCell ref="D47:G47"/>
  </mergeCells>
  <phoneticPr fontId="13" type="noConversion"/>
  <pageMargins left="0.75" right="0.75" top="1" bottom="1" header="0.5" footer="0.5"/>
  <pageSetup paperSize="9" scale="40" orientation="portrait" horizontalDpi="4294967292" verticalDpi="4294967292"/>
  <extLst>
    <ext xmlns:mx="http://schemas.microsoft.com/office/mac/excel/2008/main" uri="{64002731-A6B0-56B0-2670-7721B7C09600}">
      <mx:PLV Mode="0" OnePage="0" WScale="100"/>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FK82"/>
  <sheetViews>
    <sheetView zoomScale="75" zoomScaleNormal="75" zoomScalePageLayoutView="75" workbookViewId="0">
      <pane xSplit="1" ySplit="9" topLeftCell="EO41" activePane="bottomRight" state="frozen"/>
      <selection pane="topRight" activeCell="B1" sqref="B1"/>
      <selection pane="bottomLeft" activeCell="A2" sqref="A2"/>
      <selection pane="bottomRight" activeCell="DH5" sqref="DH5"/>
    </sheetView>
  </sheetViews>
  <sheetFormatPr baseColWidth="10" defaultRowHeight="12.6" x14ac:dyDescent="0.2"/>
  <cols>
    <col min="1" max="1" width="11.7265625" customWidth="1"/>
    <col min="2" max="2" width="12" customWidth="1"/>
    <col min="3" max="5" width="10.7265625" style="3"/>
    <col min="6" max="6" width="3.54296875" style="3" customWidth="1"/>
    <col min="7" max="10" width="12.453125" style="3" customWidth="1"/>
    <col min="11" max="11" width="3.7265625" style="3" customWidth="1"/>
    <col min="12" max="12" width="4" style="3" customWidth="1"/>
    <col min="13" max="17" width="10.7265625" style="3"/>
    <col min="18" max="18" width="4.453125" style="3" customWidth="1"/>
    <col min="19" max="20" width="11.7265625" style="3" customWidth="1"/>
    <col min="21" max="21" width="3.7265625" style="3" customWidth="1"/>
    <col min="22" max="25" width="11.7265625" style="3" customWidth="1"/>
    <col min="26" max="26" width="3" style="3" customWidth="1"/>
    <col min="27" max="30" width="10.7265625" style="3"/>
    <col min="31" max="31" width="5.7265625" style="3" customWidth="1"/>
    <col min="32" max="40" width="10.7265625" style="3"/>
    <col min="41" max="41" width="11.1796875" style="3" customWidth="1"/>
    <col min="42" max="42" width="7.1796875" style="3" customWidth="1"/>
    <col min="43" max="44" width="10.7265625" style="3"/>
    <col min="46" max="52" width="10.7265625" style="3"/>
    <col min="53" max="53" width="4.453125" style="3" customWidth="1"/>
    <col min="54" max="56" width="10.7265625" style="3"/>
    <col min="57" max="57" width="4.81640625" style="3" customWidth="1"/>
    <col min="58" max="64" width="10.7265625" style="3"/>
    <col min="65" max="65" width="2.81640625" style="3" customWidth="1"/>
    <col min="66" max="72" width="10.7265625" style="3"/>
    <col min="75" max="76" width="10.7265625" style="3"/>
    <col min="79" max="79" width="10.7265625" style="3"/>
    <col min="82" max="99" width="10.7265625" style="3"/>
    <col min="101" max="101" width="10.7265625" style="3"/>
    <col min="102" max="102" width="11.54296875" customWidth="1"/>
    <col min="103" max="105" width="10.7265625" style="3"/>
    <col min="114" max="114" width="12.26953125" bestFit="1" customWidth="1"/>
    <col min="124" max="124" width="4" customWidth="1"/>
    <col min="131" max="131" width="4.453125" customWidth="1"/>
    <col min="140" max="140" width="4" customWidth="1"/>
    <col min="147" max="147" width="3.453125" customWidth="1"/>
  </cols>
  <sheetData>
    <row r="1" spans="1:167" x14ac:dyDescent="0.2">
      <c r="B1" s="21" t="s">
        <v>152</v>
      </c>
      <c r="AQ1" s="21" t="s">
        <v>151</v>
      </c>
      <c r="BW1" s="21" t="s">
        <v>170</v>
      </c>
      <c r="BX1" s="21"/>
      <c r="CJ1" s="3" t="s">
        <v>99</v>
      </c>
      <c r="CX1" t="s">
        <v>100</v>
      </c>
      <c r="DP1" s="21" t="s">
        <v>777</v>
      </c>
      <c r="EF1" s="21" t="s">
        <v>779</v>
      </c>
    </row>
    <row r="2" spans="1:167" x14ac:dyDescent="0.2">
      <c r="B2" s="21" t="s">
        <v>29</v>
      </c>
      <c r="G2" s="21" t="s">
        <v>30</v>
      </c>
      <c r="M2" s="21" t="s">
        <v>25</v>
      </c>
      <c r="S2" s="21" t="s">
        <v>2</v>
      </c>
      <c r="V2" s="21" t="s">
        <v>39</v>
      </c>
      <c r="AA2" s="21" t="s">
        <v>40</v>
      </c>
      <c r="AF2" s="31" t="s">
        <v>43</v>
      </c>
      <c r="AQ2" s="21" t="s">
        <v>117</v>
      </c>
      <c r="BB2" s="31" t="s">
        <v>116</v>
      </c>
      <c r="BC2" s="31"/>
      <c r="BD2" s="31"/>
    </row>
    <row r="3" spans="1:167" s="2" customFormat="1" ht="43.95" customHeight="1" x14ac:dyDescent="0.2">
      <c r="A3" s="2" t="s">
        <v>124</v>
      </c>
      <c r="B3" s="5" t="s">
        <v>136</v>
      </c>
      <c r="C3" s="5" t="s">
        <v>136</v>
      </c>
      <c r="D3" s="5" t="s">
        <v>125</v>
      </c>
      <c r="E3" s="5" t="s">
        <v>125</v>
      </c>
      <c r="F3" s="5"/>
      <c r="G3" s="5" t="s">
        <v>141</v>
      </c>
      <c r="H3" s="5" t="s">
        <v>141</v>
      </c>
      <c r="I3" s="5" t="s">
        <v>178</v>
      </c>
      <c r="J3" s="5" t="s">
        <v>178</v>
      </c>
      <c r="K3" s="5"/>
      <c r="L3" s="5"/>
      <c r="M3" s="5" t="s">
        <v>137</v>
      </c>
      <c r="N3" s="5" t="s">
        <v>137</v>
      </c>
      <c r="O3" s="5" t="s">
        <v>178</v>
      </c>
      <c r="P3" s="5" t="s">
        <v>178</v>
      </c>
      <c r="Q3" s="5"/>
      <c r="R3" s="5"/>
      <c r="S3" s="5" t="s">
        <v>5</v>
      </c>
      <c r="T3" s="5"/>
      <c r="U3" s="5"/>
      <c r="V3" s="5" t="s">
        <v>67</v>
      </c>
      <c r="W3" s="5"/>
      <c r="X3" s="5" t="s">
        <v>36</v>
      </c>
      <c r="Y3" s="5" t="s">
        <v>36</v>
      </c>
      <c r="Z3" s="5"/>
      <c r="AA3" s="5" t="s">
        <v>148</v>
      </c>
      <c r="AB3" s="5" t="s">
        <v>148</v>
      </c>
      <c r="AC3" s="4" t="s">
        <v>178</v>
      </c>
      <c r="AD3" s="4" t="s">
        <v>178</v>
      </c>
      <c r="AE3" s="5"/>
      <c r="AF3" s="5" t="s">
        <v>132</v>
      </c>
      <c r="AG3" s="5"/>
      <c r="AH3" s="5"/>
      <c r="AI3" s="5" t="s">
        <v>129</v>
      </c>
      <c r="AJ3" s="5" t="s">
        <v>132</v>
      </c>
      <c r="AK3" s="5"/>
      <c r="AL3" s="5"/>
      <c r="AM3" s="5" t="s">
        <v>52</v>
      </c>
      <c r="AN3" s="5"/>
      <c r="AO3" s="5"/>
      <c r="AP3" s="4"/>
      <c r="AQ3" s="5" t="s">
        <v>113</v>
      </c>
      <c r="AR3" s="5" t="s">
        <v>113</v>
      </c>
      <c r="AS3" s="5" t="s">
        <v>148</v>
      </c>
      <c r="AT3" s="5" t="s">
        <v>148</v>
      </c>
      <c r="AU3" s="5" t="s">
        <v>137</v>
      </c>
      <c r="AV3" s="5" t="s">
        <v>137</v>
      </c>
      <c r="AW3" s="5" t="s">
        <v>17</v>
      </c>
      <c r="AX3" s="5" t="s">
        <v>17</v>
      </c>
      <c r="AY3" s="5" t="s">
        <v>113</v>
      </c>
      <c r="AZ3" s="5"/>
      <c r="BA3" s="5"/>
      <c r="BB3" s="5" t="s">
        <v>106</v>
      </c>
      <c r="BC3" s="5"/>
      <c r="BD3" s="5"/>
      <c r="BE3" s="5"/>
      <c r="BF3" s="5"/>
      <c r="BG3" s="5"/>
      <c r="BH3" s="5"/>
      <c r="BI3" s="5"/>
      <c r="BJ3" s="5"/>
      <c r="BK3" s="5"/>
      <c r="BL3" s="5"/>
      <c r="BM3" s="5"/>
      <c r="BN3" s="4"/>
      <c r="BO3" s="4"/>
      <c r="BP3" s="4"/>
      <c r="BQ3" s="4"/>
      <c r="BR3" s="4"/>
      <c r="BS3" s="4"/>
      <c r="BT3" s="4"/>
      <c r="BW3" s="4"/>
      <c r="BX3" s="4"/>
      <c r="CA3" s="4"/>
      <c r="CD3" s="4"/>
      <c r="CE3" s="4"/>
      <c r="CF3" s="4"/>
      <c r="CG3" s="4"/>
      <c r="CH3" s="4"/>
      <c r="CI3" s="4"/>
      <c r="CJ3" s="4"/>
      <c r="CK3" s="4"/>
      <c r="CL3" s="4"/>
      <c r="CM3" s="4"/>
      <c r="CN3" s="4"/>
      <c r="CO3" s="4"/>
      <c r="CP3" s="4"/>
      <c r="CQ3" s="4"/>
      <c r="CR3" s="4"/>
      <c r="CS3" s="4"/>
      <c r="CT3" s="4"/>
      <c r="CU3" s="4"/>
      <c r="CW3" s="5" t="s">
        <v>78</v>
      </c>
      <c r="CY3" s="4"/>
      <c r="CZ3" s="4"/>
      <c r="DA3" s="4"/>
      <c r="DE3" s="2" t="s">
        <v>284</v>
      </c>
      <c r="DF3" s="2" t="s">
        <v>284</v>
      </c>
      <c r="DH3" s="2" t="s">
        <v>623</v>
      </c>
      <c r="DP3" s="2" t="s">
        <v>754</v>
      </c>
      <c r="DQ3" s="2" t="s">
        <v>753</v>
      </c>
      <c r="DR3" s="2" t="s">
        <v>752</v>
      </c>
      <c r="DS3" s="2" t="s">
        <v>752</v>
      </c>
      <c r="DU3" s="2" t="s">
        <v>751</v>
      </c>
      <c r="DV3" s="2" t="s">
        <v>750</v>
      </c>
      <c r="DW3" s="2" t="s">
        <v>749</v>
      </c>
      <c r="DX3" s="2" t="s">
        <v>748</v>
      </c>
      <c r="DY3" s="2" t="s">
        <v>747</v>
      </c>
      <c r="DZ3" s="2" t="s">
        <v>746</v>
      </c>
      <c r="EB3" s="2" t="s">
        <v>745</v>
      </c>
      <c r="EC3" s="2" t="s">
        <v>744</v>
      </c>
      <c r="ED3" s="2" t="s">
        <v>743</v>
      </c>
      <c r="EF3" s="2" t="s">
        <v>754</v>
      </c>
      <c r="EG3" s="2" t="s">
        <v>753</v>
      </c>
      <c r="EH3" s="2" t="s">
        <v>752</v>
      </c>
      <c r="EI3" s="2" t="s">
        <v>752</v>
      </c>
      <c r="EK3" s="2" t="s">
        <v>751</v>
      </c>
      <c r="EL3" s="2" t="s">
        <v>750</v>
      </c>
      <c r="EM3" s="2" t="s">
        <v>749</v>
      </c>
      <c r="EN3" s="2" t="s">
        <v>748</v>
      </c>
      <c r="EO3" s="2" t="s">
        <v>747</v>
      </c>
      <c r="EP3" s="2" t="s">
        <v>746</v>
      </c>
      <c r="ER3" s="2" t="s">
        <v>745</v>
      </c>
      <c r="ES3" s="2" t="s">
        <v>744</v>
      </c>
      <c r="ET3" s="2" t="s">
        <v>743</v>
      </c>
      <c r="EV3" s="2" t="s">
        <v>780</v>
      </c>
      <c r="EW3" s="2" t="s">
        <v>780</v>
      </c>
      <c r="EX3" s="2" t="s">
        <v>780</v>
      </c>
      <c r="EY3" s="2" t="s">
        <v>780</v>
      </c>
      <c r="EZ3" s="2" t="s">
        <v>780</v>
      </c>
      <c r="FA3" s="2" t="s">
        <v>780</v>
      </c>
      <c r="FB3" s="2" t="s">
        <v>780</v>
      </c>
    </row>
    <row r="4" spans="1:167" ht="43.95" customHeight="1" x14ac:dyDescent="0.2">
      <c r="A4" s="2" t="s">
        <v>114</v>
      </c>
      <c r="B4" s="5" t="s">
        <v>126</v>
      </c>
      <c r="C4" s="5" t="s">
        <v>126</v>
      </c>
      <c r="D4" s="5" t="s">
        <v>126</v>
      </c>
      <c r="E4" s="5" t="s">
        <v>126</v>
      </c>
      <c r="F4" s="5"/>
      <c r="G4" s="5" t="s">
        <v>142</v>
      </c>
      <c r="H4" s="5" t="s">
        <v>142</v>
      </c>
      <c r="I4" s="5"/>
      <c r="J4" s="5"/>
      <c r="K4" s="5"/>
      <c r="L4" s="4"/>
      <c r="M4" s="5" t="s">
        <v>138</v>
      </c>
      <c r="N4" s="5" t="s">
        <v>138</v>
      </c>
      <c r="O4" s="4"/>
      <c r="P4" s="4"/>
      <c r="Q4" s="4"/>
      <c r="R4" s="4"/>
      <c r="S4" s="5" t="s">
        <v>6</v>
      </c>
      <c r="T4" s="5"/>
      <c r="U4" s="5"/>
      <c r="V4" s="5" t="s">
        <v>6</v>
      </c>
      <c r="W4" s="4"/>
      <c r="X4" s="5" t="s">
        <v>37</v>
      </c>
      <c r="Y4" s="5" t="s">
        <v>37</v>
      </c>
      <c r="Z4" s="4"/>
      <c r="AA4" s="4"/>
      <c r="AB4" s="4"/>
      <c r="AE4" s="4"/>
      <c r="AF4" s="4" t="s">
        <v>6</v>
      </c>
      <c r="AG4" s="4"/>
      <c r="AH4" s="4"/>
      <c r="AI4" s="4" t="s">
        <v>130</v>
      </c>
      <c r="AJ4" s="4" t="s">
        <v>6</v>
      </c>
      <c r="AK4" s="4"/>
      <c r="AL4" s="4"/>
      <c r="AM4" s="4" t="s">
        <v>53</v>
      </c>
      <c r="AN4" s="4"/>
      <c r="AO4" s="4"/>
      <c r="AP4" s="4"/>
      <c r="AQ4" s="100">
        <v>40483</v>
      </c>
      <c r="AR4" s="100">
        <v>40483</v>
      </c>
      <c r="AS4" s="2" t="s">
        <v>115</v>
      </c>
      <c r="AT4" s="2" t="s">
        <v>115</v>
      </c>
      <c r="AU4" s="5" t="s">
        <v>138</v>
      </c>
      <c r="AV4" s="5" t="s">
        <v>138</v>
      </c>
      <c r="AW4" s="5" t="s">
        <v>18</v>
      </c>
      <c r="AX4" s="5" t="s">
        <v>18</v>
      </c>
      <c r="AY4" s="100">
        <v>40483</v>
      </c>
      <c r="AZ4" s="100"/>
      <c r="BA4" s="5"/>
      <c r="BB4" s="5"/>
      <c r="BC4" s="5"/>
      <c r="BD4" s="5"/>
      <c r="BE4" s="5"/>
      <c r="BF4" s="5"/>
      <c r="BG4" s="5"/>
      <c r="BH4" s="5"/>
      <c r="BI4" s="5"/>
      <c r="BJ4" s="5"/>
      <c r="BK4" s="5"/>
      <c r="BL4" s="5"/>
      <c r="BM4" s="5"/>
      <c r="BN4" s="4"/>
      <c r="BO4" s="4"/>
      <c r="BP4" s="4"/>
      <c r="BQ4" s="4"/>
      <c r="BR4" s="4"/>
      <c r="BS4" s="4"/>
      <c r="BT4" s="4"/>
      <c r="BU4" s="2"/>
      <c r="BV4" s="2"/>
      <c r="BW4" s="4"/>
      <c r="BX4" s="4"/>
      <c r="BY4" s="2"/>
      <c r="BZ4" s="2"/>
      <c r="CA4" s="4"/>
      <c r="CB4" s="2"/>
      <c r="CC4" s="2"/>
      <c r="CD4" s="4"/>
      <c r="CE4" s="4"/>
      <c r="CF4" s="4"/>
      <c r="CG4" s="4"/>
      <c r="CH4" s="4"/>
      <c r="CI4" s="4"/>
      <c r="CJ4" s="4"/>
      <c r="CK4" s="4"/>
      <c r="CL4" s="4"/>
      <c r="CM4" s="4"/>
      <c r="CN4" s="4"/>
      <c r="CO4" s="4"/>
      <c r="CP4" s="4"/>
      <c r="CQ4" s="4"/>
      <c r="CR4" s="4"/>
      <c r="CS4" s="4"/>
      <c r="CT4" s="4"/>
      <c r="CU4" s="4"/>
      <c r="CV4" s="2"/>
      <c r="CW4" s="4" t="s">
        <v>138</v>
      </c>
      <c r="CX4" s="2"/>
      <c r="CY4" s="4"/>
      <c r="CZ4" s="4"/>
      <c r="DA4" s="4"/>
      <c r="DB4" s="2"/>
      <c r="DC4" s="2"/>
      <c r="DD4" s="2"/>
      <c r="DE4" s="2"/>
      <c r="DF4" s="2"/>
      <c r="DG4" s="2"/>
      <c r="DH4" s="2"/>
      <c r="DI4" s="2"/>
      <c r="DJ4" s="2"/>
      <c r="DK4" s="2"/>
      <c r="DL4" s="2"/>
      <c r="DM4" s="2"/>
      <c r="DP4" s="434">
        <v>40723</v>
      </c>
      <c r="DQ4" s="434">
        <v>40723</v>
      </c>
      <c r="DR4" s="434">
        <v>40723</v>
      </c>
      <c r="DS4" s="434">
        <v>40723</v>
      </c>
      <c r="DT4" s="434"/>
      <c r="DU4" s="434">
        <v>40723</v>
      </c>
      <c r="DV4" s="434">
        <v>40723</v>
      </c>
      <c r="DW4" s="434">
        <v>40723</v>
      </c>
      <c r="DX4" s="434">
        <v>40723</v>
      </c>
      <c r="DY4" s="434">
        <v>40723</v>
      </c>
      <c r="DZ4" s="434">
        <v>40723</v>
      </c>
      <c r="EA4" s="434"/>
      <c r="EB4" s="434">
        <v>40723</v>
      </c>
      <c r="EC4" s="434">
        <v>40723</v>
      </c>
      <c r="ED4" s="434">
        <v>40723</v>
      </c>
      <c r="EE4" s="434"/>
      <c r="EF4" s="434">
        <v>40723</v>
      </c>
      <c r="EG4" s="434">
        <v>40723</v>
      </c>
      <c r="EH4" s="434">
        <v>40723</v>
      </c>
      <c r="EI4" s="434">
        <v>40723</v>
      </c>
      <c r="EJ4" s="434"/>
      <c r="EK4" s="434">
        <v>40723</v>
      </c>
      <c r="EL4" s="434">
        <v>40723</v>
      </c>
      <c r="EM4" s="434">
        <v>40723</v>
      </c>
      <c r="EN4" s="434">
        <v>40723</v>
      </c>
      <c r="EO4" s="434">
        <v>40723</v>
      </c>
      <c r="EP4" s="434">
        <v>40723</v>
      </c>
      <c r="EQ4" s="434"/>
      <c r="ER4" s="434">
        <v>40723</v>
      </c>
      <c r="ES4" s="434">
        <v>40723</v>
      </c>
      <c r="ET4" s="434">
        <v>40723</v>
      </c>
      <c r="EU4" s="434"/>
      <c r="EV4" s="434" t="s">
        <v>786</v>
      </c>
      <c r="EW4" s="434" t="s">
        <v>786</v>
      </c>
      <c r="EX4" s="434" t="s">
        <v>786</v>
      </c>
      <c r="EY4" s="434" t="s">
        <v>786</v>
      </c>
      <c r="EZ4" s="434" t="s">
        <v>786</v>
      </c>
      <c r="FA4" s="434" t="s">
        <v>786</v>
      </c>
      <c r="FB4" s="434" t="s">
        <v>786</v>
      </c>
      <c r="FC4" s="434"/>
      <c r="FD4" s="434"/>
      <c r="FE4" s="434"/>
      <c r="FF4" s="434"/>
      <c r="FG4" s="434"/>
      <c r="FH4" s="434"/>
      <c r="FI4" s="434"/>
      <c r="FJ4" s="434"/>
      <c r="FK4" s="434"/>
    </row>
    <row r="5" spans="1:167" s="2" customFormat="1" ht="63" customHeight="1" x14ac:dyDescent="0.2">
      <c r="A5" s="2" t="s">
        <v>57</v>
      </c>
      <c r="B5" s="5" t="s">
        <v>135</v>
      </c>
      <c r="C5" s="5" t="s">
        <v>135</v>
      </c>
      <c r="D5" s="5" t="s">
        <v>135</v>
      </c>
      <c r="E5" s="5" t="s">
        <v>135</v>
      </c>
      <c r="F5" s="5"/>
      <c r="G5" s="5" t="s">
        <v>177</v>
      </c>
      <c r="H5" s="5" t="s">
        <v>177</v>
      </c>
      <c r="I5" s="5"/>
      <c r="J5" s="5"/>
      <c r="K5" s="5"/>
      <c r="L5" s="5"/>
      <c r="M5" s="5" t="s">
        <v>58</v>
      </c>
      <c r="N5" s="5" t="s">
        <v>58</v>
      </c>
      <c r="O5" s="5" t="s">
        <v>177</v>
      </c>
      <c r="P5" s="5" t="s">
        <v>177</v>
      </c>
      <c r="Q5" s="5"/>
      <c r="R5" s="5"/>
      <c r="S5" s="5" t="s">
        <v>7</v>
      </c>
      <c r="T5" s="5"/>
      <c r="U5" s="5"/>
      <c r="V5" s="5" t="s">
        <v>135</v>
      </c>
      <c r="W5" s="5" t="s">
        <v>135</v>
      </c>
      <c r="X5" s="5" t="s">
        <v>68</v>
      </c>
      <c r="Y5" s="5" t="s">
        <v>68</v>
      </c>
      <c r="Z5" s="5"/>
      <c r="AA5" s="5" t="s">
        <v>44</v>
      </c>
      <c r="AB5" s="5" t="s">
        <v>44</v>
      </c>
      <c r="AC5" s="5" t="s">
        <v>44</v>
      </c>
      <c r="AD5" s="5" t="s">
        <v>44</v>
      </c>
      <c r="AE5" s="5"/>
      <c r="AF5" s="5" t="s">
        <v>135</v>
      </c>
      <c r="AG5" s="5"/>
      <c r="AH5" s="5"/>
      <c r="AI5" s="5" t="s">
        <v>131</v>
      </c>
      <c r="AJ5" s="5" t="s">
        <v>44</v>
      </c>
      <c r="AK5" s="5" t="s">
        <v>44</v>
      </c>
      <c r="AL5" s="5" t="s">
        <v>44</v>
      </c>
      <c r="AM5" s="5" t="s">
        <v>54</v>
      </c>
      <c r="AN5" s="5"/>
      <c r="AO5" s="5"/>
      <c r="AP5" s="4"/>
      <c r="AQ5" s="5"/>
      <c r="AR5" s="5"/>
      <c r="AS5" s="5" t="s">
        <v>14</v>
      </c>
      <c r="AT5" s="5" t="s">
        <v>14</v>
      </c>
      <c r="AU5" s="5"/>
      <c r="AV5" s="5"/>
      <c r="AW5" s="5" t="s">
        <v>14</v>
      </c>
      <c r="AX5" s="5" t="s">
        <v>14</v>
      </c>
      <c r="AY5" s="5" t="s">
        <v>14</v>
      </c>
      <c r="AZ5" s="5"/>
      <c r="BA5" s="5"/>
      <c r="BB5" s="5"/>
      <c r="BC5" s="5" t="s">
        <v>14</v>
      </c>
      <c r="BD5" s="5" t="s">
        <v>14</v>
      </c>
      <c r="BE5" s="5"/>
      <c r="BF5" s="5"/>
      <c r="BG5" s="5"/>
      <c r="BH5" s="5"/>
      <c r="BI5" s="5"/>
      <c r="BJ5" s="5"/>
      <c r="BK5" s="5"/>
      <c r="BL5" s="5"/>
      <c r="BM5" s="5"/>
      <c r="BN5" s="4"/>
      <c r="BO5" s="4"/>
      <c r="BP5" s="4"/>
      <c r="BQ5" s="4"/>
      <c r="BR5" s="4"/>
      <c r="BS5" s="4"/>
      <c r="BT5" s="4"/>
      <c r="BW5" s="4"/>
      <c r="BX5" s="4"/>
      <c r="CA5" s="4"/>
      <c r="CD5" s="4"/>
      <c r="CE5" s="4"/>
      <c r="CF5" s="4"/>
      <c r="CG5" s="4"/>
      <c r="CH5" s="4"/>
      <c r="CI5" s="4"/>
      <c r="CJ5" s="4"/>
      <c r="CK5" s="4"/>
      <c r="CL5" s="4"/>
      <c r="CM5" s="4"/>
      <c r="CN5" s="4"/>
      <c r="CO5" s="4"/>
      <c r="CP5" s="4"/>
      <c r="CQ5" s="4"/>
      <c r="CR5" s="4"/>
      <c r="CS5" s="4"/>
      <c r="CT5" s="4"/>
      <c r="CU5" s="4"/>
      <c r="CW5" s="4" t="s">
        <v>79</v>
      </c>
      <c r="CY5" s="4"/>
      <c r="CZ5" s="4"/>
      <c r="DA5" s="4"/>
      <c r="DE5" s="5" t="s">
        <v>14</v>
      </c>
      <c r="DF5" s="5" t="s">
        <v>14</v>
      </c>
      <c r="DH5" s="5" t="s">
        <v>14</v>
      </c>
      <c r="DP5" s="2" t="s">
        <v>742</v>
      </c>
      <c r="DQ5" s="2" t="s">
        <v>741</v>
      </c>
      <c r="DR5" s="2" t="s">
        <v>740</v>
      </c>
      <c r="DS5" s="2" t="s">
        <v>739</v>
      </c>
      <c r="DU5" s="2" t="s">
        <v>738</v>
      </c>
      <c r="DV5" s="2" t="s">
        <v>737</v>
      </c>
      <c r="DW5" s="2" t="s">
        <v>736</v>
      </c>
      <c r="DX5" s="2" t="s">
        <v>735</v>
      </c>
      <c r="DY5" s="2" t="s">
        <v>734</v>
      </c>
      <c r="DZ5" s="2" t="s">
        <v>733</v>
      </c>
      <c r="EC5" s="2" t="s">
        <v>732</v>
      </c>
      <c r="ED5" s="2" t="s">
        <v>731</v>
      </c>
      <c r="EF5" s="2" t="s">
        <v>742</v>
      </c>
      <c r="EG5" s="2" t="s">
        <v>741</v>
      </c>
      <c r="EH5" s="2" t="s">
        <v>740</v>
      </c>
      <c r="EI5" s="2" t="s">
        <v>739</v>
      </c>
      <c r="EK5" s="2" t="s">
        <v>738</v>
      </c>
      <c r="EL5" s="2" t="s">
        <v>737</v>
      </c>
      <c r="EM5" s="2" t="s">
        <v>736</v>
      </c>
      <c r="EN5" s="2" t="s">
        <v>735</v>
      </c>
      <c r="EO5" s="2" t="s">
        <v>734</v>
      </c>
      <c r="EP5" s="2" t="s">
        <v>733</v>
      </c>
      <c r="ER5" s="2" t="s">
        <v>773</v>
      </c>
      <c r="ES5" s="2" t="s">
        <v>732</v>
      </c>
      <c r="ET5" s="2" t="s">
        <v>731</v>
      </c>
    </row>
    <row r="6" spans="1:167" s="2" customFormat="1" ht="75" customHeight="1" x14ac:dyDescent="0.2">
      <c r="A6" s="2" t="s">
        <v>154</v>
      </c>
      <c r="B6" s="8" t="s">
        <v>122</v>
      </c>
      <c r="C6" s="8"/>
      <c r="D6" s="8" t="s">
        <v>122</v>
      </c>
      <c r="E6" s="8"/>
      <c r="F6" s="8"/>
      <c r="G6" s="5" t="s">
        <v>180</v>
      </c>
      <c r="H6" s="5" t="s">
        <v>180</v>
      </c>
      <c r="I6" s="5" t="s">
        <v>111</v>
      </c>
      <c r="J6" s="5"/>
      <c r="K6" s="5"/>
      <c r="L6" s="5"/>
      <c r="M6" s="4" t="s">
        <v>56</v>
      </c>
      <c r="N6" s="4" t="s">
        <v>56</v>
      </c>
      <c r="O6" s="5" t="s">
        <v>143</v>
      </c>
      <c r="P6" s="5" t="s">
        <v>143</v>
      </c>
      <c r="Q6" s="5"/>
      <c r="R6" s="5"/>
      <c r="S6" s="5" t="s">
        <v>122</v>
      </c>
      <c r="U6" s="5"/>
      <c r="V6" s="5" t="s">
        <v>69</v>
      </c>
      <c r="W6" s="5"/>
      <c r="X6" s="5"/>
      <c r="Y6" s="5"/>
      <c r="Z6" s="5"/>
      <c r="AA6" s="5" t="s">
        <v>45</v>
      </c>
      <c r="AB6" s="5" t="s">
        <v>45</v>
      </c>
      <c r="AC6" s="5"/>
      <c r="AD6" s="5"/>
      <c r="AE6" s="5"/>
      <c r="AF6" s="5" t="s">
        <v>122</v>
      </c>
      <c r="AG6" s="5"/>
      <c r="AH6" s="5"/>
      <c r="AI6" s="5" t="s">
        <v>122</v>
      </c>
      <c r="AJ6" s="5"/>
      <c r="AK6" s="5"/>
      <c r="AL6" s="5"/>
      <c r="AM6" s="5"/>
      <c r="AN6" s="5"/>
      <c r="AO6" s="5"/>
      <c r="AP6" s="4"/>
      <c r="AQ6" s="8"/>
      <c r="AR6" s="4"/>
      <c r="AT6" s="4"/>
      <c r="AU6" s="4" t="s">
        <v>56</v>
      </c>
      <c r="AV6" s="4" t="s">
        <v>56</v>
      </c>
      <c r="AW6" s="4"/>
      <c r="AX6" s="4"/>
      <c r="AY6" s="4"/>
      <c r="AZ6" s="4"/>
      <c r="BA6" s="4"/>
      <c r="BB6" s="4"/>
      <c r="BC6" s="4"/>
      <c r="BD6" s="4"/>
      <c r="BE6" s="4"/>
      <c r="BF6" s="4"/>
      <c r="BG6" s="4"/>
      <c r="BH6" s="4"/>
      <c r="BI6" s="4"/>
      <c r="BJ6" s="4"/>
      <c r="BK6" s="4"/>
      <c r="BL6" s="4"/>
      <c r="BM6" s="4"/>
      <c r="BN6" s="4"/>
      <c r="BO6" s="4"/>
      <c r="BP6" s="4"/>
      <c r="BQ6" s="4" t="s">
        <v>77</v>
      </c>
      <c r="BR6" s="4"/>
      <c r="BS6" s="4"/>
      <c r="BT6" s="4"/>
      <c r="BW6" s="4" t="s">
        <v>101</v>
      </c>
      <c r="BX6" s="4"/>
      <c r="BY6" s="4" t="s">
        <v>101</v>
      </c>
      <c r="CA6" s="4"/>
      <c r="CD6" s="4"/>
      <c r="CE6" s="4"/>
      <c r="CF6" s="4"/>
      <c r="CG6" s="4"/>
      <c r="CH6" s="4"/>
      <c r="CI6" s="4"/>
      <c r="CJ6" s="4"/>
      <c r="CK6" s="4"/>
      <c r="CL6" s="4"/>
      <c r="CM6" s="4"/>
      <c r="CN6" s="4"/>
      <c r="CO6" s="4"/>
      <c r="CP6" s="4"/>
      <c r="CQ6" s="4"/>
      <c r="CR6" s="4"/>
      <c r="CS6" s="4"/>
      <c r="CT6" s="4"/>
      <c r="CU6" s="4"/>
      <c r="CW6" s="4" t="s">
        <v>80</v>
      </c>
      <c r="CY6" s="4"/>
      <c r="CZ6" s="4"/>
      <c r="DA6" s="4"/>
    </row>
    <row r="7" spans="1:167" s="2" customFormat="1" ht="105" customHeight="1" x14ac:dyDescent="0.2">
      <c r="A7" s="2" t="s">
        <v>123</v>
      </c>
      <c r="B7" s="8" t="s">
        <v>122</v>
      </c>
      <c r="C7" s="8"/>
      <c r="D7" s="8" t="s">
        <v>122</v>
      </c>
      <c r="E7" s="8"/>
      <c r="F7" s="8"/>
      <c r="G7" s="5" t="s">
        <v>108</v>
      </c>
      <c r="H7" s="5" t="s">
        <v>108</v>
      </c>
      <c r="I7" s="5"/>
      <c r="J7" s="5"/>
      <c r="K7" s="5"/>
      <c r="L7" s="5"/>
      <c r="M7" s="4" t="s">
        <v>59</v>
      </c>
      <c r="N7" s="4" t="s">
        <v>59</v>
      </c>
      <c r="O7" s="5" t="s">
        <v>143</v>
      </c>
      <c r="P7" s="5" t="s">
        <v>143</v>
      </c>
      <c r="Q7" s="5"/>
      <c r="R7" s="5"/>
      <c r="S7" s="5" t="s">
        <v>122</v>
      </c>
      <c r="T7" s="5" t="s">
        <v>9</v>
      </c>
      <c r="U7" s="5"/>
      <c r="V7" s="2" t="s">
        <v>60</v>
      </c>
      <c r="W7" s="5"/>
      <c r="X7" s="5" t="s">
        <v>38</v>
      </c>
      <c r="Y7" s="5" t="s">
        <v>38</v>
      </c>
      <c r="Z7" s="5"/>
      <c r="AA7" s="5" t="s">
        <v>46</v>
      </c>
      <c r="AB7" s="5" t="s">
        <v>46</v>
      </c>
      <c r="AC7" s="5" t="s">
        <v>46</v>
      </c>
      <c r="AD7" s="5" t="s">
        <v>46</v>
      </c>
      <c r="AE7" s="5"/>
      <c r="AF7" s="5" t="s">
        <v>133</v>
      </c>
      <c r="AG7" s="5"/>
      <c r="AH7" s="5"/>
      <c r="AI7" s="5" t="s">
        <v>122</v>
      </c>
      <c r="AJ7" s="5" t="s">
        <v>11</v>
      </c>
      <c r="AK7" s="5" t="s">
        <v>12</v>
      </c>
      <c r="AL7" s="5" t="s">
        <v>49</v>
      </c>
      <c r="AM7" s="5"/>
      <c r="AN7" s="5"/>
      <c r="AO7" s="5"/>
      <c r="AP7" s="4"/>
      <c r="AQ7" s="8"/>
      <c r="AR7" s="4"/>
      <c r="AS7" s="2" t="s">
        <v>13</v>
      </c>
      <c r="AT7" s="2" t="s">
        <v>13</v>
      </c>
      <c r="AU7" s="4" t="s">
        <v>176</v>
      </c>
      <c r="AV7" s="4" t="s">
        <v>176</v>
      </c>
      <c r="AW7" s="4"/>
      <c r="AX7" s="4"/>
      <c r="AY7" s="4" t="s">
        <v>287</v>
      </c>
      <c r="AZ7" s="4"/>
      <c r="BA7" s="4"/>
      <c r="BB7" s="4" t="s">
        <v>105</v>
      </c>
      <c r="BC7" s="4"/>
      <c r="BD7" s="4"/>
      <c r="BE7" s="4"/>
      <c r="BF7" s="4"/>
      <c r="BG7" s="4"/>
      <c r="BH7" s="4"/>
      <c r="BI7" s="4"/>
      <c r="BJ7" s="4"/>
      <c r="BK7" s="4"/>
      <c r="BL7" s="4"/>
      <c r="BM7" s="4"/>
      <c r="BN7" s="4"/>
      <c r="BO7" s="4"/>
      <c r="BP7" s="4"/>
      <c r="BQ7" s="4"/>
      <c r="BR7" s="4"/>
      <c r="BS7" s="4"/>
      <c r="BT7" s="4"/>
      <c r="CA7" s="4"/>
      <c r="CD7" s="4"/>
      <c r="CE7" s="4"/>
      <c r="CF7" s="4"/>
      <c r="CG7" s="4"/>
      <c r="CH7" s="4"/>
      <c r="CI7" s="4"/>
      <c r="CJ7" s="4"/>
      <c r="CK7" s="4"/>
      <c r="CL7" s="4"/>
      <c r="CM7" s="4"/>
      <c r="CN7" s="4"/>
      <c r="CO7" s="4"/>
      <c r="CP7" s="4"/>
      <c r="CQ7" s="4"/>
      <c r="CR7" s="4"/>
      <c r="CS7" s="4"/>
      <c r="CT7" s="4"/>
      <c r="CU7" s="4"/>
      <c r="CW7" s="4" t="s">
        <v>173</v>
      </c>
      <c r="CY7" s="4"/>
      <c r="CZ7" s="4"/>
      <c r="DA7" s="4"/>
      <c r="DE7" s="2" t="s">
        <v>283</v>
      </c>
      <c r="DF7" s="2" t="s">
        <v>283</v>
      </c>
      <c r="DP7" s="2" t="s">
        <v>730</v>
      </c>
      <c r="DQ7" s="2" t="s">
        <v>729</v>
      </c>
      <c r="DR7" s="2" t="s">
        <v>728</v>
      </c>
      <c r="DV7" s="2" t="s">
        <v>727</v>
      </c>
      <c r="DX7" s="2" t="s">
        <v>727</v>
      </c>
      <c r="EC7" s="2" t="s">
        <v>726</v>
      </c>
      <c r="EF7" s="2" t="s">
        <v>730</v>
      </c>
      <c r="EG7" s="2" t="s">
        <v>772</v>
      </c>
      <c r="EH7" s="2" t="s">
        <v>771</v>
      </c>
      <c r="EL7" s="2" t="s">
        <v>727</v>
      </c>
      <c r="EM7" s="2" t="s">
        <v>770</v>
      </c>
      <c r="EN7" s="2" t="s">
        <v>769</v>
      </c>
      <c r="EO7" s="2" t="s">
        <v>768</v>
      </c>
      <c r="EP7" s="2" t="s">
        <v>767</v>
      </c>
      <c r="ER7" s="2" t="s">
        <v>766</v>
      </c>
      <c r="ES7" s="2" t="s">
        <v>765</v>
      </c>
      <c r="ET7" s="2" t="s">
        <v>764</v>
      </c>
    </row>
    <row r="8" spans="1:167" s="2" customFormat="1" ht="25.95" customHeight="1" x14ac:dyDescent="0.2">
      <c r="A8" s="2" t="s">
        <v>725</v>
      </c>
      <c r="B8" s="8"/>
      <c r="C8" s="8"/>
      <c r="D8" s="8"/>
      <c r="E8" s="8"/>
      <c r="F8" s="8"/>
      <c r="G8" s="5"/>
      <c r="H8" s="5"/>
      <c r="I8" s="5"/>
      <c r="J8" s="5"/>
      <c r="K8" s="5"/>
      <c r="L8" s="5"/>
      <c r="M8" s="4"/>
      <c r="N8" s="4"/>
      <c r="O8" s="5"/>
      <c r="P8" s="5"/>
      <c r="Q8" s="5"/>
      <c r="R8" s="5"/>
      <c r="S8" s="5"/>
      <c r="T8" s="5"/>
      <c r="U8" s="5"/>
      <c r="W8" s="5"/>
      <c r="X8" s="5"/>
      <c r="Y8" s="5"/>
      <c r="Z8" s="5"/>
      <c r="AA8" s="5"/>
      <c r="AB8" s="5"/>
      <c r="AC8" s="5"/>
      <c r="AD8" s="5"/>
      <c r="AE8" s="5"/>
      <c r="AF8" s="5"/>
      <c r="AG8" s="5"/>
      <c r="AH8" s="5"/>
      <c r="AI8" s="5"/>
      <c r="AJ8" s="5"/>
      <c r="AK8" s="5"/>
      <c r="AL8" s="5"/>
      <c r="AM8" s="5"/>
      <c r="AN8" s="5"/>
      <c r="AO8" s="5"/>
      <c r="AP8" s="4"/>
      <c r="AQ8" s="8"/>
      <c r="AR8" s="4"/>
      <c r="AU8" s="4"/>
      <c r="AV8" s="4"/>
      <c r="AW8" s="4"/>
      <c r="AX8" s="4"/>
      <c r="AY8" s="4"/>
      <c r="AZ8" s="4"/>
      <c r="BA8" s="4"/>
      <c r="BB8" s="4"/>
      <c r="BC8" s="4"/>
      <c r="BD8" s="4"/>
      <c r="BE8" s="4"/>
      <c r="BF8" s="4"/>
      <c r="BG8" s="4"/>
      <c r="BH8" s="4"/>
      <c r="BI8" s="4"/>
      <c r="BJ8" s="4"/>
      <c r="BK8" s="4"/>
      <c r="BL8" s="4"/>
      <c r="BM8" s="4"/>
      <c r="BN8" s="4"/>
      <c r="BO8" s="4"/>
      <c r="BP8" s="4"/>
      <c r="BQ8" s="4"/>
      <c r="BR8" s="4"/>
      <c r="BS8" s="4"/>
      <c r="BT8" s="4"/>
      <c r="CA8" s="4"/>
      <c r="CD8" s="4"/>
      <c r="CE8" s="4"/>
      <c r="CF8" s="4"/>
      <c r="CG8" s="4"/>
      <c r="CH8" s="4"/>
      <c r="CI8" s="4"/>
      <c r="CJ8" s="4"/>
      <c r="CK8" s="4"/>
      <c r="CL8" s="4"/>
      <c r="CM8" s="4"/>
      <c r="CN8" s="4"/>
      <c r="CO8" s="4"/>
      <c r="CP8" s="4"/>
      <c r="CQ8" s="4"/>
      <c r="CR8" s="4"/>
      <c r="CS8" s="4"/>
      <c r="CT8" s="4"/>
      <c r="CU8" s="4"/>
      <c r="CW8" s="4"/>
      <c r="CY8" s="4"/>
      <c r="CZ8" s="4"/>
      <c r="DA8" s="4"/>
      <c r="DP8" s="2" t="s">
        <v>724</v>
      </c>
      <c r="DQ8" s="2" t="s">
        <v>723</v>
      </c>
      <c r="DR8" s="2" t="s">
        <v>722</v>
      </c>
      <c r="DS8" s="2" t="s">
        <v>722</v>
      </c>
      <c r="DU8" s="2" t="s">
        <v>721</v>
      </c>
      <c r="DV8" s="2" t="s">
        <v>720</v>
      </c>
      <c r="DW8" s="2" t="s">
        <v>719</v>
      </c>
      <c r="DX8" s="2" t="s">
        <v>718</v>
      </c>
      <c r="DY8" s="2" t="s">
        <v>717</v>
      </c>
      <c r="DZ8" s="2" t="s">
        <v>716</v>
      </c>
      <c r="EB8" s="2" t="s">
        <v>715</v>
      </c>
      <c r="EC8" s="2" t="s">
        <v>714</v>
      </c>
      <c r="ED8" s="2" t="s">
        <v>713</v>
      </c>
      <c r="EF8" s="2" t="s">
        <v>724</v>
      </c>
      <c r="EG8" s="2" t="s">
        <v>724</v>
      </c>
      <c r="EH8" s="2" t="s">
        <v>724</v>
      </c>
      <c r="EI8" s="2" t="s">
        <v>724</v>
      </c>
      <c r="EK8" s="2" t="s">
        <v>724</v>
      </c>
      <c r="EL8" s="2" t="s">
        <v>724</v>
      </c>
      <c r="EM8" s="2" t="s">
        <v>724</v>
      </c>
      <c r="EN8" s="2" t="s">
        <v>724</v>
      </c>
      <c r="EO8" s="2" t="s">
        <v>724</v>
      </c>
      <c r="EP8" s="2" t="s">
        <v>724</v>
      </c>
      <c r="ER8" s="2" t="s">
        <v>724</v>
      </c>
      <c r="ES8" s="2" t="s">
        <v>724</v>
      </c>
      <c r="ET8" s="2" t="s">
        <v>724</v>
      </c>
      <c r="EV8" s="2" t="s">
        <v>724</v>
      </c>
      <c r="EW8" s="2" t="s">
        <v>724</v>
      </c>
      <c r="EX8" s="2" t="s">
        <v>724</v>
      </c>
      <c r="EY8" s="2" t="s">
        <v>724</v>
      </c>
      <c r="EZ8" s="2" t="s">
        <v>724</v>
      </c>
      <c r="FA8" s="2" t="s">
        <v>724</v>
      </c>
      <c r="FB8" s="2" t="s">
        <v>724</v>
      </c>
    </row>
    <row r="9" spans="1:167" s="2" customFormat="1" ht="100.95" customHeight="1" x14ac:dyDescent="0.2">
      <c r="A9" s="2" t="s">
        <v>153</v>
      </c>
      <c r="B9" s="2" t="s">
        <v>157</v>
      </c>
      <c r="C9" s="4" t="s">
        <v>51</v>
      </c>
      <c r="D9" s="5" t="s">
        <v>155</v>
      </c>
      <c r="E9" s="4" t="s">
        <v>24</v>
      </c>
      <c r="F9" s="4"/>
      <c r="G9" s="5" t="s">
        <v>83</v>
      </c>
      <c r="H9" s="5" t="s">
        <v>84</v>
      </c>
      <c r="I9" s="4" t="s">
        <v>109</v>
      </c>
      <c r="J9" s="4" t="s">
        <v>110</v>
      </c>
      <c r="K9" s="5"/>
      <c r="L9" s="5"/>
      <c r="M9" s="5" t="s">
        <v>169</v>
      </c>
      <c r="N9" s="5" t="s">
        <v>119</v>
      </c>
      <c r="O9" s="5" t="s">
        <v>27</v>
      </c>
      <c r="P9" s="5" t="s">
        <v>28</v>
      </c>
      <c r="Q9" s="5"/>
      <c r="R9" s="5"/>
      <c r="S9" s="5" t="s">
        <v>4</v>
      </c>
      <c r="T9" s="5" t="s">
        <v>8</v>
      </c>
      <c r="U9" s="5"/>
      <c r="V9" s="5" t="s">
        <v>70</v>
      </c>
      <c r="W9" s="4" t="s">
        <v>61</v>
      </c>
      <c r="X9" s="5" t="s">
        <v>35</v>
      </c>
      <c r="Y9" s="4" t="s">
        <v>66</v>
      </c>
      <c r="Z9" s="5"/>
      <c r="AA9" s="5" t="s">
        <v>162</v>
      </c>
      <c r="AB9" s="5" t="s">
        <v>127</v>
      </c>
      <c r="AC9" s="2" t="s">
        <v>41</v>
      </c>
      <c r="AD9" s="2" t="s">
        <v>42</v>
      </c>
      <c r="AE9" s="5"/>
      <c r="AF9" s="5" t="s">
        <v>121</v>
      </c>
      <c r="AG9" s="5" t="s">
        <v>128</v>
      </c>
      <c r="AH9" s="4" t="s">
        <v>179</v>
      </c>
      <c r="AI9" s="5" t="s">
        <v>147</v>
      </c>
      <c r="AJ9" s="5" t="s">
        <v>47</v>
      </c>
      <c r="AK9" s="5" t="s">
        <v>48</v>
      </c>
      <c r="AL9" s="2" t="s">
        <v>10</v>
      </c>
      <c r="AM9" s="5" t="s">
        <v>0</v>
      </c>
      <c r="AN9" s="4"/>
      <c r="AO9" s="4" t="s">
        <v>120</v>
      </c>
      <c r="AP9" s="5"/>
      <c r="AQ9" s="5" t="s">
        <v>149</v>
      </c>
      <c r="AR9" s="5" t="s">
        <v>150</v>
      </c>
      <c r="AS9" s="5" t="s">
        <v>64</v>
      </c>
      <c r="AT9" s="5" t="s">
        <v>65</v>
      </c>
      <c r="AU9" s="5" t="s">
        <v>163</v>
      </c>
      <c r="AV9" s="5" t="s">
        <v>164</v>
      </c>
      <c r="AW9" s="5" t="s">
        <v>15</v>
      </c>
      <c r="AX9" s="5" t="s">
        <v>16</v>
      </c>
      <c r="AY9" s="2" t="s">
        <v>286</v>
      </c>
      <c r="AZ9" s="2" t="s">
        <v>345</v>
      </c>
      <c r="BA9" s="5"/>
      <c r="BB9" s="5" t="s">
        <v>118</v>
      </c>
      <c r="BC9" s="5" t="s">
        <v>19</v>
      </c>
      <c r="BD9" s="5" t="s">
        <v>20</v>
      </c>
      <c r="BE9" s="5"/>
      <c r="BF9" s="5" t="s">
        <v>71</v>
      </c>
      <c r="BG9" s="5" t="s">
        <v>72</v>
      </c>
      <c r="BH9" s="5" t="s">
        <v>76</v>
      </c>
      <c r="BI9" s="5" t="s">
        <v>73</v>
      </c>
      <c r="BJ9" s="5" t="s">
        <v>74</v>
      </c>
      <c r="BK9" s="5" t="s">
        <v>55</v>
      </c>
      <c r="BL9" s="5" t="s">
        <v>107</v>
      </c>
      <c r="BM9" s="5"/>
      <c r="BN9" s="5" t="s">
        <v>21</v>
      </c>
      <c r="BO9" s="5" t="s">
        <v>22</v>
      </c>
      <c r="BP9" s="5"/>
      <c r="BQ9" s="5" t="s">
        <v>23</v>
      </c>
      <c r="BR9" s="5" t="s">
        <v>82</v>
      </c>
      <c r="BS9" s="5"/>
      <c r="BT9" s="5" t="s">
        <v>75</v>
      </c>
      <c r="BU9" s="8"/>
      <c r="BV9" s="8"/>
      <c r="BW9" s="5" t="s">
        <v>158</v>
      </c>
      <c r="BX9" s="4" t="s">
        <v>171</v>
      </c>
      <c r="BY9" s="5" t="s">
        <v>159</v>
      </c>
      <c r="BZ9" s="4" t="s">
        <v>171</v>
      </c>
      <c r="CA9" s="5" t="s">
        <v>26</v>
      </c>
      <c r="CB9" s="5" t="s">
        <v>172</v>
      </c>
      <c r="CC9" s="4" t="s">
        <v>165</v>
      </c>
      <c r="CD9" s="5" t="s">
        <v>139</v>
      </c>
      <c r="CE9" s="4" t="s">
        <v>165</v>
      </c>
      <c r="CF9" s="4"/>
      <c r="CG9" s="4"/>
      <c r="CH9" s="5"/>
      <c r="CI9" s="2" t="s">
        <v>166</v>
      </c>
      <c r="CJ9" s="5" t="s">
        <v>167</v>
      </c>
      <c r="CK9" s="5"/>
      <c r="CL9" s="5"/>
      <c r="CM9" s="5"/>
      <c r="CN9" s="5"/>
      <c r="CO9" s="4" t="s">
        <v>62</v>
      </c>
      <c r="CP9" s="5" t="s">
        <v>63</v>
      </c>
      <c r="CQ9" s="4"/>
      <c r="CR9" s="5" t="s">
        <v>144</v>
      </c>
      <c r="CS9" s="4" t="s">
        <v>145</v>
      </c>
      <c r="CT9" s="5" t="s">
        <v>146</v>
      </c>
      <c r="CU9" s="4"/>
      <c r="CV9" s="5"/>
      <c r="CW9" s="5" t="s">
        <v>174</v>
      </c>
      <c r="CY9" s="5" t="s">
        <v>103</v>
      </c>
      <c r="CZ9" s="5" t="s">
        <v>31</v>
      </c>
      <c r="DA9" s="5" t="s">
        <v>32</v>
      </c>
      <c r="DB9" s="2" t="s">
        <v>33</v>
      </c>
      <c r="DC9" s="2" t="s">
        <v>34</v>
      </c>
      <c r="DE9" s="2" t="s">
        <v>281</v>
      </c>
      <c r="DF9" s="2" t="s">
        <v>282</v>
      </c>
      <c r="DH9" s="2" t="s">
        <v>622</v>
      </c>
      <c r="DI9" s="4" t="s">
        <v>624</v>
      </c>
      <c r="DJ9" s="2" t="s">
        <v>625</v>
      </c>
      <c r="DK9" s="2" t="s">
        <v>578</v>
      </c>
      <c r="DP9" s="2" t="s">
        <v>647</v>
      </c>
      <c r="DQ9" s="2" t="s">
        <v>348</v>
      </c>
      <c r="DR9" s="2" t="s">
        <v>759</v>
      </c>
      <c r="DS9" s="2" t="s">
        <v>758</v>
      </c>
      <c r="DU9" s="2" t="s">
        <v>757</v>
      </c>
      <c r="DV9" s="2" t="s">
        <v>346</v>
      </c>
      <c r="DW9" s="2" t="s">
        <v>385</v>
      </c>
      <c r="DX9" s="2" t="s">
        <v>424</v>
      </c>
      <c r="DY9" s="2" t="s">
        <v>478</v>
      </c>
      <c r="DZ9" s="2" t="s">
        <v>512</v>
      </c>
      <c r="EB9" s="2" t="s">
        <v>756</v>
      </c>
      <c r="EC9" s="2" t="s">
        <v>331</v>
      </c>
      <c r="ED9" s="2" t="s">
        <v>430</v>
      </c>
      <c r="EF9" s="2" t="s">
        <v>647</v>
      </c>
      <c r="EG9" s="2" t="s">
        <v>348</v>
      </c>
      <c r="EH9" s="2" t="s">
        <v>759</v>
      </c>
      <c r="EI9" s="2" t="s">
        <v>758</v>
      </c>
      <c r="EK9" s="2" t="s">
        <v>757</v>
      </c>
      <c r="EL9" s="2" t="s">
        <v>346</v>
      </c>
      <c r="EM9" s="2" t="s">
        <v>385</v>
      </c>
      <c r="EN9" s="2" t="s">
        <v>424</v>
      </c>
      <c r="EO9" s="2" t="s">
        <v>478</v>
      </c>
      <c r="EP9" s="2" t="s">
        <v>512</v>
      </c>
      <c r="ER9" s="2" t="s">
        <v>756</v>
      </c>
      <c r="ES9" s="2" t="s">
        <v>331</v>
      </c>
      <c r="ET9" s="2" t="s">
        <v>430</v>
      </c>
      <c r="EV9" s="2" t="s">
        <v>578</v>
      </c>
      <c r="EW9" s="2" t="s">
        <v>781</v>
      </c>
      <c r="EX9" s="2" t="s">
        <v>787</v>
      </c>
      <c r="EY9" s="2" t="s">
        <v>782</v>
      </c>
      <c r="EZ9" s="2" t="s">
        <v>784</v>
      </c>
      <c r="FA9" s="2" t="s">
        <v>785</v>
      </c>
      <c r="FB9" s="2" t="s">
        <v>348</v>
      </c>
    </row>
    <row r="10" spans="1:167" x14ac:dyDescent="0.2">
      <c r="A10">
        <v>1970</v>
      </c>
      <c r="B10" s="1"/>
      <c r="S10" s="6" t="s">
        <v>919</v>
      </c>
      <c r="AS10" s="6">
        <v>54218.288189999999</v>
      </c>
      <c r="AT10" s="6">
        <v>51468.656920000001</v>
      </c>
      <c r="BT10" s="3" t="s">
        <v>919</v>
      </c>
      <c r="BU10" s="1"/>
      <c r="BV10" s="1"/>
      <c r="BY10" s="1"/>
      <c r="BZ10" s="1"/>
      <c r="CB10" s="1"/>
      <c r="CC10" s="1"/>
      <c r="CI10" s="7"/>
      <c r="CJ10" s="6"/>
      <c r="CK10" s="6"/>
      <c r="CL10" s="6"/>
      <c r="CM10" s="6"/>
      <c r="CN10" s="6"/>
      <c r="CO10" s="7"/>
      <c r="CP10" s="6"/>
      <c r="CQ10" s="7"/>
      <c r="CR10" s="6"/>
      <c r="CS10" s="7"/>
      <c r="CT10" s="6"/>
      <c r="CU10" s="7"/>
      <c r="CV10" s="1"/>
      <c r="CW10" s="7"/>
      <c r="CX10" s="1"/>
      <c r="CY10" s="7">
        <v>0.36099999999999999</v>
      </c>
      <c r="CZ10" s="7"/>
      <c r="DA10" s="7"/>
      <c r="DP10" s="1"/>
      <c r="DQ10" s="1"/>
      <c r="DR10" s="1"/>
      <c r="DS10" s="1"/>
      <c r="DT10" s="1"/>
      <c r="DU10" s="1">
        <v>3.0449999999999999</v>
      </c>
      <c r="DV10" s="1"/>
      <c r="DW10" s="1"/>
      <c r="DX10" s="1"/>
      <c r="DY10" s="1"/>
      <c r="DZ10" s="1"/>
      <c r="EA10" s="1"/>
      <c r="EB10" s="1"/>
      <c r="EC10" s="1"/>
      <c r="ED10" s="1"/>
      <c r="EE10" s="1"/>
      <c r="EF10" s="1"/>
      <c r="EG10" s="1">
        <v>4.6740000000000004</v>
      </c>
      <c r="EH10" s="1">
        <v>18.027330000000003</v>
      </c>
      <c r="EI10" s="1"/>
      <c r="EJ10" s="1"/>
      <c r="EK10" s="1">
        <v>7.2888216524680258</v>
      </c>
      <c r="EL10" s="1"/>
      <c r="EM10" s="1"/>
      <c r="EN10" s="1"/>
      <c r="EO10" s="1"/>
      <c r="EP10" s="1"/>
      <c r="EQ10" s="1"/>
      <c r="ER10" s="1"/>
      <c r="ES10" s="1">
        <v>-32.354015376915491</v>
      </c>
      <c r="ET10" s="1"/>
      <c r="EU10" s="1"/>
      <c r="EV10" s="1">
        <v>2879.4987465848799</v>
      </c>
      <c r="EW10" s="1">
        <v>619.68715216466023</v>
      </c>
      <c r="EX10" s="1">
        <v>624.25869717572982</v>
      </c>
      <c r="EY10" s="1">
        <v>1024.8</v>
      </c>
      <c r="EZ10" s="1">
        <v>212.81924093340712</v>
      </c>
      <c r="FA10" s="1">
        <v>134.31189074390852</v>
      </c>
      <c r="FB10" s="1">
        <v>205.99482197222224</v>
      </c>
      <c r="FC10" s="1"/>
      <c r="FD10" s="1"/>
      <c r="FE10" s="1"/>
      <c r="FF10" s="1"/>
      <c r="FG10" s="1"/>
      <c r="FH10" s="1"/>
      <c r="FI10" s="1"/>
      <c r="FJ10" s="1"/>
      <c r="FK10" s="1"/>
    </row>
    <row r="11" spans="1:167" x14ac:dyDescent="0.2">
      <c r="A11">
        <v>1971</v>
      </c>
      <c r="B11" s="1"/>
      <c r="S11" s="6" t="s">
        <v>919</v>
      </c>
      <c r="AS11" s="6">
        <v>62539.755250000002</v>
      </c>
      <c r="AT11" s="6">
        <v>72355.27304</v>
      </c>
      <c r="BT11" s="3" t="s">
        <v>919</v>
      </c>
      <c r="BU11" s="1"/>
      <c r="BV11" s="1"/>
      <c r="BY11" s="1"/>
      <c r="BZ11" s="1"/>
      <c r="CB11" s="1"/>
      <c r="CC11" s="1"/>
      <c r="CI11" s="7"/>
      <c r="CJ11" s="6"/>
      <c r="CK11" s="6"/>
      <c r="CL11" s="6"/>
      <c r="CM11" s="6"/>
      <c r="CN11" s="6"/>
      <c r="CO11" s="7"/>
      <c r="CP11" s="6"/>
      <c r="CQ11" s="7"/>
      <c r="CR11" s="6"/>
      <c r="CS11" s="7"/>
      <c r="CT11" s="6"/>
      <c r="CU11" s="7"/>
      <c r="CV11" s="1"/>
      <c r="CW11" s="7"/>
      <c r="CX11" s="1"/>
      <c r="CY11" s="7">
        <v>0.755</v>
      </c>
      <c r="CZ11" s="7"/>
      <c r="DA11" s="7"/>
      <c r="DP11" s="1"/>
      <c r="DQ11" s="1"/>
      <c r="DR11" s="1"/>
      <c r="DS11" s="1"/>
      <c r="DT11" s="1"/>
      <c r="DU11" s="1">
        <v>3.3839999999999999</v>
      </c>
      <c r="DV11" s="1"/>
      <c r="DW11" s="1"/>
      <c r="DX11" s="1"/>
      <c r="DY11" s="1"/>
      <c r="DZ11" s="1"/>
      <c r="EA11" s="1"/>
      <c r="EB11" s="1"/>
      <c r="EC11" s="1"/>
      <c r="ED11" s="1"/>
      <c r="EE11" s="1"/>
      <c r="EF11" s="1"/>
      <c r="EG11" s="1">
        <v>9.7729999999999997</v>
      </c>
      <c r="EH11" s="1">
        <v>28.30246</v>
      </c>
      <c r="EI11" s="1"/>
      <c r="EJ11" s="1"/>
      <c r="EK11" s="1">
        <v>8.6376549685659807</v>
      </c>
      <c r="EL11" s="1"/>
      <c r="EM11" s="1"/>
      <c r="EN11" s="1"/>
      <c r="EO11" s="1"/>
      <c r="EP11" s="1"/>
      <c r="EQ11" s="1"/>
      <c r="ER11" s="1"/>
      <c r="ES11" s="1">
        <v>-35.272754889959948</v>
      </c>
      <c r="ET11" s="1"/>
      <c r="EV11" s="1">
        <v>3184.4915228762907</v>
      </c>
      <c r="EW11" s="1">
        <v>702.25618320662761</v>
      </c>
      <c r="EX11" s="1">
        <v>707.4368550014467</v>
      </c>
      <c r="EY11" s="1">
        <v>1113.0999999999999</v>
      </c>
      <c r="EZ11" s="1">
        <v>240.82566684934403</v>
      </c>
      <c r="FA11" s="1">
        <v>150.80249315662718</v>
      </c>
      <c r="FB11" s="1">
        <v>232.68057843427169</v>
      </c>
    </row>
    <row r="12" spans="1:167" x14ac:dyDescent="0.2">
      <c r="A12">
        <v>1972</v>
      </c>
      <c r="B12" s="1"/>
      <c r="S12" s="6" t="s">
        <v>919</v>
      </c>
      <c r="AS12" s="6">
        <v>84243.913560000001</v>
      </c>
      <c r="AT12" s="6">
        <v>90957.095069999996</v>
      </c>
      <c r="BT12" s="3" t="s">
        <v>919</v>
      </c>
      <c r="BU12" s="1"/>
      <c r="BV12" s="1"/>
      <c r="BY12" s="1"/>
      <c r="BZ12" s="1"/>
      <c r="CB12" s="1"/>
      <c r="CC12" s="1"/>
      <c r="CI12" s="7"/>
      <c r="CJ12" s="6"/>
      <c r="CK12" s="6"/>
      <c r="CL12" s="6"/>
      <c r="CM12" s="6"/>
      <c r="CN12" s="6"/>
      <c r="CO12" s="7"/>
      <c r="CP12" s="6"/>
      <c r="CQ12" s="7"/>
      <c r="CR12" s="6"/>
      <c r="CS12" s="7"/>
      <c r="CT12" s="6"/>
      <c r="CU12" s="7"/>
      <c r="CV12" s="1"/>
      <c r="CW12" s="7"/>
      <c r="CX12" s="1"/>
      <c r="CY12" s="7">
        <v>3.2879999999999998</v>
      </c>
      <c r="CZ12" s="7"/>
      <c r="DA12" s="7"/>
      <c r="DP12" s="1"/>
      <c r="DQ12" s="1">
        <v>4271</v>
      </c>
      <c r="DR12" s="1"/>
      <c r="DS12" s="1"/>
      <c r="DT12" s="1"/>
      <c r="DU12" s="1">
        <v>5.4059999999999997</v>
      </c>
      <c r="DV12" s="1"/>
      <c r="DW12" s="1"/>
      <c r="DX12" s="1"/>
      <c r="DY12" s="1"/>
      <c r="DZ12" s="1"/>
      <c r="EA12" s="1"/>
      <c r="EB12" s="1"/>
      <c r="EC12" s="1"/>
      <c r="ED12" s="1"/>
      <c r="EE12" s="1"/>
      <c r="EF12" s="1"/>
      <c r="EG12" s="1">
        <v>13.867000000000001</v>
      </c>
      <c r="EH12" s="1">
        <v>36.647309999999997</v>
      </c>
      <c r="EI12" s="1"/>
      <c r="EJ12" s="1"/>
      <c r="EK12" s="1">
        <v>12.693835764400905</v>
      </c>
      <c r="EL12" s="1"/>
      <c r="EM12" s="1"/>
      <c r="EN12" s="1"/>
      <c r="EO12" s="1"/>
      <c r="EP12" s="1"/>
      <c r="EQ12" s="1"/>
      <c r="ER12" s="1"/>
      <c r="ES12" s="1">
        <v>-40.198892475779026</v>
      </c>
      <c r="ET12" s="1"/>
      <c r="EV12" s="1">
        <v>3680.7587454527397</v>
      </c>
      <c r="EW12" s="1">
        <v>848.82216702899166</v>
      </c>
      <c r="EX12" s="1">
        <v>855.08408278666377</v>
      </c>
      <c r="EY12" s="1">
        <v>1225</v>
      </c>
      <c r="EZ12" s="1">
        <v>281.91317182472466</v>
      </c>
      <c r="FA12" s="1">
        <v>172.86715415963582</v>
      </c>
      <c r="FB12" s="1">
        <v>308.13720307745587</v>
      </c>
    </row>
    <row r="13" spans="1:167" x14ac:dyDescent="0.2">
      <c r="A13">
        <v>1973</v>
      </c>
      <c r="B13" s="1"/>
      <c r="S13" s="6" t="s">
        <v>919</v>
      </c>
      <c r="AS13" s="6">
        <v>76126.74901</v>
      </c>
      <c r="AT13" s="6">
        <v>94633.012340000001</v>
      </c>
      <c r="BT13" s="3" t="s">
        <v>919</v>
      </c>
      <c r="BU13" s="1"/>
      <c r="BV13" s="1"/>
      <c r="BY13" s="1"/>
      <c r="BZ13" s="1"/>
      <c r="CB13" s="1"/>
      <c r="CC13" s="1"/>
      <c r="CI13" s="7"/>
      <c r="CJ13" s="6"/>
      <c r="CK13" s="6"/>
      <c r="CL13" s="6"/>
      <c r="CM13" s="6"/>
      <c r="CN13" s="6"/>
      <c r="CO13" s="7"/>
      <c r="CP13" s="6"/>
      <c r="CQ13" s="7"/>
      <c r="CR13" s="6"/>
      <c r="CS13" s="7"/>
      <c r="CT13" s="6"/>
      <c r="CU13" s="7"/>
      <c r="CV13" s="1"/>
      <c r="CW13" s="7"/>
      <c r="CX13" s="1"/>
      <c r="CY13" s="7">
        <v>5.3529999999999998</v>
      </c>
      <c r="CZ13" s="7"/>
      <c r="DA13" s="7"/>
      <c r="DP13" s="1"/>
      <c r="DQ13" s="1">
        <v>4009</v>
      </c>
      <c r="DR13" s="1"/>
      <c r="DS13" s="1"/>
      <c r="DT13" s="1"/>
      <c r="DU13" s="1">
        <v>4.13</v>
      </c>
      <c r="DV13" s="1"/>
      <c r="DW13" s="1"/>
      <c r="DX13" s="1"/>
      <c r="DY13" s="1"/>
      <c r="DZ13" s="1"/>
      <c r="EA13" s="1"/>
      <c r="EB13" s="1"/>
      <c r="EC13" s="1"/>
      <c r="ED13" s="1"/>
      <c r="EE13" s="1"/>
      <c r="EF13" s="1"/>
      <c r="EG13" s="1">
        <v>13.016</v>
      </c>
      <c r="EH13" s="1">
        <v>45.752929999999999</v>
      </c>
      <c r="EI13" s="1"/>
      <c r="EJ13" s="1"/>
      <c r="EK13" s="1">
        <v>9.5948109032364481</v>
      </c>
      <c r="EL13" s="1"/>
      <c r="EM13" s="1"/>
      <c r="EN13" s="1"/>
      <c r="EO13" s="1"/>
      <c r="EP13" s="1"/>
      <c r="EQ13" s="1"/>
      <c r="ER13" s="1"/>
      <c r="ES13" s="1">
        <v>-42.899530987015389</v>
      </c>
      <c r="ET13" s="1"/>
      <c r="EV13" s="1">
        <v>4499.6098316116213</v>
      </c>
      <c r="EW13" s="1">
        <v>1102.6737037114306</v>
      </c>
      <c r="EX13" s="1">
        <v>1110.8083284998118</v>
      </c>
      <c r="EY13" s="1">
        <v>1369.3</v>
      </c>
      <c r="EZ13" s="1">
        <v>336.88369773180176</v>
      </c>
      <c r="FA13" s="1">
        <v>205.83396192674545</v>
      </c>
      <c r="FB13" s="1">
        <v>418.6403872334991</v>
      </c>
    </row>
    <row r="14" spans="1:167" x14ac:dyDescent="0.2">
      <c r="A14">
        <v>1974</v>
      </c>
      <c r="B14" s="1"/>
      <c r="S14" s="6" t="s">
        <v>919</v>
      </c>
      <c r="AS14" s="6">
        <v>58579.69915</v>
      </c>
      <c r="AT14" s="6">
        <v>99204.526289999994</v>
      </c>
      <c r="BT14" s="3" t="s">
        <v>919</v>
      </c>
      <c r="BU14" s="1"/>
      <c r="BV14" s="1"/>
      <c r="BY14" s="1"/>
      <c r="BZ14" s="1"/>
      <c r="CB14" s="1"/>
      <c r="CC14" s="1"/>
      <c r="CI14" s="7"/>
      <c r="CJ14" s="6"/>
      <c r="CK14" s="6"/>
      <c r="CL14" s="6"/>
      <c r="CM14" s="6"/>
      <c r="CN14" s="6"/>
      <c r="CO14" s="7"/>
      <c r="CP14" s="6"/>
      <c r="CQ14" s="7"/>
      <c r="CR14" s="6"/>
      <c r="CS14" s="7"/>
      <c r="CT14" s="6"/>
      <c r="CU14" s="7"/>
      <c r="CV14" s="1"/>
      <c r="CW14" s="7"/>
      <c r="CX14" s="1"/>
      <c r="CY14" s="7">
        <v>8.1560000000000006</v>
      </c>
      <c r="CZ14" s="7"/>
      <c r="DA14" s="7"/>
      <c r="DP14" s="1"/>
      <c r="DQ14" s="1">
        <v>2754</v>
      </c>
      <c r="DR14" s="1"/>
      <c r="DS14" s="1"/>
      <c r="DT14" s="1"/>
      <c r="DU14" s="1">
        <v>0.82399999999999995</v>
      </c>
      <c r="DV14" s="1"/>
      <c r="DW14" s="1"/>
      <c r="DX14" s="1"/>
      <c r="DY14" s="1"/>
      <c r="DZ14" s="1"/>
      <c r="EA14" s="1"/>
      <c r="EB14" s="1"/>
      <c r="EC14" s="1"/>
      <c r="ED14" s="1"/>
      <c r="EE14" s="1"/>
      <c r="EF14" s="1"/>
      <c r="EG14" s="1">
        <v>8.9429999999999996</v>
      </c>
      <c r="EH14" s="1">
        <v>51.192529999999998</v>
      </c>
      <c r="EI14" s="1"/>
      <c r="EJ14" s="1"/>
      <c r="EK14" s="1">
        <v>1.9351626569971159</v>
      </c>
      <c r="EL14" s="1"/>
      <c r="EM14" s="1"/>
      <c r="EN14" s="1"/>
      <c r="EO14" s="1"/>
      <c r="EP14" s="1"/>
      <c r="EQ14" s="1"/>
      <c r="ER14" s="1"/>
      <c r="ES14" s="1">
        <v>-45.57254861762484</v>
      </c>
      <c r="ET14" s="1"/>
      <c r="EV14" s="1">
        <v>5196.1931084162625</v>
      </c>
      <c r="EW14" s="1">
        <v>1247.2597021673466</v>
      </c>
      <c r="EX14" s="1">
        <v>1256.4609642058347</v>
      </c>
      <c r="EY14" s="1">
        <v>1485.9</v>
      </c>
      <c r="EZ14" s="1">
        <v>372.87942816060411</v>
      </c>
      <c r="FA14" s="1">
        <v>260.75753936513075</v>
      </c>
      <c r="FB14" s="1">
        <v>464.70462146824957</v>
      </c>
    </row>
    <row r="15" spans="1:167" x14ac:dyDescent="0.2">
      <c r="A15">
        <v>1975</v>
      </c>
      <c r="B15" s="1"/>
      <c r="S15" s="6" t="s">
        <v>919</v>
      </c>
      <c r="AS15" s="6">
        <v>81412.191560000007</v>
      </c>
      <c r="AT15" s="6">
        <v>118954.1056</v>
      </c>
      <c r="BT15" s="3" t="s">
        <v>919</v>
      </c>
      <c r="BU15" s="1"/>
      <c r="BV15" s="1"/>
      <c r="BY15" s="1"/>
      <c r="BZ15" s="1"/>
      <c r="CB15" s="1"/>
      <c r="CC15" s="1"/>
      <c r="CI15" s="7"/>
      <c r="CJ15" s="6"/>
      <c r="CK15" s="6"/>
      <c r="CL15" s="6"/>
      <c r="CM15" s="6"/>
      <c r="CN15" s="6"/>
      <c r="CO15" s="7"/>
      <c r="CP15" s="6"/>
      <c r="CQ15" s="7"/>
      <c r="CR15" s="6"/>
      <c r="CS15" s="7"/>
      <c r="CT15" s="6"/>
      <c r="CU15" s="7"/>
      <c r="CV15" s="1"/>
      <c r="CW15" s="7"/>
      <c r="CX15" s="1"/>
      <c r="CY15" s="7">
        <v>12.185</v>
      </c>
      <c r="CZ15" s="7"/>
      <c r="DA15" s="7"/>
      <c r="DP15" s="1"/>
      <c r="DQ15" s="1">
        <v>2162</v>
      </c>
      <c r="DR15" s="1"/>
      <c r="DS15" s="1"/>
      <c r="DT15" s="1"/>
      <c r="DU15" s="1">
        <v>0.71699999999999997</v>
      </c>
      <c r="DV15" s="1"/>
      <c r="DW15" s="1"/>
      <c r="DX15" s="1"/>
      <c r="DY15" s="1"/>
      <c r="DZ15" s="1"/>
      <c r="EA15" s="1"/>
      <c r="EB15" s="1"/>
      <c r="EC15" s="1"/>
      <c r="ED15" s="1"/>
      <c r="EE15" s="1"/>
      <c r="EF15" s="1"/>
      <c r="EG15" s="1">
        <v>7.0179999999999998</v>
      </c>
      <c r="EH15" s="1">
        <v>43.333829999999999</v>
      </c>
      <c r="EI15" s="1"/>
      <c r="EJ15" s="1"/>
      <c r="EK15" s="1">
        <v>1.4508501739199058</v>
      </c>
      <c r="EL15" s="1"/>
      <c r="EM15" s="1"/>
      <c r="EN15" s="1"/>
      <c r="EO15" s="1"/>
      <c r="EP15" s="1"/>
      <c r="EQ15" s="1"/>
      <c r="ER15" s="1"/>
      <c r="ES15" s="1">
        <v>-52.415149026794744</v>
      </c>
      <c r="ET15" s="1"/>
      <c r="EV15" s="1">
        <v>5800.3636778241662</v>
      </c>
      <c r="EW15" s="1">
        <v>1448.8339536268816</v>
      </c>
      <c r="EX15" s="1">
        <v>1459.5222656395404</v>
      </c>
      <c r="EY15" s="1">
        <v>1623.4</v>
      </c>
      <c r="EZ15" s="1">
        <v>446.7354296714002</v>
      </c>
      <c r="FA15" s="1">
        <v>281.22444283919367</v>
      </c>
      <c r="FB15" s="1">
        <v>505.31650625447497</v>
      </c>
    </row>
    <row r="16" spans="1:167" x14ac:dyDescent="0.2">
      <c r="A16">
        <v>1976</v>
      </c>
      <c r="B16" s="1"/>
      <c r="S16" s="6" t="s">
        <v>919</v>
      </c>
      <c r="AS16" s="6">
        <v>96538.704459999994</v>
      </c>
      <c r="AT16" s="6">
        <v>148931.8665</v>
      </c>
      <c r="BT16" s="3" t="s">
        <v>919</v>
      </c>
      <c r="BU16" s="1"/>
      <c r="BV16" s="1"/>
      <c r="BY16" s="1"/>
      <c r="BZ16" s="1"/>
      <c r="CB16" s="1"/>
      <c r="CC16" s="1"/>
      <c r="CI16" s="7"/>
      <c r="CJ16" s="6"/>
      <c r="CK16" s="6"/>
      <c r="CL16" s="6"/>
      <c r="CM16" s="6"/>
      <c r="CN16" s="6"/>
      <c r="CO16" s="7"/>
      <c r="CP16" s="6"/>
      <c r="CQ16" s="7"/>
      <c r="CR16" s="6"/>
      <c r="CS16" s="7"/>
      <c r="CT16" s="6"/>
      <c r="CU16" s="7"/>
      <c r="CV16" s="1"/>
      <c r="CW16" s="7"/>
      <c r="CX16" s="1"/>
      <c r="CY16" s="7">
        <v>20.123999999999999</v>
      </c>
      <c r="CZ16" s="7"/>
      <c r="DA16" s="7"/>
      <c r="DP16" s="1">
        <v>162.709</v>
      </c>
      <c r="DQ16" s="1">
        <v>2949</v>
      </c>
      <c r="DR16" s="1"/>
      <c r="DS16" s="1"/>
      <c r="DT16" s="1"/>
      <c r="DU16" s="1">
        <v>2.35</v>
      </c>
      <c r="DV16" s="1"/>
      <c r="DW16" s="1"/>
      <c r="DX16" s="1"/>
      <c r="DY16" s="1"/>
      <c r="DZ16" s="1"/>
      <c r="EA16" s="1"/>
      <c r="EB16" s="1"/>
      <c r="EC16" s="1"/>
      <c r="ED16" s="1"/>
      <c r="EE16" s="1"/>
      <c r="EF16" s="1">
        <v>162.709</v>
      </c>
      <c r="EG16" s="1">
        <v>9.5739999999999998</v>
      </c>
      <c r="EH16" s="1">
        <v>45.241080000000004</v>
      </c>
      <c r="EI16" s="1"/>
      <c r="EJ16" s="1"/>
      <c r="EK16" s="1">
        <v>4.0006401024163871</v>
      </c>
      <c r="EL16" s="1"/>
      <c r="EM16" s="1"/>
      <c r="EN16" s="1"/>
      <c r="EO16" s="1"/>
      <c r="EP16" s="1"/>
      <c r="EQ16" s="1"/>
      <c r="ER16" s="1"/>
      <c r="ES16" s="1">
        <v>-63.818178259862115</v>
      </c>
      <c r="ET16" s="1"/>
      <c r="EV16" s="1">
        <v>6311.0774973384096</v>
      </c>
      <c r="EW16" s="1">
        <v>1512.4166957757329</v>
      </c>
      <c r="EX16" s="1">
        <v>1523.5740692602087</v>
      </c>
      <c r="EY16" s="1">
        <v>1809.1</v>
      </c>
      <c r="EZ16" s="1">
        <v>453.61234298452649</v>
      </c>
      <c r="FA16" s="1">
        <v>321.95846027338791</v>
      </c>
      <c r="FB16" s="1">
        <v>567.92610414682053</v>
      </c>
    </row>
    <row r="17" spans="1:158" x14ac:dyDescent="0.2">
      <c r="A17">
        <v>1977</v>
      </c>
      <c r="B17" s="1"/>
      <c r="S17" s="6">
        <v>2345</v>
      </c>
      <c r="T17" s="6">
        <f>0.85*S17</f>
        <v>1993.25</v>
      </c>
      <c r="AM17" s="6">
        <v>99642</v>
      </c>
      <c r="AS17" s="6">
        <v>103079.6958</v>
      </c>
      <c r="AT17" s="6">
        <v>190435.92739999999</v>
      </c>
      <c r="BT17" s="3" t="s">
        <v>919</v>
      </c>
      <c r="BU17" s="1"/>
      <c r="BV17" s="1"/>
      <c r="BY17" s="1"/>
      <c r="BZ17" s="1"/>
      <c r="CB17" s="1"/>
      <c r="CC17" s="1"/>
      <c r="CI17" s="7" t="s">
        <v>168</v>
      </c>
      <c r="CJ17" s="6"/>
      <c r="CK17" s="6"/>
      <c r="CL17" s="6"/>
      <c r="CM17" s="6"/>
      <c r="CN17" s="6"/>
      <c r="CO17" s="7"/>
      <c r="CP17" s="6"/>
      <c r="CQ17" s="7"/>
      <c r="CR17" s="6"/>
      <c r="CS17" s="7"/>
      <c r="CT17" s="6"/>
      <c r="CU17" s="7"/>
      <c r="CV17" s="1"/>
      <c r="CW17" s="7"/>
      <c r="CX17" s="1"/>
      <c r="CY17" s="7">
        <v>28.082000000000001</v>
      </c>
      <c r="CZ17" s="7"/>
      <c r="DA17" s="7"/>
      <c r="DP17" s="1">
        <v>169.608</v>
      </c>
      <c r="DQ17" s="1">
        <v>6770</v>
      </c>
      <c r="DR17" s="1"/>
      <c r="DS17" s="1"/>
      <c r="DT17" s="1"/>
      <c r="DU17" s="1">
        <v>3.698</v>
      </c>
      <c r="DV17" s="1"/>
      <c r="DW17" s="1"/>
      <c r="DX17" s="1"/>
      <c r="DY17" s="1"/>
      <c r="DZ17" s="1"/>
      <c r="EA17" s="1"/>
      <c r="EB17" s="1"/>
      <c r="EC17" s="1"/>
      <c r="ED17" s="1"/>
      <c r="EE17" s="1"/>
      <c r="EF17" s="1">
        <v>169.608</v>
      </c>
      <c r="EG17" s="1">
        <v>21.98</v>
      </c>
      <c r="EH17" s="1">
        <v>43.665849999999999</v>
      </c>
      <c r="EI17" s="1"/>
      <c r="EJ17" s="1"/>
      <c r="EK17" s="1">
        <v>7.0483876193870687</v>
      </c>
      <c r="EL17" s="1"/>
      <c r="EM17" s="1"/>
      <c r="EN17" s="1"/>
      <c r="EO17" s="1"/>
      <c r="EP17" s="1"/>
      <c r="EQ17" s="1"/>
      <c r="ER17" s="1"/>
      <c r="ES17" s="1">
        <v>-65.500322418587615</v>
      </c>
      <c r="ET17" s="1"/>
      <c r="EV17" s="1">
        <v>7137.4506988991388</v>
      </c>
      <c r="EW17" s="1">
        <v>1720.7645908971326</v>
      </c>
      <c r="EX17" s="1">
        <v>1733.4589847590394</v>
      </c>
      <c r="EY17" s="1">
        <v>2013.6</v>
      </c>
      <c r="EZ17" s="1">
        <v>503.20783155001686</v>
      </c>
      <c r="FA17" s="1">
        <v>333.89591506825695</v>
      </c>
      <c r="FB17" s="1">
        <v>698.96834643030058</v>
      </c>
    </row>
    <row r="18" spans="1:158" x14ac:dyDescent="0.2">
      <c r="A18">
        <v>1978</v>
      </c>
      <c r="B18" s="1"/>
      <c r="S18" s="6">
        <v>1557</v>
      </c>
      <c r="T18" s="6">
        <f t="shared" ref="T18:T48" si="0">0.85*S18</f>
        <v>1323.45</v>
      </c>
      <c r="AM18" s="6">
        <v>115119</v>
      </c>
      <c r="AS18" s="6">
        <v>120323.64079999999</v>
      </c>
      <c r="AT18" s="6">
        <v>229166.65400000001</v>
      </c>
      <c r="BT18" s="3" t="s">
        <v>919</v>
      </c>
      <c r="BU18" s="1"/>
      <c r="BV18" s="1"/>
      <c r="BY18" s="1"/>
      <c r="BZ18" s="1"/>
      <c r="CB18" s="1"/>
      <c r="CC18" s="1"/>
      <c r="CI18" s="7"/>
      <c r="CJ18" s="6"/>
      <c r="CK18" s="6"/>
      <c r="CL18" s="6"/>
      <c r="CM18" s="6"/>
      <c r="CN18" s="6"/>
      <c r="CO18" s="7"/>
      <c r="CP18" s="6"/>
      <c r="CQ18" s="7"/>
      <c r="CR18" s="6"/>
      <c r="CS18" s="7"/>
      <c r="CT18" s="6"/>
      <c r="CU18" s="7"/>
      <c r="CV18" s="1"/>
      <c r="CW18" s="7"/>
      <c r="CX18" s="1"/>
      <c r="CY18" s="7">
        <v>38.097999999999999</v>
      </c>
      <c r="CZ18" s="7"/>
      <c r="DA18" s="7"/>
      <c r="DP18" s="1">
        <v>205.06299999999999</v>
      </c>
      <c r="DQ18" s="1">
        <v>8474</v>
      </c>
      <c r="DR18" s="1"/>
      <c r="DS18" s="1"/>
      <c r="DT18" s="1"/>
      <c r="DU18" s="1">
        <v>10.288</v>
      </c>
      <c r="DV18" s="1"/>
      <c r="DW18" s="1"/>
      <c r="DX18" s="1"/>
      <c r="DY18" s="1"/>
      <c r="DZ18" s="1"/>
      <c r="EA18" s="1"/>
      <c r="EB18" s="1"/>
      <c r="EC18" s="1"/>
      <c r="ED18" s="1"/>
      <c r="EE18" s="1"/>
      <c r="EF18" s="1">
        <v>205.06299999999999</v>
      </c>
      <c r="EG18" s="1">
        <v>36.213999999999999</v>
      </c>
      <c r="EH18" s="1">
        <v>56.923499999999997</v>
      </c>
      <c r="EI18" s="1"/>
      <c r="EJ18" s="1"/>
      <c r="EK18" s="1">
        <v>20.930946999212651</v>
      </c>
      <c r="EL18" s="1"/>
      <c r="EM18" s="1"/>
      <c r="EN18" s="1"/>
      <c r="EO18" s="1"/>
      <c r="EP18" s="1"/>
      <c r="EQ18" s="1"/>
      <c r="ER18" s="1"/>
      <c r="ES18" s="1">
        <v>-78.101033020850451</v>
      </c>
      <c r="ET18" s="1"/>
      <c r="EV18" s="1">
        <v>8420.1018407776137</v>
      </c>
      <c r="EW18" s="1">
        <v>2105.8552492889107</v>
      </c>
      <c r="EX18" s="1">
        <v>2121.3905270904484</v>
      </c>
      <c r="EY18" s="1">
        <v>2276</v>
      </c>
      <c r="EZ18" s="1">
        <v>623.42405131551811</v>
      </c>
      <c r="FA18" s="1">
        <v>352.01304579339785</v>
      </c>
      <c r="FB18" s="1">
        <v>982.0782501757019</v>
      </c>
    </row>
    <row r="19" spans="1:158" x14ac:dyDescent="0.2">
      <c r="A19">
        <v>1979</v>
      </c>
      <c r="B19" s="1"/>
      <c r="S19" s="6">
        <v>2154</v>
      </c>
      <c r="T19" s="6">
        <f t="shared" si="0"/>
        <v>1830.8999999999999</v>
      </c>
      <c r="AM19" s="6">
        <v>155822</v>
      </c>
      <c r="AS19" s="6">
        <v>141870.19289999999</v>
      </c>
      <c r="AT19" s="6">
        <v>218598.67230000001</v>
      </c>
      <c r="BT19" s="3" t="s">
        <v>919</v>
      </c>
      <c r="BU19" s="1"/>
      <c r="BV19" s="1"/>
      <c r="BY19" s="1"/>
      <c r="BZ19" s="1"/>
      <c r="CB19" s="1"/>
      <c r="CC19" s="1"/>
      <c r="CI19" s="7"/>
      <c r="CJ19" s="6"/>
      <c r="CK19" s="6"/>
      <c r="CL19" s="6"/>
      <c r="CM19" s="6"/>
      <c r="CN19" s="6"/>
      <c r="CO19" s="7"/>
      <c r="CP19" s="6"/>
      <c r="CQ19" s="7"/>
      <c r="CR19" s="6"/>
      <c r="CS19" s="7"/>
      <c r="CT19" s="6"/>
      <c r="CU19" s="7"/>
      <c r="CV19" s="1"/>
      <c r="CW19" s="7"/>
      <c r="CX19" s="1"/>
      <c r="CY19" s="7">
        <v>43.994999999999997</v>
      </c>
      <c r="CZ19" s="7"/>
      <c r="DA19" s="7"/>
      <c r="DP19" s="1">
        <v>315.66300000000001</v>
      </c>
      <c r="DQ19" s="1">
        <v>5928</v>
      </c>
      <c r="DR19" s="1"/>
      <c r="DS19" s="1"/>
      <c r="DT19" s="1"/>
      <c r="DU19" s="1">
        <v>8.6609999999999996</v>
      </c>
      <c r="DV19" s="1"/>
      <c r="DW19" s="1"/>
      <c r="DX19" s="1"/>
      <c r="DY19" s="1"/>
      <c r="DZ19" s="1"/>
      <c r="EA19" s="1"/>
      <c r="EB19" s="1"/>
      <c r="EC19" s="1"/>
      <c r="ED19" s="1"/>
      <c r="EE19" s="1"/>
      <c r="EF19" s="1">
        <v>315.66300000000001</v>
      </c>
      <c r="EG19" s="1">
        <v>28.777000000000001</v>
      </c>
      <c r="EH19" s="1">
        <v>67.355800000000002</v>
      </c>
      <c r="EI19" s="1"/>
      <c r="EJ19" s="1"/>
      <c r="EK19" s="1">
        <v>19.262076327728849</v>
      </c>
      <c r="EL19" s="1"/>
      <c r="EM19" s="1"/>
      <c r="EN19" s="1"/>
      <c r="EO19" s="1"/>
      <c r="EP19" s="1"/>
      <c r="EQ19" s="1"/>
      <c r="ER19" s="1"/>
      <c r="ES19" s="1">
        <v>-94.858370759989441</v>
      </c>
      <c r="ET19" s="1"/>
      <c r="EV19" s="1">
        <v>9773.9735357420686</v>
      </c>
      <c r="EW19" s="1">
        <v>2548.7355699475947</v>
      </c>
      <c r="EX19" s="1">
        <v>2567.5380565549563</v>
      </c>
      <c r="EY19" s="1">
        <v>2543.5</v>
      </c>
      <c r="EZ19" s="1">
        <v>766.66219627940859</v>
      </c>
      <c r="FA19" s="1">
        <v>394.66352287719826</v>
      </c>
      <c r="FB19" s="1">
        <v>1022.190225426668</v>
      </c>
    </row>
    <row r="20" spans="1:158" x14ac:dyDescent="0.2">
      <c r="A20">
        <v>1980</v>
      </c>
      <c r="B20" s="1"/>
      <c r="S20" s="6">
        <v>2262</v>
      </c>
      <c r="T20" s="6">
        <f t="shared" si="0"/>
        <v>1922.7</v>
      </c>
      <c r="AM20" s="6">
        <v>171126</v>
      </c>
      <c r="AS20" s="6">
        <v>184835.4915</v>
      </c>
      <c r="AT20" s="6">
        <v>298970.71279999998</v>
      </c>
      <c r="BT20" s="3" t="s">
        <v>919</v>
      </c>
      <c r="BU20" s="1"/>
      <c r="BV20" s="1"/>
      <c r="BY20" s="1"/>
      <c r="BZ20" s="1"/>
      <c r="CB20" s="1"/>
      <c r="CC20" s="1"/>
      <c r="CI20" s="7"/>
      <c r="CJ20" s="6"/>
      <c r="CK20" s="6"/>
      <c r="CL20" s="6"/>
      <c r="CM20" s="6"/>
      <c r="CN20" s="6"/>
      <c r="CO20" s="7"/>
      <c r="CP20" s="6"/>
      <c r="CQ20" s="7"/>
      <c r="CR20" s="6"/>
      <c r="CS20" s="7"/>
      <c r="CT20" s="6"/>
      <c r="CU20" s="7"/>
      <c r="CV20" s="1"/>
      <c r="CW20" s="7"/>
      <c r="CX20" s="1"/>
      <c r="CY20" s="7">
        <v>46.649000000000001</v>
      </c>
      <c r="CZ20" s="7"/>
      <c r="DA20" s="7"/>
      <c r="DP20" s="1">
        <v>360.34699999999998</v>
      </c>
      <c r="DQ20" s="1">
        <v>2791</v>
      </c>
      <c r="DR20" s="1"/>
      <c r="DS20" s="1"/>
      <c r="DT20" s="1"/>
      <c r="DU20" s="1">
        <v>13.775</v>
      </c>
      <c r="DV20" s="1"/>
      <c r="DW20" s="1"/>
      <c r="DX20" s="1"/>
      <c r="DY20" s="1"/>
      <c r="DZ20" s="1"/>
      <c r="EA20" s="1"/>
      <c r="EB20" s="1"/>
      <c r="EC20" s="1"/>
      <c r="ED20" s="1"/>
      <c r="EE20" s="1"/>
      <c r="EF20" s="1">
        <v>360.34699999999998</v>
      </c>
      <c r="EG20" s="1">
        <v>11.534000000000001</v>
      </c>
      <c r="EH20" s="1">
        <v>44.697499999999998</v>
      </c>
      <c r="EI20" s="1"/>
      <c r="EJ20" s="1"/>
      <c r="EK20" s="1">
        <v>32.853391590962751</v>
      </c>
      <c r="EL20" s="1"/>
      <c r="EM20" s="1"/>
      <c r="EN20" s="1">
        <v>-17.825120294980231</v>
      </c>
      <c r="EO20" s="1"/>
      <c r="EP20" s="1"/>
      <c r="EQ20" s="1"/>
      <c r="ER20" s="1"/>
      <c r="ES20" s="1">
        <v>-99.708695257998201</v>
      </c>
      <c r="ET20" s="1"/>
      <c r="EV20" s="1">
        <v>10987.869085816112</v>
      </c>
      <c r="EW20" s="1">
        <v>2854.4985373714121</v>
      </c>
      <c r="EX20" s="1">
        <v>2873.3861290552582</v>
      </c>
      <c r="EY20" s="1">
        <v>2767.5</v>
      </c>
      <c r="EZ20" s="1">
        <v>922.6316356183595</v>
      </c>
      <c r="FA20" s="1">
        <v>442.5467304649095</v>
      </c>
      <c r="FB20" s="1">
        <v>1070.9969268874415</v>
      </c>
    </row>
    <row r="21" spans="1:158" x14ac:dyDescent="0.2">
      <c r="A21">
        <v>1981</v>
      </c>
      <c r="B21" s="1"/>
      <c r="S21" s="6">
        <v>4783</v>
      </c>
      <c r="T21" s="6">
        <f t="shared" si="0"/>
        <v>4065.5499999999997</v>
      </c>
      <c r="AM21" s="6">
        <v>150701</v>
      </c>
      <c r="AS21" s="6">
        <v>183982.25690000001</v>
      </c>
      <c r="AT21" s="6">
        <v>344906.97090000001</v>
      </c>
      <c r="BT21" s="3" t="s">
        <v>919</v>
      </c>
      <c r="BU21" s="1"/>
      <c r="BV21" s="1"/>
      <c r="BY21" s="1"/>
      <c r="BZ21" s="1"/>
      <c r="CB21" s="1"/>
      <c r="CC21" s="1"/>
      <c r="CI21" s="7"/>
      <c r="CJ21" s="6"/>
      <c r="CK21" s="6"/>
      <c r="CL21" s="6"/>
      <c r="CM21" s="6"/>
      <c r="CN21" s="6"/>
      <c r="CO21" s="7"/>
      <c r="CP21" s="6"/>
      <c r="CQ21" s="7"/>
      <c r="CR21" s="6"/>
      <c r="CS21" s="7"/>
      <c r="CT21" s="6"/>
      <c r="CU21" s="7"/>
      <c r="CV21" s="1"/>
      <c r="CW21" s="7"/>
      <c r="CX21" s="1"/>
      <c r="CY21" s="7">
        <v>50.558999999999997</v>
      </c>
      <c r="CZ21" s="7"/>
      <c r="DA21" s="7"/>
      <c r="DP21" s="1">
        <v>340.38499999999999</v>
      </c>
      <c r="DQ21" s="1">
        <v>2293</v>
      </c>
      <c r="DR21" s="1"/>
      <c r="DS21" s="1"/>
      <c r="DT21" s="1"/>
      <c r="DU21" s="1">
        <v>26.495999999999999</v>
      </c>
      <c r="DV21" s="1"/>
      <c r="DW21" s="1"/>
      <c r="DX21" s="1"/>
      <c r="DY21" s="1"/>
      <c r="DZ21" s="1"/>
      <c r="EA21" s="1"/>
      <c r="EB21" s="1"/>
      <c r="EC21" s="1"/>
      <c r="ED21" s="1"/>
      <c r="EE21" s="1"/>
      <c r="EF21" s="1">
        <v>340.38499999999999</v>
      </c>
      <c r="EG21" s="1">
        <v>10.917999999999999</v>
      </c>
      <c r="EH21" s="1">
        <v>-16.586839999999999</v>
      </c>
      <c r="EI21" s="1"/>
      <c r="EJ21" s="1"/>
      <c r="EK21" s="1">
        <v>50.554369415522338</v>
      </c>
      <c r="EL21" s="1"/>
      <c r="EM21" s="1"/>
      <c r="EN21" s="1">
        <v>-14.854278839128799</v>
      </c>
      <c r="EO21" s="1"/>
      <c r="EP21" s="1"/>
      <c r="EQ21" s="1"/>
      <c r="ER21" s="1"/>
      <c r="ES21" s="1">
        <v>-119.51219736118935</v>
      </c>
      <c r="ET21" s="1"/>
      <c r="EV21" s="1">
        <v>11269.156089595614</v>
      </c>
      <c r="EW21" s="1">
        <v>2478.8283629769994</v>
      </c>
      <c r="EX21" s="1">
        <v>2495.2302273890091</v>
      </c>
      <c r="EY21" s="1">
        <v>3103.8</v>
      </c>
      <c r="EZ21" s="1">
        <v>864.81400981419279</v>
      </c>
      <c r="FA21" s="1">
        <v>502.64772451036163</v>
      </c>
      <c r="FB21" s="1">
        <v>1183.790568243342</v>
      </c>
    </row>
    <row r="22" spans="1:158" x14ac:dyDescent="0.2">
      <c r="A22">
        <v>1982</v>
      </c>
      <c r="B22" s="1"/>
      <c r="S22" s="6">
        <v>11135</v>
      </c>
      <c r="T22" s="6">
        <f t="shared" si="0"/>
        <v>9464.75</v>
      </c>
      <c r="AM22" s="6">
        <v>121360</v>
      </c>
      <c r="AS22" s="6">
        <v>199864.89869999999</v>
      </c>
      <c r="AT22" s="6">
        <v>444817.5355</v>
      </c>
      <c r="BT22" s="3" t="s">
        <v>919</v>
      </c>
      <c r="BU22" s="1"/>
      <c r="BV22" s="1"/>
      <c r="BY22" s="1"/>
      <c r="BZ22" s="1"/>
      <c r="CB22" s="1"/>
      <c r="CC22" s="1"/>
      <c r="CI22" s="7"/>
      <c r="CJ22" s="6"/>
      <c r="CK22" s="6"/>
      <c r="CL22" s="6"/>
      <c r="CM22" s="6"/>
      <c r="CN22" s="6"/>
      <c r="CO22" s="7"/>
      <c r="CP22" s="6"/>
      <c r="CQ22" s="7"/>
      <c r="CR22" s="6"/>
      <c r="CS22" s="7"/>
      <c r="CT22" s="6"/>
      <c r="CU22" s="7"/>
      <c r="CV22" s="1"/>
      <c r="CW22" s="7"/>
      <c r="CX22" s="1"/>
      <c r="CY22" s="7">
        <v>56.012</v>
      </c>
      <c r="CZ22" s="7"/>
      <c r="DA22" s="7"/>
      <c r="DP22" s="1">
        <v>331.37299999999999</v>
      </c>
      <c r="DQ22" s="1">
        <v>5751</v>
      </c>
      <c r="DR22" s="1"/>
      <c r="DS22" s="1"/>
      <c r="DT22" s="1"/>
      <c r="DU22" s="1">
        <v>35.76</v>
      </c>
      <c r="DV22" s="1"/>
      <c r="DW22" s="1"/>
      <c r="DX22" s="1"/>
      <c r="DY22" s="1"/>
      <c r="DZ22" s="1"/>
      <c r="EA22" s="1"/>
      <c r="EB22" s="1"/>
      <c r="EC22" s="1"/>
      <c r="ED22" s="1"/>
      <c r="EE22" s="1"/>
      <c r="EF22" s="1">
        <v>331.37299999999999</v>
      </c>
      <c r="EG22" s="1">
        <v>24.681999999999999</v>
      </c>
      <c r="EH22" s="1">
        <v>-50.671379999999999</v>
      </c>
      <c r="EI22" s="1"/>
      <c r="EJ22" s="1"/>
      <c r="EK22" s="1">
        <v>57.734502015702617</v>
      </c>
      <c r="EL22" s="1"/>
      <c r="EM22" s="1">
        <v>-19.055457598385459</v>
      </c>
      <c r="EN22" s="1">
        <v>-13.56208363338593</v>
      </c>
      <c r="EO22" s="1"/>
      <c r="EP22" s="1"/>
      <c r="EQ22" s="1"/>
      <c r="ER22" s="1"/>
      <c r="ES22" s="1">
        <v>-115.96494382973071</v>
      </c>
      <c r="ET22" s="1"/>
      <c r="EV22" s="1">
        <v>11159.40319624089</v>
      </c>
      <c r="EW22" s="1">
        <v>2404.851317077002</v>
      </c>
      <c r="EX22" s="1">
        <v>2414.61687989445</v>
      </c>
      <c r="EY22" s="1">
        <v>3227.7</v>
      </c>
      <c r="EZ22" s="1">
        <v>825.63686901007054</v>
      </c>
      <c r="FA22" s="1">
        <v>526.70132853930056</v>
      </c>
      <c r="FB22" s="1">
        <v>1100.4104358215764</v>
      </c>
    </row>
    <row r="23" spans="1:158" x14ac:dyDescent="0.2">
      <c r="A23">
        <v>1983</v>
      </c>
      <c r="B23" s="1"/>
      <c r="S23" s="6">
        <v>14476</v>
      </c>
      <c r="T23" s="6">
        <f t="shared" si="0"/>
        <v>12304.6</v>
      </c>
      <c r="AM23" s="6">
        <v>113582</v>
      </c>
      <c r="AS23" s="6">
        <v>265299.85859999998</v>
      </c>
      <c r="AT23" s="6">
        <v>474695.2905</v>
      </c>
      <c r="BT23" s="3" t="s">
        <v>919</v>
      </c>
      <c r="BU23" s="1"/>
      <c r="BV23" s="1"/>
      <c r="BY23" s="1"/>
      <c r="BZ23" s="1"/>
      <c r="CB23" s="1"/>
      <c r="CC23" s="1"/>
      <c r="CI23" s="7"/>
      <c r="CJ23" s="6"/>
      <c r="CK23" s="6"/>
      <c r="CL23" s="6"/>
      <c r="CM23" s="6"/>
      <c r="CN23" s="6"/>
      <c r="CO23" s="7"/>
      <c r="CP23" s="6"/>
      <c r="CQ23" s="7"/>
      <c r="CR23" s="6"/>
      <c r="CS23" s="7"/>
      <c r="CT23" s="6"/>
      <c r="CU23" s="7"/>
      <c r="CV23" s="1"/>
      <c r="CW23" s="7"/>
      <c r="CX23" s="1"/>
      <c r="CY23" s="7">
        <v>64.14</v>
      </c>
      <c r="CZ23" s="7"/>
      <c r="DA23" s="7"/>
      <c r="DP23" s="1">
        <v>302.404</v>
      </c>
      <c r="DQ23" s="1">
        <v>8830</v>
      </c>
      <c r="DR23" s="1"/>
      <c r="DS23" s="1"/>
      <c r="DT23" s="1"/>
      <c r="DU23" s="1">
        <v>46.551000000000002</v>
      </c>
      <c r="DV23" s="1"/>
      <c r="DW23" s="1"/>
      <c r="DX23" s="1"/>
      <c r="DY23" s="1"/>
      <c r="DZ23" s="1"/>
      <c r="EA23" s="1"/>
      <c r="EB23" s="1"/>
      <c r="EC23" s="1"/>
      <c r="ED23" s="1"/>
      <c r="EE23" s="1"/>
      <c r="EF23" s="1">
        <v>302.404</v>
      </c>
      <c r="EG23" s="1">
        <v>37.259</v>
      </c>
      <c r="EH23" s="1">
        <v>-42.025769999999994</v>
      </c>
      <c r="EI23" s="1"/>
      <c r="EJ23" s="1"/>
      <c r="EK23" s="1">
        <v>67.526872361721573</v>
      </c>
      <c r="EL23" s="1"/>
      <c r="EM23" s="1">
        <v>-19.997498137007938</v>
      </c>
      <c r="EN23" s="1">
        <v>-11.398247135129543</v>
      </c>
      <c r="EO23" s="1"/>
      <c r="EP23" s="1"/>
      <c r="EQ23" s="1"/>
      <c r="ER23" s="1"/>
      <c r="ES23" s="1">
        <v>-125.2607561247607</v>
      </c>
      <c r="ET23" s="1"/>
      <c r="EV23" s="1">
        <v>11400.620164901871</v>
      </c>
      <c r="EW23" s="1">
        <v>2344.9555677187841</v>
      </c>
      <c r="EX23" s="1">
        <v>2354.4779073071272</v>
      </c>
      <c r="EY23" s="1">
        <v>3506.9</v>
      </c>
      <c r="EZ23" s="1">
        <v>790.33357302405432</v>
      </c>
      <c r="FA23" s="1">
        <v>535.83334123732027</v>
      </c>
      <c r="FB23" s="1">
        <v>1200.1863487146109</v>
      </c>
    </row>
    <row r="24" spans="1:158" x14ac:dyDescent="0.2">
      <c r="A24">
        <v>1984</v>
      </c>
      <c r="B24" s="1"/>
      <c r="S24" s="6">
        <v>16705</v>
      </c>
      <c r="T24" s="6">
        <f t="shared" si="0"/>
        <v>14199.25</v>
      </c>
      <c r="AM24" s="6">
        <v>125993</v>
      </c>
      <c r="AS24" s="6">
        <v>256913.8559</v>
      </c>
      <c r="AT24" s="6">
        <v>634307.44790000003</v>
      </c>
      <c r="BT24" s="3" t="s">
        <v>919</v>
      </c>
      <c r="BU24" s="1"/>
      <c r="BV24" s="1"/>
      <c r="BY24" s="1"/>
      <c r="BZ24" s="1"/>
      <c r="CB24" s="1"/>
      <c r="CC24" s="1"/>
      <c r="CI24" s="7"/>
      <c r="CJ24" s="6"/>
      <c r="CK24" s="6"/>
      <c r="CL24" s="6"/>
      <c r="CM24" s="6"/>
      <c r="CN24" s="6"/>
      <c r="CO24" s="7"/>
      <c r="CP24" s="6"/>
      <c r="CQ24" s="7"/>
      <c r="CR24" s="6"/>
      <c r="CS24" s="7"/>
      <c r="CT24" s="6"/>
      <c r="CU24" s="7"/>
      <c r="CV24" s="1"/>
      <c r="CW24" s="7"/>
      <c r="CX24" s="1"/>
      <c r="CY24" s="7">
        <v>68.766999999999996</v>
      </c>
      <c r="CZ24" s="7"/>
      <c r="DA24" s="7"/>
      <c r="DP24" s="1">
        <v>166.74700000000001</v>
      </c>
      <c r="DQ24" s="1">
        <v>17174</v>
      </c>
      <c r="DR24" s="1"/>
      <c r="DS24" s="1"/>
      <c r="DT24" s="1"/>
      <c r="DU24" s="1">
        <v>66.78</v>
      </c>
      <c r="DV24" s="1"/>
      <c r="DW24" s="1"/>
      <c r="DX24" s="1"/>
      <c r="DY24" s="1"/>
      <c r="DZ24" s="1"/>
      <c r="EA24" s="1"/>
      <c r="EB24" s="1"/>
      <c r="EC24" s="1"/>
      <c r="ED24" s="1"/>
      <c r="EE24" s="1"/>
      <c r="EF24" s="1">
        <v>166.74700000000001</v>
      </c>
      <c r="EG24" s="1">
        <v>74.346000000000004</v>
      </c>
      <c r="EH24" s="1">
        <v>-34.176870000000001</v>
      </c>
      <c r="EI24" s="1"/>
      <c r="EJ24" s="1"/>
      <c r="EK24" s="1">
        <v>77.231061736276402</v>
      </c>
      <c r="EL24" s="1"/>
      <c r="EM24" s="1">
        <v>-18.799720766833531</v>
      </c>
      <c r="EN24" s="1">
        <v>-8.1192150223808284</v>
      </c>
      <c r="EO24" s="1"/>
      <c r="EP24" s="1"/>
      <c r="EQ24" s="1"/>
      <c r="ER24" s="1"/>
      <c r="ES24" s="1">
        <v>-124.42590483719754</v>
      </c>
      <c r="ET24" s="1"/>
      <c r="EV24" s="1">
        <v>11836.071219388763</v>
      </c>
      <c r="EW24" s="1">
        <v>2250.0365933103185</v>
      </c>
      <c r="EX24" s="1">
        <v>2259.1734881933817</v>
      </c>
      <c r="EY24" s="1">
        <v>3900.4</v>
      </c>
      <c r="EZ24" s="1">
        <v>761.35762789360581</v>
      </c>
      <c r="FA24" s="1">
        <v>562.97185092542895</v>
      </c>
      <c r="FB24" s="1">
        <v>1275.5629466682105</v>
      </c>
    </row>
    <row r="25" spans="1:158" x14ac:dyDescent="0.2">
      <c r="A25">
        <v>1985</v>
      </c>
      <c r="B25" s="1"/>
      <c r="S25" s="6">
        <v>11913</v>
      </c>
      <c r="T25" s="6">
        <f t="shared" si="0"/>
        <v>10126.049999999999</v>
      </c>
      <c r="AM25" s="6">
        <v>142060</v>
      </c>
      <c r="AS25" s="6">
        <v>368580.65899999999</v>
      </c>
      <c r="AT25" s="6">
        <v>791435.17299999995</v>
      </c>
      <c r="BT25" s="3" t="s">
        <v>919</v>
      </c>
      <c r="BU25" s="1"/>
      <c r="BV25" s="1"/>
      <c r="BY25" s="1"/>
      <c r="BZ25" s="1"/>
      <c r="CB25" s="1"/>
      <c r="CC25" s="1"/>
      <c r="CI25" s="7"/>
      <c r="CJ25" s="6"/>
      <c r="CK25" s="6"/>
      <c r="CL25" s="6"/>
      <c r="CM25" s="6"/>
      <c r="CN25" s="6"/>
      <c r="CO25" s="7"/>
      <c r="CP25" s="6"/>
      <c r="CQ25" s="7"/>
      <c r="CR25" s="6"/>
      <c r="CS25" s="7"/>
      <c r="CT25" s="6"/>
      <c r="CU25" s="7"/>
      <c r="CV25" s="1"/>
      <c r="CW25" s="7"/>
      <c r="CX25" s="1"/>
      <c r="CY25" s="7">
        <v>88.718000000000004</v>
      </c>
      <c r="CZ25" s="7"/>
      <c r="DA25" s="7"/>
      <c r="DP25" s="1">
        <v>61.738999999999997</v>
      </c>
      <c r="DQ25" s="1">
        <v>32975</v>
      </c>
      <c r="DR25" s="1"/>
      <c r="DS25" s="1"/>
      <c r="DT25" s="1"/>
      <c r="DU25" s="1">
        <v>59.970999999999997</v>
      </c>
      <c r="DV25" s="1">
        <v>208.63968723919481</v>
      </c>
      <c r="DW25" s="1"/>
      <c r="DX25" s="1"/>
      <c r="DY25" s="1"/>
      <c r="DZ25" s="1"/>
      <c r="EA25" s="1"/>
      <c r="EB25" s="1"/>
      <c r="EC25" s="1"/>
      <c r="ED25" s="1"/>
      <c r="EE25" s="1"/>
      <c r="EF25" s="1">
        <v>61.738999999999997</v>
      </c>
      <c r="EG25" s="1">
        <v>129.821</v>
      </c>
      <c r="EH25" s="1">
        <v>-65.495629999999991</v>
      </c>
      <c r="EI25" s="1"/>
      <c r="EJ25" s="1"/>
      <c r="EK25" s="1">
        <v>86.628117772985235</v>
      </c>
      <c r="EL25" s="1">
        <v>100.47661316599799</v>
      </c>
      <c r="EM25" s="1">
        <v>-21.009784621233006</v>
      </c>
      <c r="EN25" s="1">
        <v>-6.0725137258672985</v>
      </c>
      <c r="EO25" s="1">
        <v>-1.5931787301013933</v>
      </c>
      <c r="EP25" s="1">
        <v>-31.965192399438852</v>
      </c>
      <c r="EQ25" s="1"/>
      <c r="ER25" s="1">
        <v>-61.819692968070179</v>
      </c>
      <c r="ES25" s="1">
        <v>-134.38750480847361</v>
      </c>
      <c r="ET25" s="1">
        <v>-14.009759841172135</v>
      </c>
      <c r="EV25" s="1">
        <v>12432.398014881395</v>
      </c>
      <c r="EW25" s="1">
        <v>2312.5540679017918</v>
      </c>
      <c r="EX25" s="1">
        <v>2321.9448322531989</v>
      </c>
      <c r="EY25" s="1">
        <v>4184.8</v>
      </c>
      <c r="EZ25" s="1">
        <v>799.56202291101124</v>
      </c>
      <c r="FA25" s="1">
        <v>561.59429755343058</v>
      </c>
      <c r="FB25" s="1">
        <v>1364.1637858971274</v>
      </c>
    </row>
    <row r="26" spans="1:158" x14ac:dyDescent="0.2">
      <c r="A26">
        <v>1986</v>
      </c>
      <c r="B26" s="1"/>
      <c r="S26" s="6">
        <v>10514</v>
      </c>
      <c r="T26" s="6">
        <f t="shared" si="0"/>
        <v>8936.9</v>
      </c>
      <c r="AM26" s="6">
        <v>140085</v>
      </c>
      <c r="AS26" s="6">
        <v>550257.21050000004</v>
      </c>
      <c r="AT26" s="6">
        <v>1047784.188</v>
      </c>
      <c r="BT26" s="3" t="s">
        <v>919</v>
      </c>
      <c r="BU26" s="1"/>
      <c r="BV26" s="1"/>
      <c r="BY26" s="1"/>
      <c r="BZ26" s="1"/>
      <c r="CB26" s="1"/>
      <c r="CC26" s="1"/>
      <c r="CI26" s="7"/>
      <c r="CJ26" s="6"/>
      <c r="CK26" s="6"/>
      <c r="CL26" s="6"/>
      <c r="CM26" s="6"/>
      <c r="CN26" s="6"/>
      <c r="CO26" s="7"/>
      <c r="CP26" s="6"/>
      <c r="CQ26" s="7"/>
      <c r="CR26" s="6"/>
      <c r="CS26" s="7"/>
      <c r="CT26" s="6"/>
      <c r="CU26" s="7"/>
      <c r="CV26" s="1"/>
      <c r="CW26" s="7"/>
      <c r="CX26" s="1"/>
      <c r="CY26" s="7">
        <v>112.102</v>
      </c>
      <c r="CZ26" s="7"/>
      <c r="DA26" s="7"/>
      <c r="DP26" s="1">
        <v>-27.759</v>
      </c>
      <c r="DQ26" s="1">
        <v>28865</v>
      </c>
      <c r="DR26" s="1"/>
      <c r="DS26" s="1"/>
      <c r="DT26" s="1"/>
      <c r="DU26" s="1">
        <v>86.42</v>
      </c>
      <c r="DV26" s="1">
        <v>191.56547174359491</v>
      </c>
      <c r="DW26" s="1"/>
      <c r="DX26" s="1"/>
      <c r="DY26" s="1"/>
      <c r="DZ26" s="1"/>
      <c r="EA26" s="1"/>
      <c r="EB26" s="1"/>
      <c r="EC26" s="1"/>
      <c r="ED26" s="1"/>
      <c r="EE26" s="1"/>
      <c r="EF26" s="1">
        <v>-27.759</v>
      </c>
      <c r="EG26" s="1">
        <v>180.351</v>
      </c>
      <c r="EH26" s="1">
        <v>-72.757670000000005</v>
      </c>
      <c r="EI26" s="1"/>
      <c r="EJ26" s="1"/>
      <c r="EK26" s="1">
        <v>127.42628974514741</v>
      </c>
      <c r="EL26" s="1">
        <v>117.99536294647054</v>
      </c>
      <c r="EM26" s="1">
        <v>-24.930345636192992</v>
      </c>
      <c r="EN26" s="1">
        <v>-10.730632181411206</v>
      </c>
      <c r="EO26" s="1">
        <v>-1.8339639493810769</v>
      </c>
      <c r="EP26" s="1">
        <v>-41.499405823649468</v>
      </c>
      <c r="EQ26" s="1"/>
      <c r="ER26" s="1">
        <v>-75.859863309900007</v>
      </c>
      <c r="ES26" s="1">
        <v>-147.40319477619954</v>
      </c>
      <c r="ET26" s="1">
        <v>-17.302338504978554</v>
      </c>
      <c r="EV26" s="1">
        <v>14710.992380565376</v>
      </c>
      <c r="EW26" s="1">
        <v>3247.6417181923566</v>
      </c>
      <c r="EX26" s="1">
        <v>3260.8296641507454</v>
      </c>
      <c r="EY26" s="1">
        <v>4425</v>
      </c>
      <c r="EZ26" s="1">
        <v>1022.6189027718385</v>
      </c>
      <c r="FA26" s="1">
        <v>582.21998382719642</v>
      </c>
      <c r="FB26" s="1">
        <v>2020.8871598470921</v>
      </c>
    </row>
    <row r="27" spans="1:158" x14ac:dyDescent="0.2">
      <c r="A27">
        <v>1987</v>
      </c>
      <c r="B27" s="1"/>
      <c r="S27" s="6">
        <v>15236</v>
      </c>
      <c r="T27" s="6">
        <f t="shared" si="0"/>
        <v>12950.6</v>
      </c>
      <c r="AM27" s="6">
        <v>200187</v>
      </c>
      <c r="AS27" s="6">
        <v>574604.59160000004</v>
      </c>
      <c r="AT27" s="6">
        <v>1322129.4269999999</v>
      </c>
      <c r="BT27" s="3" t="s">
        <v>919</v>
      </c>
      <c r="BU27" s="1"/>
      <c r="BV27" s="1"/>
      <c r="BY27" s="1"/>
      <c r="BZ27" s="1"/>
      <c r="CB27" s="1"/>
      <c r="CC27" s="1"/>
      <c r="CI27" s="7"/>
      <c r="CJ27" s="6"/>
      <c r="CK27" s="6"/>
      <c r="CL27" s="6"/>
      <c r="CM27" s="6"/>
      <c r="CN27" s="6"/>
      <c r="CO27" s="7"/>
      <c r="CP27" s="6"/>
      <c r="CQ27" s="7"/>
      <c r="CR27" s="6"/>
      <c r="CS27" s="7"/>
      <c r="CT27" s="6"/>
      <c r="CU27" s="7"/>
      <c r="CV27" s="1"/>
      <c r="CW27" s="6">
        <v>1055.8399999999999</v>
      </c>
      <c r="CX27" s="1"/>
      <c r="CY27" s="7">
        <v>142.84100000000001</v>
      </c>
      <c r="CZ27" s="7">
        <v>8.8999999999999996E-2</v>
      </c>
      <c r="DA27" s="7"/>
      <c r="DP27" s="1">
        <v>-70.918999999999997</v>
      </c>
      <c r="DQ27" s="1">
        <v>30199</v>
      </c>
      <c r="DR27" s="1"/>
      <c r="DS27" s="1"/>
      <c r="DT27" s="1"/>
      <c r="DU27" s="1">
        <v>52.430999999999997</v>
      </c>
      <c r="DV27" s="1">
        <v>220.04902412350017</v>
      </c>
      <c r="DW27" s="1"/>
      <c r="DX27" s="1"/>
      <c r="DY27" s="1"/>
      <c r="DZ27" s="1"/>
      <c r="EA27" s="1"/>
      <c r="EB27" s="1"/>
      <c r="EC27" s="1"/>
      <c r="ED27" s="1"/>
      <c r="EE27" s="1"/>
      <c r="EF27" s="1">
        <v>-70.918999999999997</v>
      </c>
      <c r="EG27" s="1">
        <v>240.744</v>
      </c>
      <c r="EH27" s="1">
        <v>5.414256</v>
      </c>
      <c r="EI27" s="1"/>
      <c r="EJ27" s="1"/>
      <c r="EK27" s="1">
        <v>98.124570724887747</v>
      </c>
      <c r="EL27" s="1">
        <v>172.18233499491407</v>
      </c>
      <c r="EM27" s="1">
        <v>-27.872605065656906</v>
      </c>
      <c r="EN27" s="1">
        <v>-14.806718844646726</v>
      </c>
      <c r="EO27" s="1">
        <v>-2.3757524474575935</v>
      </c>
      <c r="EP27" s="1">
        <v>-52.288555804981243</v>
      </c>
      <c r="EQ27" s="1"/>
      <c r="ER27" s="1">
        <v>-92.040672652799984</v>
      </c>
      <c r="ES27" s="1">
        <v>-172.12615438387857</v>
      </c>
      <c r="ET27" s="1">
        <v>-19.794167085721693</v>
      </c>
      <c r="EV27" s="1">
        <v>16712.998813208356</v>
      </c>
      <c r="EW27" s="1">
        <v>4018.5983017943804</v>
      </c>
      <c r="EX27" s="1">
        <v>4034.916929842439</v>
      </c>
      <c r="EY27" s="1">
        <v>4699</v>
      </c>
      <c r="EZ27" s="1">
        <v>1257.1382033784901</v>
      </c>
      <c r="FA27" s="1">
        <v>651.4663449402542</v>
      </c>
      <c r="FB27" s="1">
        <v>2448.6747904243371</v>
      </c>
    </row>
    <row r="28" spans="1:158" x14ac:dyDescent="0.2">
      <c r="A28">
        <v>1988</v>
      </c>
      <c r="B28" s="1"/>
      <c r="S28" s="6">
        <v>17548</v>
      </c>
      <c r="T28" s="6">
        <f t="shared" si="0"/>
        <v>14915.8</v>
      </c>
      <c r="AM28" s="6">
        <v>202336</v>
      </c>
      <c r="AS28" s="6">
        <v>696827.81949999998</v>
      </c>
      <c r="AT28" s="6">
        <v>1580777.3929999999</v>
      </c>
      <c r="BT28" s="3" t="s">
        <v>919</v>
      </c>
      <c r="BU28" s="1"/>
      <c r="BV28" s="1"/>
      <c r="BY28" s="1"/>
      <c r="BZ28" s="1"/>
      <c r="CB28" s="1"/>
      <c r="CC28" s="1"/>
      <c r="CI28" s="7"/>
      <c r="CJ28" s="6"/>
      <c r="CK28" s="6"/>
      <c r="CL28" s="6"/>
      <c r="CM28" s="6"/>
      <c r="CN28" s="6"/>
      <c r="CO28" s="7"/>
      <c r="CP28" s="6"/>
      <c r="CQ28" s="7"/>
      <c r="CR28" s="6"/>
      <c r="CS28" s="7"/>
      <c r="CT28" s="6"/>
      <c r="CU28" s="7"/>
      <c r="CV28" s="1"/>
      <c r="CW28" s="6">
        <v>1171.597</v>
      </c>
      <c r="CX28" s="1"/>
      <c r="CY28" s="7">
        <v>141.083</v>
      </c>
      <c r="CZ28" s="7">
        <v>0.40500000000000003</v>
      </c>
      <c r="DA28" s="7"/>
      <c r="DP28" s="1">
        <v>-167.458</v>
      </c>
      <c r="DQ28" s="1">
        <v>36745</v>
      </c>
      <c r="DR28" s="1"/>
      <c r="DS28" s="1"/>
      <c r="DT28" s="1"/>
      <c r="DU28" s="1">
        <v>51.576999999999998</v>
      </c>
      <c r="DV28" s="1">
        <v>258.56117305000004</v>
      </c>
      <c r="DW28" s="1"/>
      <c r="DX28" s="1"/>
      <c r="DY28" s="1"/>
      <c r="DZ28" s="1"/>
      <c r="EA28" s="1"/>
      <c r="EB28" s="1"/>
      <c r="EC28" s="1"/>
      <c r="ED28" s="1"/>
      <c r="EE28" s="1"/>
      <c r="EF28" s="1">
        <v>-167.458</v>
      </c>
      <c r="EG28" s="1">
        <v>291.74599999999998</v>
      </c>
      <c r="EH28" s="1">
        <v>32.963839999999998</v>
      </c>
      <c r="EI28" s="1"/>
      <c r="EJ28" s="1"/>
      <c r="EK28" s="1">
        <v>93.328556254625525</v>
      </c>
      <c r="EL28" s="1">
        <v>171.91567357047876</v>
      </c>
      <c r="EM28" s="1">
        <v>-33.944163703286506</v>
      </c>
      <c r="EN28" s="1">
        <v>-17.851634408748293</v>
      </c>
      <c r="EO28" s="1">
        <v>-2.5542580429999999</v>
      </c>
      <c r="EP28" s="1">
        <v>-49.220957677322673</v>
      </c>
      <c r="EQ28" s="1"/>
      <c r="ER28" s="1">
        <v>-115.93878779800001</v>
      </c>
      <c r="ES28" s="1">
        <v>-186.78009781985853</v>
      </c>
      <c r="ET28" s="1">
        <v>-18.523947570843067</v>
      </c>
      <c r="EV28" s="1">
        <v>18694.155906235876</v>
      </c>
      <c r="EW28" s="1">
        <v>4416.9376174980789</v>
      </c>
      <c r="EX28" s="1">
        <v>4435.1533787017688</v>
      </c>
      <c r="EY28" s="1">
        <v>5060.7</v>
      </c>
      <c r="EZ28" s="1">
        <v>1458.6132469685551</v>
      </c>
      <c r="FA28" s="1">
        <v>781.10128777888224</v>
      </c>
      <c r="FB28" s="1">
        <v>2971.0327681958179</v>
      </c>
    </row>
    <row r="29" spans="1:158" x14ac:dyDescent="0.2">
      <c r="A29">
        <v>1989</v>
      </c>
      <c r="B29" s="1"/>
      <c r="S29" s="6">
        <v>17022</v>
      </c>
      <c r="T29" s="6">
        <f t="shared" si="0"/>
        <v>14468.699999999999</v>
      </c>
      <c r="AM29" s="6">
        <v>214088</v>
      </c>
      <c r="AS29" s="6">
        <v>955352.91200000001</v>
      </c>
      <c r="AT29" s="6">
        <v>1869988.3570000001</v>
      </c>
      <c r="BT29" s="3" t="s">
        <v>919</v>
      </c>
      <c r="BU29" s="1"/>
      <c r="BV29" s="1"/>
      <c r="BY29" s="1"/>
      <c r="BZ29" s="1"/>
      <c r="CB29" s="1"/>
      <c r="CC29" s="1"/>
      <c r="CI29" s="7"/>
      <c r="CJ29" s="6"/>
      <c r="CK29" s="6"/>
      <c r="CL29" s="6"/>
      <c r="CM29" s="6"/>
      <c r="CN29" s="6"/>
      <c r="CO29" s="7"/>
      <c r="CP29" s="6"/>
      <c r="CQ29" s="7"/>
      <c r="CR29" s="6"/>
      <c r="CS29" s="7"/>
      <c r="CT29" s="6"/>
      <c r="CU29" s="7"/>
      <c r="CV29" s="1"/>
      <c r="CW29" s="6">
        <v>1335.3219999999999</v>
      </c>
      <c r="CX29" s="1"/>
      <c r="CY29" s="7">
        <v>152.55199999999999</v>
      </c>
      <c r="CZ29" s="7">
        <v>0.64</v>
      </c>
      <c r="DA29" s="7"/>
      <c r="DP29" s="1">
        <v>-246.232</v>
      </c>
      <c r="DQ29" s="1">
        <v>42543</v>
      </c>
      <c r="DR29" s="1"/>
      <c r="DS29" s="1"/>
      <c r="DT29" s="1"/>
      <c r="DU29" s="1">
        <v>61.935000000000002</v>
      </c>
      <c r="DV29" s="1">
        <v>262.57277330000011</v>
      </c>
      <c r="DW29" s="1"/>
      <c r="DX29" s="1"/>
      <c r="DY29" s="1">
        <v>-163.21100000000001</v>
      </c>
      <c r="DZ29" s="1"/>
      <c r="EA29" s="1"/>
      <c r="EB29" s="1"/>
      <c r="EC29" s="1"/>
      <c r="ED29" s="1"/>
      <c r="EE29" s="1"/>
      <c r="EF29" s="1">
        <v>-246.232</v>
      </c>
      <c r="EG29" s="1">
        <v>293.21499999999997</v>
      </c>
      <c r="EH29" s="1">
        <v>17.678819999999998</v>
      </c>
      <c r="EI29" s="1"/>
      <c r="EJ29" s="1"/>
      <c r="EK29" s="1">
        <v>99.43663012013954</v>
      </c>
      <c r="EL29" s="1">
        <v>169.78517510507604</v>
      </c>
      <c r="EM29" s="1">
        <v>-40.788563718338189</v>
      </c>
      <c r="EN29" s="1">
        <v>-18.798467744123915</v>
      </c>
      <c r="EO29" s="1">
        <v>-2.66815432401504</v>
      </c>
      <c r="EP29" s="1">
        <v>-51.768912410631501</v>
      </c>
      <c r="EQ29" s="1"/>
      <c r="ER29" s="1">
        <v>-130.0929379024</v>
      </c>
      <c r="ES29" s="1">
        <v>-208.37330339652706</v>
      </c>
      <c r="ET29" s="1">
        <v>-26.663666369381545</v>
      </c>
      <c r="EV29" s="1">
        <v>19614.652844537773</v>
      </c>
      <c r="EW29" s="1">
        <v>4509.6976012977311</v>
      </c>
      <c r="EX29" s="1">
        <v>4528.6587526395888</v>
      </c>
      <c r="EY29" s="1">
        <v>5439.6</v>
      </c>
      <c r="EZ29" s="1">
        <v>1467.2253845260805</v>
      </c>
      <c r="FA29" s="1">
        <v>900.36301350085307</v>
      </c>
      <c r="FB29" s="1">
        <v>2972.6668618861095</v>
      </c>
    </row>
    <row r="30" spans="1:158" x14ac:dyDescent="0.2">
      <c r="A30">
        <v>1990</v>
      </c>
      <c r="B30" s="1"/>
      <c r="S30" s="6">
        <v>28594</v>
      </c>
      <c r="T30" s="6">
        <f t="shared" si="0"/>
        <v>24304.899999999998</v>
      </c>
      <c r="AM30" s="6">
        <v>251249</v>
      </c>
      <c r="AS30" s="6">
        <v>1107250.6629999999</v>
      </c>
      <c r="AT30" s="6">
        <v>2144370.0669999998</v>
      </c>
      <c r="BT30" s="3" t="s">
        <v>919</v>
      </c>
      <c r="BU30" s="1"/>
      <c r="BV30" s="1"/>
      <c r="BY30" s="1"/>
      <c r="BZ30" s="1"/>
      <c r="CB30" s="1"/>
      <c r="CC30" s="1"/>
      <c r="CI30" s="7"/>
      <c r="CJ30" s="6"/>
      <c r="CK30" s="6"/>
      <c r="CL30" s="6"/>
      <c r="CM30" s="6"/>
      <c r="CN30" s="6"/>
      <c r="CO30" s="6">
        <v>185230</v>
      </c>
      <c r="CP30" s="6"/>
      <c r="CQ30" s="7"/>
      <c r="CR30" s="6"/>
      <c r="CS30" s="7"/>
      <c r="CT30" s="6"/>
      <c r="CU30" s="7"/>
      <c r="CV30" s="1"/>
      <c r="CW30" s="6">
        <v>1644.636</v>
      </c>
      <c r="CX30" s="1"/>
      <c r="CY30" s="7">
        <v>189.89500000000001</v>
      </c>
      <c r="CZ30" s="7">
        <v>4.5999999999999999E-2</v>
      </c>
      <c r="DA30" s="7"/>
      <c r="DP30" s="1">
        <v>-230.375</v>
      </c>
      <c r="DQ30" s="1">
        <v>44016</v>
      </c>
      <c r="DR30" s="1"/>
      <c r="DS30" s="1"/>
      <c r="DT30" s="1"/>
      <c r="DU30" s="1">
        <v>-6.6630000000000003</v>
      </c>
      <c r="DV30" s="1">
        <v>253.31092880000011</v>
      </c>
      <c r="DW30" s="1"/>
      <c r="DX30" s="1"/>
      <c r="DY30" s="1">
        <v>-166.673</v>
      </c>
      <c r="DZ30" s="1"/>
      <c r="EA30" s="1"/>
      <c r="EB30" s="1"/>
      <c r="EC30" s="1"/>
      <c r="ED30" s="1"/>
      <c r="EE30" s="1"/>
      <c r="EF30" s="1">
        <v>-230.375</v>
      </c>
      <c r="EG30" s="1">
        <v>328.05900000000003</v>
      </c>
      <c r="EH30" s="1">
        <v>25.9329</v>
      </c>
      <c r="EI30" s="1"/>
      <c r="EJ30" s="1"/>
      <c r="EK30" s="1">
        <v>-12.84626893296727</v>
      </c>
      <c r="EL30" s="1">
        <v>195.53140007719034</v>
      </c>
      <c r="EM30" s="1">
        <v>-61.074176036807401</v>
      </c>
      <c r="EN30" s="1">
        <v>-15.540651514719517</v>
      </c>
      <c r="EO30" s="1">
        <v>-3.0090810615634589</v>
      </c>
      <c r="EP30" s="1">
        <v>-58.456729920199813</v>
      </c>
      <c r="EQ30" s="1"/>
      <c r="ER30" s="1">
        <v>-142.19157939640002</v>
      </c>
      <c r="ES30" s="1">
        <v>-224.90371949849177</v>
      </c>
      <c r="ET30" s="1">
        <v>-27.14529866337023</v>
      </c>
      <c r="EV30" s="1">
        <v>21904.760406835107</v>
      </c>
      <c r="EW30" s="1">
        <v>5683.9381615070042</v>
      </c>
      <c r="EX30" s="1">
        <v>5688.9479201186759</v>
      </c>
      <c r="EY30" s="1">
        <v>5754.8</v>
      </c>
      <c r="EZ30" s="1">
        <v>1755.0829084121467</v>
      </c>
      <c r="FA30" s="1">
        <v>941.74506159365296</v>
      </c>
      <c r="FB30" s="1">
        <v>3058.0382271181179</v>
      </c>
    </row>
    <row r="31" spans="1:158" x14ac:dyDescent="0.2">
      <c r="A31">
        <v>1991</v>
      </c>
      <c r="B31" s="1"/>
      <c r="S31" s="6">
        <v>42664</v>
      </c>
      <c r="T31" s="6">
        <f t="shared" si="0"/>
        <v>36264.400000000001</v>
      </c>
      <c r="AM31" s="6">
        <v>225633</v>
      </c>
      <c r="AS31" s="6">
        <v>1323316.5870000001</v>
      </c>
      <c r="AT31" s="6">
        <v>2602639.2749999999</v>
      </c>
      <c r="BT31" s="3" t="s">
        <v>919</v>
      </c>
      <c r="BU31" s="1"/>
      <c r="BV31" s="1"/>
      <c r="BY31" s="1"/>
      <c r="BZ31" s="1"/>
      <c r="CB31" s="1"/>
      <c r="CC31" s="1"/>
      <c r="CI31" s="7"/>
      <c r="CJ31" s="6"/>
      <c r="CK31" s="6"/>
      <c r="CL31" s="6"/>
      <c r="CM31" s="6"/>
      <c r="CN31" s="6"/>
      <c r="CO31" s="6">
        <v>213569</v>
      </c>
      <c r="CP31" s="6"/>
      <c r="CQ31" s="7"/>
      <c r="CR31" s="6"/>
      <c r="CS31" s="7"/>
      <c r="CT31" s="6"/>
      <c r="CU31" s="7"/>
      <c r="CV31" s="1"/>
      <c r="CW31" s="6">
        <v>1852.9690000000001</v>
      </c>
      <c r="CX31" s="1"/>
      <c r="CY31" s="7">
        <v>216.40600000000001</v>
      </c>
      <c r="CZ31" s="7" t="s">
        <v>920</v>
      </c>
      <c r="DA31" s="7"/>
      <c r="DP31" s="1">
        <v>-291.75400000000002</v>
      </c>
      <c r="DQ31" s="1">
        <v>47498</v>
      </c>
      <c r="DR31" s="1"/>
      <c r="DS31" s="1"/>
      <c r="DT31" s="1"/>
      <c r="DU31" s="1">
        <v>2.1789999999999998</v>
      </c>
      <c r="DV31" s="1">
        <v>288.67794355600006</v>
      </c>
      <c r="DW31" s="1"/>
      <c r="DX31" s="1"/>
      <c r="DY31" s="1">
        <v>-183.71799999999999</v>
      </c>
      <c r="DZ31" s="1"/>
      <c r="EA31" s="1"/>
      <c r="EB31" s="1"/>
      <c r="EC31" s="1"/>
      <c r="ED31" s="1"/>
      <c r="EE31" s="1"/>
      <c r="EF31" s="1">
        <v>-291.75400000000002</v>
      </c>
      <c r="EG31" s="1">
        <v>383.072</v>
      </c>
      <c r="EH31" s="1">
        <v>-83.396000000000001</v>
      </c>
      <c r="EI31" s="1"/>
      <c r="EJ31" s="1"/>
      <c r="EK31" s="1">
        <v>4.0762572513043462</v>
      </c>
      <c r="EL31" s="1">
        <v>212.96786688011809</v>
      </c>
      <c r="EM31" s="1">
        <v>-68.17970772906456</v>
      </c>
      <c r="EN31" s="1">
        <v>-10.639577112018946</v>
      </c>
      <c r="EO31" s="1">
        <v>-3.3030924128011505</v>
      </c>
      <c r="EP31" s="1">
        <v>-56.052659243256961</v>
      </c>
      <c r="EQ31" s="1"/>
      <c r="ER31" s="1">
        <v>-151.67448230620002</v>
      </c>
      <c r="ES31" s="1">
        <v>-243.72622711041882</v>
      </c>
      <c r="ET31" s="1">
        <v>-40.158395647686618</v>
      </c>
      <c r="EV31" s="1">
        <v>22982.747960716566</v>
      </c>
      <c r="EW31" s="1">
        <v>5902.2255129631812</v>
      </c>
      <c r="EX31" s="1">
        <v>5907.0096674793031</v>
      </c>
      <c r="EY31" s="1">
        <v>5943.2</v>
      </c>
      <c r="EZ31" s="1">
        <v>1817.8722319854076</v>
      </c>
      <c r="FA31" s="1">
        <v>969.99377118839357</v>
      </c>
      <c r="FB31" s="1">
        <v>3484.769502927471</v>
      </c>
    </row>
    <row r="32" spans="1:158" x14ac:dyDescent="0.2">
      <c r="A32">
        <v>1992</v>
      </c>
      <c r="B32" s="1"/>
      <c r="S32" s="6">
        <v>19443</v>
      </c>
      <c r="T32" s="6">
        <f t="shared" si="0"/>
        <v>16526.55</v>
      </c>
      <c r="AM32" s="6">
        <v>239591</v>
      </c>
      <c r="AS32" s="6">
        <v>1395777.6580000001</v>
      </c>
      <c r="AT32" s="6">
        <v>2818969.6340000001</v>
      </c>
      <c r="BT32" s="3" t="s">
        <v>919</v>
      </c>
      <c r="BU32" s="1"/>
      <c r="BV32" s="1"/>
      <c r="BY32" s="1"/>
      <c r="BZ32" s="1"/>
      <c r="CB32" s="1"/>
      <c r="CC32" s="1"/>
      <c r="CI32" s="7"/>
      <c r="CJ32" s="6"/>
      <c r="CK32" s="6"/>
      <c r="CL32" s="6"/>
      <c r="CM32" s="6"/>
      <c r="CN32" s="6"/>
      <c r="CO32" s="6">
        <v>246485</v>
      </c>
      <c r="CP32" s="6"/>
      <c r="CQ32" s="7"/>
      <c r="CR32" s="6"/>
      <c r="CS32" s="7"/>
      <c r="CT32" s="6"/>
      <c r="CU32" s="7"/>
      <c r="CV32" s="1"/>
      <c r="CW32" s="6">
        <v>1920.9949999999999</v>
      </c>
      <c r="CX32" s="1"/>
      <c r="CY32" s="7">
        <v>225.477</v>
      </c>
      <c r="CZ32" s="7" t="s">
        <v>920</v>
      </c>
      <c r="DA32" s="7"/>
      <c r="DP32" s="1">
        <v>-411.02100000000002</v>
      </c>
      <c r="DQ32" s="1">
        <v>64153</v>
      </c>
      <c r="DR32" s="1"/>
      <c r="DS32" s="1"/>
      <c r="DT32" s="1"/>
      <c r="DU32" s="1">
        <v>10.499000000000001</v>
      </c>
      <c r="DV32" s="1">
        <v>309.70699459999997</v>
      </c>
      <c r="DW32" s="1"/>
      <c r="DX32" s="1"/>
      <c r="DY32" s="1">
        <v>-213.779</v>
      </c>
      <c r="DZ32" s="1"/>
      <c r="EA32" s="1"/>
      <c r="EB32" s="1"/>
      <c r="EC32" s="1"/>
      <c r="ED32" s="1"/>
      <c r="EE32" s="1"/>
      <c r="EF32" s="1">
        <v>-411.02100000000002</v>
      </c>
      <c r="EG32" s="1">
        <v>513.61900000000003</v>
      </c>
      <c r="EH32" s="1">
        <v>-158.63300000000001</v>
      </c>
      <c r="EI32" s="1"/>
      <c r="EJ32" s="1"/>
      <c r="EK32" s="1">
        <v>15.874479872266306</v>
      </c>
      <c r="EL32" s="1">
        <v>212.71084793956044</v>
      </c>
      <c r="EM32" s="1">
        <v>-59.77618167996593</v>
      </c>
      <c r="EN32" s="1">
        <v>-6.8367853973079837</v>
      </c>
      <c r="EO32" s="1">
        <v>-3.3444774718397996</v>
      </c>
      <c r="EP32" s="1">
        <v>-49.948439661098249</v>
      </c>
      <c r="EQ32" s="1"/>
      <c r="ER32" s="1">
        <v>-146.15735045</v>
      </c>
      <c r="ES32" s="1">
        <v>-238.63615530925972</v>
      </c>
      <c r="ET32" s="1">
        <v>-28.577456426771825</v>
      </c>
      <c r="EV32" s="1">
        <v>24548.003450193417</v>
      </c>
      <c r="EW32" s="1">
        <v>6508.5712909385738</v>
      </c>
      <c r="EX32" s="1">
        <v>6512.5579061325216</v>
      </c>
      <c r="EY32" s="1">
        <v>6291.5</v>
      </c>
      <c r="EZ32" s="1">
        <v>1895.3495620785234</v>
      </c>
      <c r="FA32" s="1">
        <v>949.26790876401049</v>
      </c>
      <c r="FB32" s="1">
        <v>3796.1142128031847</v>
      </c>
    </row>
    <row r="33" spans="1:158" x14ac:dyDescent="0.2">
      <c r="A33">
        <v>1993</v>
      </c>
      <c r="B33" s="1"/>
      <c r="S33" s="6">
        <v>21199</v>
      </c>
      <c r="T33" s="6">
        <f t="shared" si="0"/>
        <v>18019.149999999998</v>
      </c>
      <c r="AM33" s="6">
        <v>259519</v>
      </c>
      <c r="AS33" s="6">
        <v>1927758.19</v>
      </c>
      <c r="AT33" s="6">
        <v>3391164.1239999998</v>
      </c>
      <c r="BT33" s="3" t="s">
        <v>919</v>
      </c>
      <c r="BU33" s="1"/>
      <c r="BV33" s="1"/>
      <c r="BY33" s="1"/>
      <c r="BZ33" s="1"/>
      <c r="CB33" s="1"/>
      <c r="CC33" s="1"/>
      <c r="CI33" s="7"/>
      <c r="CJ33" s="6"/>
      <c r="CK33" s="6"/>
      <c r="CL33" s="6"/>
      <c r="CM33" s="6"/>
      <c r="CN33" s="6"/>
      <c r="CO33" s="6">
        <v>279908</v>
      </c>
      <c r="CP33" s="6"/>
      <c r="CQ33" s="7"/>
      <c r="CR33" s="6"/>
      <c r="CS33" s="7"/>
      <c r="CT33" s="6"/>
      <c r="CU33" s="7"/>
      <c r="CV33" s="1"/>
      <c r="CW33" s="6">
        <v>2109.9870000000001</v>
      </c>
      <c r="CX33" s="1"/>
      <c r="CY33" s="7">
        <v>248.22800000000001</v>
      </c>
      <c r="CZ33" s="7">
        <v>4.2089999999999996</v>
      </c>
      <c r="DA33" s="7"/>
      <c r="DP33" s="1">
        <v>-284.45999999999998</v>
      </c>
      <c r="DQ33" s="1">
        <v>68823</v>
      </c>
      <c r="DR33" s="1"/>
      <c r="DS33" s="1"/>
      <c r="DT33" s="1"/>
      <c r="DU33" s="1">
        <v>28.495999999999999</v>
      </c>
      <c r="DV33" s="1">
        <v>322.74490518800002</v>
      </c>
      <c r="DW33" s="1"/>
      <c r="DX33" s="1"/>
      <c r="DY33" s="1">
        <v>-242.40199999999999</v>
      </c>
      <c r="DZ33" s="1"/>
      <c r="EA33" s="1"/>
      <c r="EB33" s="1"/>
      <c r="EC33" s="1"/>
      <c r="ED33" s="1"/>
      <c r="EE33" s="1"/>
      <c r="EF33" s="1">
        <v>-284.45999999999998</v>
      </c>
      <c r="EG33" s="1">
        <v>610.81700000000001</v>
      </c>
      <c r="EH33" s="1">
        <v>-191.66890000000001</v>
      </c>
      <c r="EI33" s="1"/>
      <c r="EJ33" s="1"/>
      <c r="EK33" s="1">
        <v>42.208292353450013</v>
      </c>
      <c r="EL33" s="1">
        <v>218.14457937681649</v>
      </c>
      <c r="EM33" s="1">
        <v>-78.711532776795295</v>
      </c>
      <c r="EN33" s="1">
        <v>-7.0758445616711176</v>
      </c>
      <c r="EO33" s="1">
        <v>-3.3329025161556438</v>
      </c>
      <c r="EP33" s="1">
        <v>-43.195853872277581</v>
      </c>
      <c r="EQ33" s="1"/>
      <c r="ER33" s="1">
        <v>-163.66964247516</v>
      </c>
      <c r="ES33" s="1">
        <v>-257.82065822054375</v>
      </c>
      <c r="ET33" s="1">
        <v>-34.122527291755659</v>
      </c>
      <c r="EV33" s="1">
        <v>24908.904607283679</v>
      </c>
      <c r="EW33" s="1">
        <v>5954.3244286215049</v>
      </c>
      <c r="EX33" s="1">
        <v>5958.1840832193602</v>
      </c>
      <c r="EY33" s="1">
        <v>6614.3</v>
      </c>
      <c r="EZ33" s="1">
        <v>1692.1468193330704</v>
      </c>
      <c r="FA33" s="1">
        <v>925.0464484667508</v>
      </c>
      <c r="FB33" s="1">
        <v>4350.0123203876337</v>
      </c>
    </row>
    <row r="34" spans="1:158" x14ac:dyDescent="0.2">
      <c r="A34">
        <v>1994</v>
      </c>
      <c r="B34" s="1"/>
      <c r="S34" s="6">
        <v>51620</v>
      </c>
      <c r="T34" s="6">
        <f t="shared" si="0"/>
        <v>43877</v>
      </c>
      <c r="AM34" s="6">
        <v>295448</v>
      </c>
      <c r="AS34" s="6">
        <v>2157111.8080000002</v>
      </c>
      <c r="AT34" s="6">
        <v>3520337.96</v>
      </c>
      <c r="BT34" s="3" t="s">
        <v>919</v>
      </c>
      <c r="BU34" s="1"/>
      <c r="BV34" s="1"/>
      <c r="BY34" s="1"/>
      <c r="BZ34" s="1"/>
      <c r="CB34" s="1"/>
      <c r="CC34" s="1"/>
      <c r="CI34" s="7"/>
      <c r="CJ34" s="6"/>
      <c r="CK34" s="6"/>
      <c r="CL34" s="6"/>
      <c r="CM34" s="6"/>
      <c r="CN34" s="6"/>
      <c r="CO34" s="6">
        <v>320003</v>
      </c>
      <c r="CP34" s="6"/>
      <c r="CQ34" s="7"/>
      <c r="CR34" s="6"/>
      <c r="CS34" s="7"/>
      <c r="CT34" s="6"/>
      <c r="CU34" s="7"/>
      <c r="CV34" s="1"/>
      <c r="CW34" s="6">
        <v>2532.1790000000001</v>
      </c>
      <c r="CX34" s="1"/>
      <c r="CY34" s="7">
        <v>275.286</v>
      </c>
      <c r="CZ34" s="7">
        <v>4.8079999999999998</v>
      </c>
      <c r="DA34" s="7"/>
      <c r="DP34" s="1">
        <v>-298.45800000000003</v>
      </c>
      <c r="DQ34" s="1">
        <v>66813</v>
      </c>
      <c r="DR34" s="1"/>
      <c r="DS34" s="1"/>
      <c r="DT34" s="1"/>
      <c r="DU34" s="1">
        <v>17.312000000000001</v>
      </c>
      <c r="DV34" s="1">
        <v>319.95155740000013</v>
      </c>
      <c r="DW34" s="1"/>
      <c r="DX34" s="1"/>
      <c r="DY34" s="1">
        <v>-230.029</v>
      </c>
      <c r="DZ34" s="1"/>
      <c r="EA34" s="1"/>
      <c r="EB34" s="1"/>
      <c r="EC34" s="1"/>
      <c r="ED34" s="1"/>
      <c r="EE34" s="1"/>
      <c r="EF34" s="1">
        <v>-298.45800000000003</v>
      </c>
      <c r="EG34" s="1">
        <v>688.97400000000005</v>
      </c>
      <c r="EH34" s="1">
        <v>-188.85249999999999</v>
      </c>
      <c r="EI34" s="1"/>
      <c r="EJ34" s="1"/>
      <c r="EK34" s="1">
        <v>27.05</v>
      </c>
      <c r="EL34" s="1">
        <v>243.95848829584452</v>
      </c>
      <c r="EM34" s="1">
        <v>-89.533134088986913</v>
      </c>
      <c r="EN34" s="1">
        <v>-2.9228861756526827</v>
      </c>
      <c r="EO34" s="1">
        <v>-3.3679209370424599</v>
      </c>
      <c r="EP34" s="1">
        <v>-42.623249378596086</v>
      </c>
      <c r="EQ34" s="1"/>
      <c r="ER34" s="1">
        <v>-189.918539866071</v>
      </c>
      <c r="ES34" s="1">
        <v>-231.73830798973475</v>
      </c>
      <c r="ET34" s="1">
        <v>-37.893736989537622</v>
      </c>
      <c r="EV34" s="1">
        <v>26755.855909532565</v>
      </c>
      <c r="EW34" s="1">
        <v>6302.213998348192</v>
      </c>
      <c r="EX34" s="1">
        <v>6306.1789321746401</v>
      </c>
      <c r="EY34" s="1">
        <v>7030.5</v>
      </c>
      <c r="EZ34" s="1">
        <v>1832.7609108361646</v>
      </c>
      <c r="FA34" s="1">
        <v>945.28730053545928</v>
      </c>
      <c r="FB34" s="1">
        <v>4778.9924056676691</v>
      </c>
    </row>
    <row r="35" spans="1:158" x14ac:dyDescent="0.2">
      <c r="A35">
        <v>1995</v>
      </c>
      <c r="B35" s="1"/>
      <c r="S35" s="6">
        <v>73579</v>
      </c>
      <c r="T35" s="6">
        <f t="shared" si="0"/>
        <v>62542.15</v>
      </c>
      <c r="AM35" s="6">
        <v>311830</v>
      </c>
      <c r="AS35" s="6">
        <v>2663053.1809999999</v>
      </c>
      <c r="AT35" s="6">
        <v>4126809.7</v>
      </c>
      <c r="BT35" s="3" t="s">
        <v>919</v>
      </c>
      <c r="BU35" s="1"/>
      <c r="BV35" s="1"/>
      <c r="BY35" s="1"/>
      <c r="BZ35" s="1"/>
      <c r="CB35" s="1"/>
      <c r="CC35" s="1"/>
      <c r="CI35" s="7"/>
      <c r="CJ35" s="6"/>
      <c r="CK35" s="6"/>
      <c r="CL35" s="6"/>
      <c r="CM35" s="6"/>
      <c r="CN35" s="6"/>
      <c r="CO35" s="6">
        <v>385420</v>
      </c>
      <c r="CP35" s="6"/>
      <c r="CQ35" s="7"/>
      <c r="CR35" s="6"/>
      <c r="CS35" s="7"/>
      <c r="CT35" s="6"/>
      <c r="CU35" s="7"/>
      <c r="CV35" s="1"/>
      <c r="CW35" s="6">
        <v>2849.2429999999999</v>
      </c>
      <c r="CX35" s="1"/>
      <c r="CY35" s="7">
        <v>295.19</v>
      </c>
      <c r="CZ35" s="7">
        <v>5.665</v>
      </c>
      <c r="DA35" s="7"/>
      <c r="DP35" s="1">
        <v>-430.19400000000002</v>
      </c>
      <c r="DQ35" s="1">
        <v>84072</v>
      </c>
      <c r="DR35" s="1"/>
      <c r="DS35" s="1"/>
      <c r="DT35" s="1"/>
      <c r="DU35" s="1">
        <v>-15.869</v>
      </c>
      <c r="DV35" s="1">
        <v>308.55340400400013</v>
      </c>
      <c r="DW35" s="1"/>
      <c r="DX35" s="1"/>
      <c r="DY35" s="1">
        <v>-225.97399999999999</v>
      </c>
      <c r="DZ35" s="1"/>
      <c r="EA35" s="1"/>
      <c r="EB35" s="1"/>
      <c r="EC35" s="1"/>
      <c r="ED35" s="1"/>
      <c r="EE35" s="1"/>
      <c r="EF35" s="1">
        <v>-430.19400000000002</v>
      </c>
      <c r="EG35" s="1">
        <v>817.58241758241763</v>
      </c>
      <c r="EH35" s="1">
        <v>-276.11790000000002</v>
      </c>
      <c r="EI35" s="1"/>
      <c r="EJ35" s="1"/>
      <c r="EK35" s="1">
        <v>-24.596961068632481</v>
      </c>
      <c r="EL35" s="1">
        <v>268.19070317601052</v>
      </c>
      <c r="EM35" s="1">
        <v>-87.177014808807186</v>
      </c>
      <c r="EN35" s="1">
        <v>1.2300722103657522</v>
      </c>
      <c r="EO35" s="1">
        <v>-3.4642649087843012</v>
      </c>
      <c r="EP35" s="1">
        <v>-48.291054565452562</v>
      </c>
      <c r="EQ35" s="1"/>
      <c r="ER35" s="1">
        <v>-201.32650770253846</v>
      </c>
      <c r="ES35" s="1">
        <v>-248.29638146791677</v>
      </c>
      <c r="ET35" s="1">
        <v>-46.137329869600229</v>
      </c>
      <c r="EV35" s="1">
        <v>29692.820183841126</v>
      </c>
      <c r="EW35" s="1">
        <v>7282.4503269841889</v>
      </c>
      <c r="EX35" s="1">
        <v>7286.8033800750609</v>
      </c>
      <c r="EY35" s="1">
        <v>7359.3</v>
      </c>
      <c r="EZ35" s="1">
        <v>2064.6598749307609</v>
      </c>
      <c r="FA35" s="1">
        <v>1024.4034458773924</v>
      </c>
      <c r="FB35" s="1">
        <v>5264.3802440154959</v>
      </c>
    </row>
    <row r="36" spans="1:158" x14ac:dyDescent="0.2">
      <c r="A36">
        <v>1996</v>
      </c>
      <c r="B36" s="1"/>
      <c r="S36" s="6">
        <v>105029</v>
      </c>
      <c r="T36" s="6">
        <f t="shared" si="0"/>
        <v>89274.65</v>
      </c>
      <c r="AM36" s="6">
        <v>328256</v>
      </c>
      <c r="AS36" s="6">
        <v>3256782.97</v>
      </c>
      <c r="AT36" s="6">
        <v>4661547.6550000003</v>
      </c>
      <c r="BT36" s="3" t="s">
        <v>919</v>
      </c>
      <c r="BU36" s="1"/>
      <c r="BV36" s="1"/>
      <c r="BY36" s="1"/>
      <c r="BZ36" s="1"/>
      <c r="CB36" s="1"/>
      <c r="CC36" s="1"/>
      <c r="CI36" s="7"/>
      <c r="CJ36" s="6"/>
      <c r="CK36" s="6"/>
      <c r="CL36" s="6"/>
      <c r="CM36" s="6"/>
      <c r="CN36" s="6"/>
      <c r="CO36" s="6">
        <v>413691</v>
      </c>
      <c r="CP36" s="6"/>
      <c r="CQ36" s="7"/>
      <c r="CR36" s="6"/>
      <c r="CS36" s="7"/>
      <c r="CT36" s="6"/>
      <c r="CU36" s="7"/>
      <c r="CV36" s="1"/>
      <c r="CW36" s="6">
        <v>3258.8429999999998</v>
      </c>
      <c r="CX36" s="1"/>
      <c r="CY36" s="7">
        <v>302.91899999999998</v>
      </c>
      <c r="CZ36" s="7">
        <v>5.9870000000000001</v>
      </c>
      <c r="DA36" s="7"/>
      <c r="DP36" s="1">
        <v>-463.33800000000002</v>
      </c>
      <c r="DQ36" s="1">
        <v>103359</v>
      </c>
      <c r="DR36" s="1"/>
      <c r="DS36" s="1"/>
      <c r="DT36" s="1"/>
      <c r="DU36" s="1">
        <v>-59.194000000000003</v>
      </c>
      <c r="DV36" s="1">
        <v>409.2151267000001</v>
      </c>
      <c r="DW36" s="1"/>
      <c r="DX36" s="1"/>
      <c r="DY36" s="1">
        <v>-227.762</v>
      </c>
      <c r="DZ36" s="1"/>
      <c r="EA36" s="1"/>
      <c r="EB36" s="1"/>
      <c r="EC36" s="1"/>
      <c r="ED36" s="1"/>
      <c r="EE36" s="1"/>
      <c r="EF36" s="1">
        <v>-463.33800000000002</v>
      </c>
      <c r="EG36" s="1">
        <v>891.02586206896547</v>
      </c>
      <c r="EH36" s="1">
        <v>-202.0265</v>
      </c>
      <c r="EI36" s="1"/>
      <c r="EJ36" s="1"/>
      <c r="EK36" s="1">
        <v>-100.51143773092807</v>
      </c>
      <c r="EL36" s="1">
        <v>303.93280355020801</v>
      </c>
      <c r="EM36" s="1">
        <v>-100.08572260224126</v>
      </c>
      <c r="EN36" s="1">
        <v>5.3830305963841871</v>
      </c>
      <c r="EO36" s="1">
        <v>-3.4050231723725521</v>
      </c>
      <c r="EP36" s="1">
        <v>-42.458864415846577</v>
      </c>
      <c r="EQ36" s="1"/>
      <c r="ER36" s="1">
        <v>-226.54104653207585</v>
      </c>
      <c r="ES36" s="1">
        <v>-235.5463316004674</v>
      </c>
      <c r="ET36" s="1">
        <v>-48.057934272351744</v>
      </c>
      <c r="EV36" s="1">
        <v>30313.420349691944</v>
      </c>
      <c r="EW36" s="1">
        <v>7366.053540366398</v>
      </c>
      <c r="EX36" s="1">
        <v>7370.7822270923562</v>
      </c>
      <c r="EY36" s="1">
        <v>7783.9</v>
      </c>
      <c r="EZ36" s="1">
        <v>2152.6741529612577</v>
      </c>
      <c r="FA36" s="1">
        <v>1086.224277860721</v>
      </c>
      <c r="FB36" s="1">
        <v>4642.5443858241151</v>
      </c>
    </row>
    <row r="37" spans="1:158" x14ac:dyDescent="0.2">
      <c r="A37">
        <v>1997</v>
      </c>
      <c r="B37" s="1"/>
      <c r="S37" s="6">
        <v>139890</v>
      </c>
      <c r="T37" s="6">
        <f t="shared" si="0"/>
        <v>118906.5</v>
      </c>
      <c r="AM37" s="6">
        <v>357044</v>
      </c>
      <c r="AS37" s="6">
        <v>3983134.5419999999</v>
      </c>
      <c r="AT37" s="6">
        <v>5180788.7699999996</v>
      </c>
      <c r="BT37" s="3" t="s">
        <v>919</v>
      </c>
      <c r="BU37" s="1"/>
      <c r="BV37" s="1"/>
      <c r="BY37" s="1"/>
      <c r="BZ37" s="1"/>
      <c r="CB37" s="1"/>
      <c r="CC37" s="1"/>
      <c r="CI37" s="7"/>
      <c r="CJ37" s="6"/>
      <c r="CK37" s="6"/>
      <c r="CL37" s="6"/>
      <c r="CM37" s="6"/>
      <c r="CN37" s="6"/>
      <c r="CO37" s="6">
        <v>502700</v>
      </c>
      <c r="CP37" s="6"/>
      <c r="CQ37" s="7"/>
      <c r="CR37" s="6"/>
      <c r="CS37" s="7"/>
      <c r="CT37" s="6"/>
      <c r="CU37" s="7"/>
      <c r="CV37" s="1"/>
      <c r="CW37" s="6">
        <v>3629.8020000000001</v>
      </c>
      <c r="CX37" s="1"/>
      <c r="CY37" s="7">
        <v>297.279</v>
      </c>
      <c r="CZ37" s="7">
        <v>5.9660000000000002</v>
      </c>
      <c r="DA37" s="7"/>
      <c r="DP37" s="1">
        <v>-786.17399999999998</v>
      </c>
      <c r="DQ37" s="1">
        <v>124587</v>
      </c>
      <c r="DR37" s="1"/>
      <c r="DS37" s="1"/>
      <c r="DT37" s="1"/>
      <c r="DU37" s="1">
        <v>-53.098999999999997</v>
      </c>
      <c r="DV37" s="1">
        <v>401.35573461600006</v>
      </c>
      <c r="DW37" s="1"/>
      <c r="DX37" s="1"/>
      <c r="DY37" s="1">
        <v>-246.24</v>
      </c>
      <c r="DZ37" s="1"/>
      <c r="EA37" s="1"/>
      <c r="EB37" s="1"/>
      <c r="EC37" s="1"/>
      <c r="ED37" s="1"/>
      <c r="EE37" s="1"/>
      <c r="EF37" s="1">
        <v>-786.17399999999998</v>
      </c>
      <c r="EG37" s="1">
        <v>958.73028087726061</v>
      </c>
      <c r="EH37" s="1">
        <v>-67.165949999999995</v>
      </c>
      <c r="EI37" s="1"/>
      <c r="EJ37" s="1"/>
      <c r="EK37" s="1">
        <v>-87.815131609412106</v>
      </c>
      <c r="EL37" s="1">
        <v>275.78900200371061</v>
      </c>
      <c r="EM37" s="1">
        <v>-98.785832169607716</v>
      </c>
      <c r="EN37" s="1">
        <v>9.5359889824026212</v>
      </c>
      <c r="EO37" s="1">
        <v>-3.4114713216957604</v>
      </c>
      <c r="EP37" s="1">
        <v>-41.371187468990932</v>
      </c>
      <c r="EQ37" s="1"/>
      <c r="ER37" s="1">
        <v>-186.76767222149201</v>
      </c>
      <c r="ES37" s="1">
        <v>-208.31380166048555</v>
      </c>
      <c r="ET37" s="1">
        <v>-55.523330129325636</v>
      </c>
      <c r="EV37" s="1">
        <v>30214.893326117621</v>
      </c>
      <c r="EW37" s="1">
        <v>6726.5150522244703</v>
      </c>
      <c r="EX37" s="1">
        <v>6731.5667545513925</v>
      </c>
      <c r="EY37" s="1">
        <v>8278.9</v>
      </c>
      <c r="EZ37" s="1">
        <v>2212.8709905470218</v>
      </c>
      <c r="FA37" s="1">
        <v>1140.0499033813658</v>
      </c>
      <c r="FB37" s="1">
        <v>4261.8420062996474</v>
      </c>
    </row>
    <row r="38" spans="1:158" x14ac:dyDescent="0.2">
      <c r="A38">
        <v>1998</v>
      </c>
      <c r="B38" s="1"/>
      <c r="S38" s="6">
        <v>144959</v>
      </c>
      <c r="T38" s="6">
        <f t="shared" si="0"/>
        <v>123215.15</v>
      </c>
      <c r="AA38" s="6"/>
      <c r="AB38" s="6"/>
      <c r="AE38" s="6"/>
      <c r="AF38" s="6"/>
      <c r="AG38" s="6"/>
      <c r="AH38" s="6"/>
      <c r="AI38" s="6"/>
      <c r="AJ38" s="6"/>
      <c r="AK38" s="6"/>
      <c r="AM38" s="6">
        <v>317395</v>
      </c>
      <c r="AN38" s="6"/>
      <c r="AS38" s="6">
        <v>5134141.9550000001</v>
      </c>
      <c r="AT38" s="6">
        <v>5921642.5630000001</v>
      </c>
      <c r="BT38" s="3" t="s">
        <v>919</v>
      </c>
      <c r="BU38" s="1"/>
      <c r="BV38" s="1"/>
      <c r="BY38" s="1"/>
      <c r="BZ38" s="1"/>
      <c r="CB38" s="1"/>
      <c r="CC38" s="1"/>
      <c r="CI38" s="7"/>
      <c r="CJ38" s="6"/>
      <c r="CK38" s="6"/>
      <c r="CL38" s="6"/>
      <c r="CM38" s="6"/>
      <c r="CN38" s="6"/>
      <c r="CO38" s="6">
        <v>724013</v>
      </c>
      <c r="CP38" s="6"/>
      <c r="CQ38" s="7"/>
      <c r="CR38" s="6"/>
      <c r="CS38" s="7"/>
      <c r="CT38" s="6"/>
      <c r="CU38" s="7"/>
      <c r="CV38" s="1"/>
      <c r="CW38" s="6">
        <v>4411.8720000000003</v>
      </c>
      <c r="CX38" s="1"/>
      <c r="CY38" s="7">
        <v>365.42700000000002</v>
      </c>
      <c r="CZ38" s="7">
        <v>6.01</v>
      </c>
      <c r="DA38" s="7"/>
      <c r="DP38" s="1">
        <v>-858.36300000000006</v>
      </c>
      <c r="DQ38" s="1">
        <v>133273</v>
      </c>
      <c r="DR38" s="1"/>
      <c r="DS38" s="1"/>
      <c r="DT38" s="1"/>
      <c r="DU38" s="1">
        <v>-168.381</v>
      </c>
      <c r="DV38" s="1">
        <v>445.90467149999961</v>
      </c>
      <c r="DW38" s="1"/>
      <c r="DX38" s="1">
        <v>104.036</v>
      </c>
      <c r="DY38" s="1">
        <v>-289.084</v>
      </c>
      <c r="DZ38" s="1">
        <v>-285.29599999999999</v>
      </c>
      <c r="EA38" s="1"/>
      <c r="EB38" s="1"/>
      <c r="EC38" s="1"/>
      <c r="ED38" s="1"/>
      <c r="EE38" s="1"/>
      <c r="EF38" s="1">
        <v>-858.36300000000006</v>
      </c>
      <c r="EG38" s="1">
        <v>1152.8806228373703</v>
      </c>
      <c r="EH38" s="1">
        <v>-392.71820000000002</v>
      </c>
      <c r="EI38" s="1"/>
      <c r="EJ38" s="1"/>
      <c r="EK38" s="1">
        <v>-280.10187276882999</v>
      </c>
      <c r="EL38" s="1">
        <v>323.9409164547763</v>
      </c>
      <c r="EM38" s="1">
        <v>-92.932266468180117</v>
      </c>
      <c r="EN38" s="1">
        <v>13.688947368421054</v>
      </c>
      <c r="EO38" s="1">
        <v>-4.1702827466820551</v>
      </c>
      <c r="EP38" s="1">
        <v>-44.671729429264857</v>
      </c>
      <c r="EQ38" s="1"/>
      <c r="ER38" s="1">
        <v>-195.08005975731601</v>
      </c>
      <c r="ES38" s="1">
        <v>-197.17427800392034</v>
      </c>
      <c r="ET38" s="1">
        <v>-49.404247838616712</v>
      </c>
      <c r="EV38" s="1">
        <v>30076.187744325453</v>
      </c>
      <c r="EW38" s="1">
        <v>6904.5683376288507</v>
      </c>
      <c r="EX38" s="1">
        <v>6910.1665061322265</v>
      </c>
      <c r="EY38" s="1">
        <v>8741</v>
      </c>
      <c r="EZ38" s="1">
        <v>2316.388799913535</v>
      </c>
      <c r="FA38" s="1">
        <v>1073.0587234880702</v>
      </c>
      <c r="FB38" s="1">
        <v>3857.0279431008521</v>
      </c>
    </row>
    <row r="39" spans="1:158" x14ac:dyDescent="0.2">
      <c r="A39">
        <v>1999</v>
      </c>
      <c r="B39" s="1"/>
      <c r="S39" s="6">
        <v>154675</v>
      </c>
      <c r="T39" s="6">
        <f t="shared" si="0"/>
        <v>131473.75</v>
      </c>
      <c r="AA39" s="6"/>
      <c r="AB39" s="6"/>
      <c r="AE39" s="6"/>
      <c r="AF39" s="6"/>
      <c r="AG39" s="6"/>
      <c r="AH39" s="6"/>
      <c r="AI39" s="6"/>
      <c r="AJ39" s="6"/>
      <c r="AK39" s="6"/>
      <c r="AM39" s="6">
        <v>368727</v>
      </c>
      <c r="AN39" s="6"/>
      <c r="AS39" s="6">
        <v>7475199.2439999999</v>
      </c>
      <c r="AT39" s="6">
        <v>6101610.5290000001</v>
      </c>
      <c r="BT39" s="25">
        <v>0.995421</v>
      </c>
      <c r="BU39" s="1"/>
      <c r="BV39" s="1"/>
      <c r="BY39" s="1"/>
      <c r="BZ39" s="1"/>
      <c r="CB39" s="1"/>
      <c r="CC39" s="1"/>
      <c r="CI39" s="7"/>
      <c r="CO39" s="6">
        <v>893295</v>
      </c>
      <c r="CP39" s="6"/>
      <c r="CQ39" s="7"/>
      <c r="CR39" s="6"/>
      <c r="CS39" s="7"/>
      <c r="CT39" s="6"/>
      <c r="CU39" s="7"/>
      <c r="CV39" s="1"/>
      <c r="CW39" s="6">
        <v>5468.9009999999998</v>
      </c>
      <c r="CX39" s="1"/>
      <c r="CY39" s="7">
        <v>372.03199999999998</v>
      </c>
      <c r="CZ39" s="7">
        <v>5.4809999999999999</v>
      </c>
      <c r="DA39" s="7"/>
      <c r="DP39" s="1">
        <v>-731.06799999999998</v>
      </c>
      <c r="DQ39" s="1">
        <v>84735</v>
      </c>
      <c r="DR39" s="1">
        <v>-394.12400000000002</v>
      </c>
      <c r="DS39" s="1">
        <v>-351.154</v>
      </c>
      <c r="DT39" s="1"/>
      <c r="DU39" s="1">
        <v>-188.18700000000001</v>
      </c>
      <c r="DV39" s="1">
        <v>507.17416768875239</v>
      </c>
      <c r="DW39" s="1">
        <v>-733.10134027200002</v>
      </c>
      <c r="DX39" s="1">
        <v>156.874</v>
      </c>
      <c r="DY39" s="1">
        <v>-304.20600000000002</v>
      </c>
      <c r="DZ39" s="1">
        <v>-152.084</v>
      </c>
      <c r="EA39" s="1"/>
      <c r="EB39" s="1"/>
      <c r="EC39" s="1"/>
      <c r="ED39" s="1"/>
      <c r="EE39" s="1"/>
      <c r="EF39" s="1">
        <v>-731.06799999999998</v>
      </c>
      <c r="EG39" s="1">
        <v>829.10958904109589</v>
      </c>
      <c r="EH39" s="1">
        <v>-395.93699550240552</v>
      </c>
      <c r="EI39" s="1">
        <v>-352.76933076557555</v>
      </c>
      <c r="EJ39" s="1"/>
      <c r="EK39" s="1">
        <v>-304.18534281405431</v>
      </c>
      <c r="EL39" s="1">
        <v>317.06312058561667</v>
      </c>
      <c r="EM39" s="1">
        <v>-85.994292114017597</v>
      </c>
      <c r="EN39" s="1">
        <v>19.512905031407424</v>
      </c>
      <c r="EO39" s="1">
        <v>-4.1930530668504487</v>
      </c>
      <c r="EP39" s="1">
        <v>-20.555225171649457</v>
      </c>
      <c r="EQ39" s="1"/>
      <c r="ER39" s="1">
        <v>-218.91022205843325</v>
      </c>
      <c r="ES39" s="1">
        <v>-145.09243268343374</v>
      </c>
      <c r="ET39" s="1">
        <v>-46.330752369611552</v>
      </c>
      <c r="EV39" s="1">
        <v>31204.194358535653</v>
      </c>
      <c r="EW39" s="1">
        <v>6870.3219934104191</v>
      </c>
      <c r="EX39" s="1">
        <v>6876.0274660201503</v>
      </c>
      <c r="EY39" s="1">
        <v>9301</v>
      </c>
      <c r="EZ39" s="1">
        <v>2371.3139072276422</v>
      </c>
      <c r="FA39" s="1">
        <v>1109.0278981519241</v>
      </c>
      <c r="FB39" s="1">
        <v>4368.7347901968978</v>
      </c>
    </row>
    <row r="40" spans="1:158" x14ac:dyDescent="0.2">
      <c r="A40">
        <v>2000</v>
      </c>
      <c r="B40" s="1"/>
      <c r="S40" s="6">
        <v>165574</v>
      </c>
      <c r="T40" s="6">
        <f t="shared" si="0"/>
        <v>140737.9</v>
      </c>
      <c r="AA40" s="6"/>
      <c r="AB40" s="6"/>
      <c r="AE40" s="6"/>
      <c r="AF40" s="6"/>
      <c r="AG40" s="6"/>
      <c r="AH40" s="6">
        <v>165574</v>
      </c>
      <c r="AI40" s="6"/>
      <c r="AJ40" s="6"/>
      <c r="AK40" s="6"/>
      <c r="AM40" s="6">
        <v>399511</v>
      </c>
      <c r="AN40" s="6"/>
      <c r="AS40" s="6">
        <v>7142534.25</v>
      </c>
      <c r="AT40" s="6">
        <v>6769511.0880000005</v>
      </c>
      <c r="BT40" s="25">
        <v>1.0746899999999999</v>
      </c>
      <c r="BU40" s="1"/>
      <c r="BV40" s="1"/>
      <c r="BY40" s="1"/>
      <c r="BZ40" s="1"/>
      <c r="CB40" s="1"/>
      <c r="CC40" s="1"/>
      <c r="CK40" s="6"/>
      <c r="CL40" s="6"/>
      <c r="CM40" s="6"/>
      <c r="CN40" s="6"/>
      <c r="CO40" s="6">
        <v>995949</v>
      </c>
      <c r="CP40" s="6"/>
      <c r="CQ40" s="7"/>
      <c r="CR40" s="6"/>
      <c r="CS40" s="7"/>
      <c r="CT40" s="6"/>
      <c r="CU40" s="7"/>
      <c r="CV40" s="1"/>
      <c r="CW40" s="6">
        <v>6491.1419999999998</v>
      </c>
      <c r="CX40" s="1"/>
      <c r="CY40" s="7">
        <v>373.79500000000002</v>
      </c>
      <c r="CZ40" s="7">
        <v>6.5149999999999997</v>
      </c>
      <c r="DA40" s="7"/>
      <c r="DP40" s="1">
        <v>-1337.0139999999999</v>
      </c>
      <c r="DQ40" s="1">
        <v>133047</v>
      </c>
      <c r="DR40" s="1">
        <v>-494.05099999999999</v>
      </c>
      <c r="DS40" s="1">
        <v>-433.99299999999999</v>
      </c>
      <c r="DT40" s="1"/>
      <c r="DU40" s="1">
        <v>-96.165000000000006</v>
      </c>
      <c r="DV40" s="1">
        <v>467.64454674403925</v>
      </c>
      <c r="DW40" s="1">
        <v>-790.15310119900005</v>
      </c>
      <c r="DX40" s="1">
        <v>304.35399999999998</v>
      </c>
      <c r="DY40" s="1">
        <v>-458.83499999999998</v>
      </c>
      <c r="DZ40" s="1">
        <v>-217.83099999999999</v>
      </c>
      <c r="EA40" s="1"/>
      <c r="EB40" s="1"/>
      <c r="EC40" s="1"/>
      <c r="ED40" s="1">
        <v>-92.673000000000002</v>
      </c>
      <c r="EE40" s="1"/>
      <c r="EF40" s="1">
        <v>-1337.0139999999999</v>
      </c>
      <c r="EG40" s="1">
        <v>1157.9373368146214</v>
      </c>
      <c r="EH40" s="1">
        <v>-459.71489452772431</v>
      </c>
      <c r="EI40" s="1">
        <v>-403.83087215848292</v>
      </c>
      <c r="EJ40" s="1"/>
      <c r="EK40" s="1">
        <v>-143.49751026261245</v>
      </c>
      <c r="EL40" s="1">
        <v>285.75896531869188</v>
      </c>
      <c r="EM40" s="1">
        <v>-82.868704897640271</v>
      </c>
      <c r="EN40" s="1">
        <v>34.396112335424085</v>
      </c>
      <c r="EO40" s="1">
        <v>-5.4171782762691851</v>
      </c>
      <c r="EP40" s="1">
        <v>-27.159279346674147</v>
      </c>
      <c r="EQ40" s="1"/>
      <c r="ER40" s="1">
        <v>-196.89702310045251</v>
      </c>
      <c r="ES40" s="1">
        <v>-108.53764240501262</v>
      </c>
      <c r="ET40" s="1">
        <v>-40.79473871875124</v>
      </c>
      <c r="EV40" s="1">
        <v>32209.707979349881</v>
      </c>
      <c r="EW40" s="1">
        <v>6257.7874403996648</v>
      </c>
      <c r="EX40" s="1">
        <v>6263.46322274464</v>
      </c>
      <c r="EY40" s="1">
        <v>9898.7999999999993</v>
      </c>
      <c r="EZ40" s="1">
        <v>2311.8278183511925</v>
      </c>
      <c r="FA40" s="1">
        <v>1193.2914635686752</v>
      </c>
      <c r="FB40" s="1">
        <v>4667.4483021003934</v>
      </c>
    </row>
    <row r="41" spans="1:158" x14ac:dyDescent="0.2">
      <c r="A41">
        <v>2001</v>
      </c>
      <c r="B41" s="6">
        <v>5200145.0659999996</v>
      </c>
      <c r="C41" s="7">
        <v>17159.837</v>
      </c>
      <c r="D41" s="6">
        <v>7510708.2810000004</v>
      </c>
      <c r="E41" s="7">
        <v>1264645.953</v>
      </c>
      <c r="F41" s="7"/>
      <c r="G41" s="6">
        <v>163954.60998932665</v>
      </c>
      <c r="H41" s="6">
        <v>127700.47952793507</v>
      </c>
      <c r="I41" s="6">
        <v>0</v>
      </c>
      <c r="J41" s="6">
        <v>50817</v>
      </c>
      <c r="K41" s="6"/>
      <c r="L41" s="6"/>
      <c r="M41" s="6">
        <v>3285.6499036673104</v>
      </c>
      <c r="N41" s="6">
        <v>20983.610924179644</v>
      </c>
      <c r="O41" s="6">
        <v>4098.738886720359</v>
      </c>
      <c r="P41" s="6">
        <v>8100.623029315575</v>
      </c>
      <c r="Q41" s="6"/>
      <c r="R41" s="6"/>
      <c r="S41" s="6">
        <v>212165</v>
      </c>
      <c r="T41" s="6">
        <f t="shared" si="0"/>
        <v>180340.25</v>
      </c>
      <c r="U41" s="6"/>
      <c r="V41" s="6">
        <v>65597.003419999994</v>
      </c>
      <c r="W41" s="6">
        <v>63998.503420000001</v>
      </c>
      <c r="X41" s="6">
        <v>146457.20307404661</v>
      </c>
      <c r="Y41" s="6">
        <v>64550.000000000007</v>
      </c>
      <c r="Z41" s="6"/>
      <c r="AA41" s="6">
        <v>64270.600350000001</v>
      </c>
      <c r="AB41" s="6">
        <v>22816.285639999998</v>
      </c>
      <c r="AC41" s="6">
        <v>48665.908439999999</v>
      </c>
      <c r="AD41" s="6">
        <v>24863.453600000001</v>
      </c>
      <c r="AE41" s="6"/>
      <c r="AF41" s="6">
        <v>1401975.5889999999</v>
      </c>
      <c r="AG41" s="6">
        <f t="shared" ref="AG41:AG48" si="1">AH41+W41</f>
        <v>276163.50342000002</v>
      </c>
      <c r="AH41" s="6">
        <v>212165</v>
      </c>
      <c r="AI41" s="6">
        <v>2049580</v>
      </c>
      <c r="AJ41" s="6">
        <v>2520.3834689999999</v>
      </c>
      <c r="AK41" s="6">
        <v>186508.3866</v>
      </c>
      <c r="AL41" s="6">
        <f>AJ41+AK41</f>
        <v>189028.77006899999</v>
      </c>
      <c r="AM41" s="6">
        <v>392333</v>
      </c>
      <c r="AN41" s="23"/>
      <c r="AO41" s="6">
        <v>126572</v>
      </c>
      <c r="AP41" s="23"/>
      <c r="AQ41" s="6">
        <v>5566195.5264299</v>
      </c>
      <c r="AR41" s="6">
        <v>7578168.8669340014</v>
      </c>
      <c r="AS41" s="6">
        <v>6369717.4809999997</v>
      </c>
      <c r="AT41" s="6">
        <v>7685743.9819999998</v>
      </c>
      <c r="AU41" s="6">
        <v>6635.1042764050799</v>
      </c>
      <c r="AV41" s="6">
        <v>258296.17430906103</v>
      </c>
      <c r="AW41" s="6">
        <v>34081.697370000002</v>
      </c>
      <c r="AX41" s="6">
        <v>208226.17310000001</v>
      </c>
      <c r="AY41" s="6">
        <v>35250.97</v>
      </c>
      <c r="AZ41" s="6">
        <v>5.817227941006422</v>
      </c>
      <c r="BA41" s="6"/>
      <c r="BB41" s="6">
        <f t="shared" ref="BB41:BB48" si="2">((AS41+AT41)*0.085)/(1-0.085)</f>
        <v>1305698.6058524591</v>
      </c>
      <c r="BC41" s="6">
        <v>421188.67330000002</v>
      </c>
      <c r="BD41" s="6">
        <v>501371.45689999999</v>
      </c>
      <c r="BE41" s="6"/>
      <c r="BF41" s="6"/>
      <c r="BG41" s="6"/>
      <c r="BH41" s="6"/>
      <c r="BI41" s="6">
        <v>279225</v>
      </c>
      <c r="BJ41" s="6">
        <v>83942.9</v>
      </c>
      <c r="BK41" s="23">
        <f>BI41/(BI41+BJ41)</f>
        <v>0.7688592521530675</v>
      </c>
      <c r="BL41" s="33">
        <f>BL42</f>
        <v>0.798764287485769</v>
      </c>
      <c r="BM41" s="23"/>
      <c r="BN41" s="6">
        <f>BB41*BK41</f>
        <v>1003898.4536330246</v>
      </c>
      <c r="BO41" s="6">
        <f>BB41-BN41</f>
        <v>301800.1522194345</v>
      </c>
      <c r="BP41" s="6"/>
      <c r="BQ41" s="6">
        <v>313617.8</v>
      </c>
      <c r="BR41" s="6">
        <v>430917.3</v>
      </c>
      <c r="BS41" s="6"/>
      <c r="BT41" s="26">
        <v>1.13469</v>
      </c>
      <c r="BU41" s="1"/>
      <c r="BV41" s="1"/>
      <c r="BW41" s="6">
        <v>48363.68</v>
      </c>
      <c r="BX41" s="23">
        <f t="shared" ref="BX41:BX48" si="3">BW41/AS41</f>
        <v>7.5927511925391157E-3</v>
      </c>
      <c r="BY41" s="6">
        <v>392133.5</v>
      </c>
      <c r="BZ41" s="23">
        <f t="shared" ref="BZ41:BZ48" si="4">BY41/AT41</f>
        <v>5.1020890224599734E-2</v>
      </c>
      <c r="CA41" s="1">
        <v>17770</v>
      </c>
      <c r="CB41" s="6">
        <v>711294.8</v>
      </c>
      <c r="CC41" s="7">
        <v>275772.24315305799</v>
      </c>
      <c r="CD41" s="6">
        <v>317107.8</v>
      </c>
      <c r="CE41" s="7">
        <v>3432.1552467264401</v>
      </c>
      <c r="CF41" s="7"/>
      <c r="CG41" s="27">
        <f>(CD41-CE41)/(CB41-CC41+CD41-CE41)</f>
        <v>0.41868179085760276</v>
      </c>
      <c r="CH41" s="6"/>
      <c r="CI41" s="6">
        <v>5478835.7280000001</v>
      </c>
      <c r="CJ41" s="6">
        <v>5945148.8190000001</v>
      </c>
      <c r="CK41" s="6"/>
      <c r="CL41" s="6"/>
      <c r="CM41" s="6"/>
      <c r="CN41" s="6"/>
      <c r="CO41" s="6">
        <v>975775</v>
      </c>
      <c r="CP41" s="6">
        <v>791616.26809999801</v>
      </c>
      <c r="CQ41" s="29"/>
      <c r="CR41" s="6">
        <v>58667.199999999997</v>
      </c>
      <c r="CS41" s="7">
        <v>105241.47595894111</v>
      </c>
      <c r="CT41" s="6">
        <v>129497.08797994282</v>
      </c>
      <c r="CU41" s="7"/>
      <c r="CV41" s="1"/>
      <c r="CW41" s="6">
        <v>7597.4269999999997</v>
      </c>
      <c r="CX41" s="1"/>
      <c r="CY41" s="7">
        <v>377.77100000000002</v>
      </c>
      <c r="CZ41" s="7">
        <v>4.9029999999999996</v>
      </c>
      <c r="DA41" s="7">
        <v>275772.24315305799</v>
      </c>
      <c r="DB41">
        <f>(DA41/1000)/(CY41+CZ41)</f>
        <v>0.72064536172579796</v>
      </c>
      <c r="DC41">
        <v>3432.1552467264401</v>
      </c>
      <c r="DE41">
        <v>9668.5804000000007</v>
      </c>
      <c r="DF41">
        <v>7372.7634630000002</v>
      </c>
      <c r="DH41">
        <v>1316321</v>
      </c>
      <c r="DI41" s="240">
        <f>(DH41/1000)/'Table A2'!M20</f>
        <v>0.18471397827932082</v>
      </c>
      <c r="DJ41" s="1">
        <f>'Table A2'!M20-RawDataSources!DH41/1000</f>
        <v>5809.9453078453398</v>
      </c>
      <c r="DK41">
        <v>31825.7160626697</v>
      </c>
      <c r="DL41" s="240">
        <f>DJ41/DK41</f>
        <v>0.18255505379375186</v>
      </c>
      <c r="DM41" s="240">
        <f>'Table A2'!M20/RawDataSources!DK41</f>
        <v>0.22391534863858623</v>
      </c>
      <c r="DP41" s="1">
        <v>-1875.0319999999999</v>
      </c>
      <c r="DQ41" s="1">
        <v>179257</v>
      </c>
      <c r="DR41" s="1">
        <v>-384.24900000000002</v>
      </c>
      <c r="DS41" s="1">
        <v>-379.26499999999999</v>
      </c>
      <c r="DT41" s="1"/>
      <c r="DU41" s="1">
        <v>-136.54499999999999</v>
      </c>
      <c r="DV41" s="1">
        <v>542.66595709318938</v>
      </c>
      <c r="DW41" s="1">
        <v>-586.80571076800004</v>
      </c>
      <c r="DX41" s="1">
        <v>453.49400000000003</v>
      </c>
      <c r="DY41" s="1">
        <v>-600.58000000000004</v>
      </c>
      <c r="DZ41" s="1">
        <v>-220.536</v>
      </c>
      <c r="EA41" s="1"/>
      <c r="EB41" s="1">
        <v>-340.63600000000002</v>
      </c>
      <c r="EC41" s="1"/>
      <c r="ED41" s="1">
        <v>-91.010999999999996</v>
      </c>
      <c r="EE41" s="1"/>
      <c r="EF41" s="1">
        <v>-1875.0319999999999</v>
      </c>
      <c r="EG41" s="1">
        <v>1360.0682852807283</v>
      </c>
      <c r="EH41" s="1">
        <v>-338.63786584882217</v>
      </c>
      <c r="EI41" s="1">
        <v>-334.24547673813993</v>
      </c>
      <c r="EJ41" s="1"/>
      <c r="EK41" s="1">
        <v>-198.04486087038498</v>
      </c>
      <c r="EL41" s="1">
        <v>323.53541828724104</v>
      </c>
      <c r="EM41" s="1">
        <v>-55.008737826857278</v>
      </c>
      <c r="EN41" s="1">
        <v>50.323361001376007</v>
      </c>
      <c r="EO41" s="1">
        <v>-5.8337056823700824</v>
      </c>
      <c r="EP41" s="1">
        <v>-26.224626910042215</v>
      </c>
      <c r="EQ41" s="1"/>
      <c r="ER41" s="1">
        <v>-173.92876108002125</v>
      </c>
      <c r="ES41" s="1">
        <v>-90.051072753987398</v>
      </c>
      <c r="ET41" s="1">
        <v>-37.815052726925217</v>
      </c>
      <c r="EV41" s="1">
        <v>32008.721297934149</v>
      </c>
      <c r="EW41" s="1">
        <v>6344.840234893546</v>
      </c>
      <c r="EX41" s="1">
        <v>6351.0803161338918</v>
      </c>
      <c r="EY41" s="1">
        <v>10233.9</v>
      </c>
      <c r="EZ41" s="1">
        <v>2292.5622731839412</v>
      </c>
      <c r="FA41" s="1">
        <v>1148.5393001535244</v>
      </c>
      <c r="FB41" s="1">
        <v>4095.4842839851262</v>
      </c>
    </row>
    <row r="42" spans="1:158" x14ac:dyDescent="0.2">
      <c r="A42">
        <v>2002</v>
      </c>
      <c r="B42" s="6">
        <v>4796367.4579999996</v>
      </c>
      <c r="C42" s="7">
        <v>14372.87772</v>
      </c>
      <c r="D42" s="6">
        <v>9319484.3239999991</v>
      </c>
      <c r="E42" s="7">
        <v>1414728.2390000001</v>
      </c>
      <c r="F42" s="7"/>
      <c r="G42" s="6">
        <v>197163.52055506036</v>
      </c>
      <c r="H42" s="6">
        <v>174004.3923627343</v>
      </c>
      <c r="I42" s="6">
        <v>5068.6639999999998</v>
      </c>
      <c r="J42" s="6">
        <v>50125.806000000004</v>
      </c>
      <c r="K42" s="6"/>
      <c r="L42" s="6"/>
      <c r="M42" s="6">
        <v>2600.9193219685872</v>
      </c>
      <c r="N42" s="6">
        <v>16610.619115704831</v>
      </c>
      <c r="O42" s="6">
        <v>6223.1687399356651</v>
      </c>
      <c r="P42" s="6">
        <v>21325.889922513561</v>
      </c>
      <c r="Q42" s="6"/>
      <c r="R42" s="6"/>
      <c r="S42" s="6">
        <v>286407</v>
      </c>
      <c r="T42" s="6">
        <f t="shared" si="0"/>
        <v>243445.94999999998</v>
      </c>
      <c r="U42" s="6"/>
      <c r="V42" s="6">
        <v>73526.259160000001</v>
      </c>
      <c r="W42" s="6">
        <v>71894.859129999997</v>
      </c>
      <c r="X42" s="6">
        <v>136918.37444396169</v>
      </c>
      <c r="Y42" s="6">
        <v>55686.764705882357</v>
      </c>
      <c r="Z42" s="6"/>
      <c r="AA42" s="6">
        <v>61038.057099999998</v>
      </c>
      <c r="AB42" s="6">
        <v>40063.161800000002</v>
      </c>
      <c r="AC42" s="6">
        <v>45229.84057</v>
      </c>
      <c r="AD42" s="6">
        <v>24650.145390000001</v>
      </c>
      <c r="AE42" s="6"/>
      <c r="AF42" s="6">
        <v>1599989.273</v>
      </c>
      <c r="AG42" s="6">
        <f t="shared" si="1"/>
        <v>358301.85913</v>
      </c>
      <c r="AH42" s="6">
        <v>286407</v>
      </c>
      <c r="AI42" s="6">
        <v>2407978</v>
      </c>
      <c r="AJ42" s="6">
        <v>3072.0125170000001</v>
      </c>
      <c r="AK42" s="6">
        <v>227328.91690000001</v>
      </c>
      <c r="AL42" s="6">
        <f t="shared" ref="AL42:AL48" si="5">AJ42+AK42</f>
        <v>230400.92941700001</v>
      </c>
      <c r="AM42" s="6">
        <v>421930</v>
      </c>
      <c r="AN42" s="23"/>
      <c r="AO42" s="6">
        <v>166046</v>
      </c>
      <c r="AP42" s="23"/>
      <c r="AQ42" s="6">
        <v>5789663.0164710004</v>
      </c>
      <c r="AR42" s="6">
        <v>9443276.0894499999</v>
      </c>
      <c r="AS42" s="6">
        <v>5863230.0580000002</v>
      </c>
      <c r="AT42" s="6">
        <v>9468988.4780000001</v>
      </c>
      <c r="AU42" s="6">
        <v>8176.6734457595012</v>
      </c>
      <c r="AV42" s="6">
        <v>318307.50228366518</v>
      </c>
      <c r="AW42" s="6">
        <v>39650.185519999999</v>
      </c>
      <c r="AX42" s="6">
        <v>158768.68350000001</v>
      </c>
      <c r="AY42" s="6">
        <v>30838.86</v>
      </c>
      <c r="AZ42" s="6">
        <v>-67.051796663552523</v>
      </c>
      <c r="BA42" s="6"/>
      <c r="BB42" s="6">
        <f t="shared" si="2"/>
        <v>1424304.4541639343</v>
      </c>
      <c r="BC42" s="6">
        <v>437112.45289999997</v>
      </c>
      <c r="BD42" s="6">
        <v>624972.56059999997</v>
      </c>
      <c r="BE42" s="6"/>
      <c r="BF42" s="6">
        <v>849537</v>
      </c>
      <c r="BG42" s="6">
        <v>133401</v>
      </c>
      <c r="BH42" s="23">
        <f>BF42/(BF42+BG42)</f>
        <v>0.86428340342931087</v>
      </c>
      <c r="BI42" s="6">
        <v>343771</v>
      </c>
      <c r="BJ42" s="6">
        <v>125064</v>
      </c>
      <c r="BK42" s="23">
        <f t="shared" ref="BK42:BK48" si="6">BI42/(BI42+BJ42)</f>
        <v>0.73324517154222701</v>
      </c>
      <c r="BL42" s="23">
        <f>(BK42+BH42)/2</f>
        <v>0.798764287485769</v>
      </c>
      <c r="BM42" s="23"/>
      <c r="BN42" s="6">
        <f t="shared" ref="BN42:BN48" si="7">BB42*BK42</f>
        <v>1044364.3638217921</v>
      </c>
      <c r="BO42" s="6">
        <f t="shared" ref="BO42:BO48" si="8">BB42-BN42</f>
        <v>379940.09034214227</v>
      </c>
      <c r="BP42" s="6"/>
      <c r="BQ42" s="6">
        <v>319261.5</v>
      </c>
      <c r="BR42" s="6">
        <v>552604.1</v>
      </c>
      <c r="BS42" s="6"/>
      <c r="BT42" s="26">
        <v>0.95356200000000002</v>
      </c>
      <c r="BU42" s="1"/>
      <c r="BV42" s="1"/>
      <c r="BW42" s="6">
        <v>47410.89</v>
      </c>
      <c r="BX42" s="23">
        <f t="shared" si="3"/>
        <v>8.0861384477504666E-3</v>
      </c>
      <c r="BY42" s="6">
        <v>392907.4</v>
      </c>
      <c r="BZ42" s="23">
        <f t="shared" si="4"/>
        <v>4.1494125894531476E-2</v>
      </c>
      <c r="CA42" s="1">
        <v>12433.05</v>
      </c>
      <c r="CB42" s="6">
        <v>886927.4</v>
      </c>
      <c r="CC42" s="7">
        <v>328966.92068880401</v>
      </c>
      <c r="CD42" s="6">
        <v>328513.5</v>
      </c>
      <c r="CE42" s="7">
        <v>9041.2327233983706</v>
      </c>
      <c r="CF42" s="7"/>
      <c r="CG42" s="27">
        <f t="shared" ref="CG42:CG47" si="9">(CD42-CE42)/(CB42-CC42+CD42-CE42)</f>
        <v>0.36409886514833262</v>
      </c>
      <c r="CH42" s="6"/>
      <c r="CI42" s="6">
        <v>4962863.5439999998</v>
      </c>
      <c r="CJ42" s="6">
        <v>7457226.9129999997</v>
      </c>
      <c r="CK42" s="6"/>
      <c r="CL42" s="6"/>
      <c r="CM42" s="6"/>
      <c r="CN42" s="6"/>
      <c r="CO42" s="6">
        <v>1079630</v>
      </c>
      <c r="CP42" s="6">
        <v>897831.92059999995</v>
      </c>
      <c r="CQ42" s="29"/>
      <c r="CR42" s="6">
        <v>69494.2</v>
      </c>
      <c r="CS42" s="7">
        <v>120377.76907572703</v>
      </c>
      <c r="CT42" s="6">
        <v>122869.93455374474</v>
      </c>
      <c r="CU42" s="7"/>
      <c r="CV42" s="1"/>
      <c r="CW42" s="6">
        <v>9272.152</v>
      </c>
      <c r="CX42" s="1"/>
      <c r="CY42" s="7">
        <v>431.43599999999998</v>
      </c>
      <c r="CZ42" s="7">
        <v>5.0330000000000004</v>
      </c>
      <c r="DA42" s="7">
        <v>328966.92068880401</v>
      </c>
      <c r="DB42">
        <f t="shared" ref="DB42:DB48" si="10">(DA42/1000)/(CY42+CZ42)</f>
        <v>0.75370053930245684</v>
      </c>
      <c r="DC42">
        <v>9041.2327233983706</v>
      </c>
      <c r="DE42">
        <v>9467.5302030000003</v>
      </c>
      <c r="DF42">
        <v>7884.8847130000004</v>
      </c>
      <c r="DH42">
        <v>1579585</v>
      </c>
      <c r="DI42" s="240">
        <f>(DH42/1000)/'Table A2'!M21</f>
        <v>0.23664549305249971</v>
      </c>
      <c r="DJ42" s="1">
        <f>'Table A2'!M21-RawDataSources!DH42/1000</f>
        <v>5095.314993339699</v>
      </c>
      <c r="DK42">
        <v>33086.9862394804</v>
      </c>
      <c r="DL42" s="240">
        <f t="shared" ref="DL42:DL48" si="11">DJ42/DK42</f>
        <v>0.15399755530649734</v>
      </c>
      <c r="DM42" s="240">
        <f>'Table A2'!M21/RawDataSources!DK42</f>
        <v>0.20173792635652638</v>
      </c>
      <c r="DP42" s="1">
        <v>-2044.6310000000001</v>
      </c>
      <c r="DQ42" s="1">
        <v>175308</v>
      </c>
      <c r="DR42" s="1">
        <v>-697.65200000000004</v>
      </c>
      <c r="DS42" s="1">
        <v>-692.68299999999999</v>
      </c>
      <c r="DT42" s="1"/>
      <c r="DU42" s="1">
        <v>-120.005</v>
      </c>
      <c r="DV42" s="1">
        <v>544.53206878423032</v>
      </c>
      <c r="DW42" s="1">
        <v>-540.08573639600002</v>
      </c>
      <c r="DX42" s="1">
        <v>452.77</v>
      </c>
      <c r="DY42" s="1">
        <v>-562.03</v>
      </c>
      <c r="DZ42" s="1">
        <v>-225.33099999999999</v>
      </c>
      <c r="EA42" s="1"/>
      <c r="EB42" s="1">
        <v>-389.08499999999998</v>
      </c>
      <c r="EC42" s="1"/>
      <c r="ED42" s="1">
        <v>-99.695999999999998</v>
      </c>
      <c r="EE42" s="1"/>
      <c r="EF42" s="1">
        <v>-2044.6310000000001</v>
      </c>
      <c r="EG42" s="1">
        <v>1462.1184320266889</v>
      </c>
      <c r="EH42" s="1">
        <v>-731.62730897414122</v>
      </c>
      <c r="EI42" s="1">
        <v>-726.41632112017885</v>
      </c>
      <c r="EJ42" s="1"/>
      <c r="EK42" s="1">
        <v>-193.42417443554731</v>
      </c>
      <c r="EL42" s="1">
        <v>392.65364060010836</v>
      </c>
      <c r="EM42" s="1">
        <v>-61.199516872067996</v>
      </c>
      <c r="EN42" s="1">
        <v>64.999928219705126</v>
      </c>
      <c r="EO42" s="1">
        <v>-6.9748076445768179</v>
      </c>
      <c r="EP42" s="1">
        <v>-31.816525938267766</v>
      </c>
      <c r="EQ42" s="1"/>
      <c r="ER42" s="1">
        <v>-220.29997282239435</v>
      </c>
      <c r="ES42" s="1">
        <v>-120.0134567618682</v>
      </c>
      <c r="ET42" s="1">
        <v>-52.489812250571248</v>
      </c>
      <c r="EV42" s="1">
        <v>33273.921991935087</v>
      </c>
      <c r="EW42" s="1">
        <v>6907.6270016128265</v>
      </c>
      <c r="EX42" s="1">
        <v>6914.9514787916978</v>
      </c>
      <c r="EY42" s="1">
        <v>10590.2</v>
      </c>
      <c r="EZ42" s="1">
        <v>2516.3529748040246</v>
      </c>
      <c r="FA42" s="1">
        <v>1197.170783706656</v>
      </c>
      <c r="FB42" s="1">
        <v>3918.3350878871979</v>
      </c>
    </row>
    <row r="43" spans="1:158" x14ac:dyDescent="0.2">
      <c r="A43">
        <v>2003</v>
      </c>
      <c r="B43" s="6">
        <v>6949998.5630000001</v>
      </c>
      <c r="C43" s="7">
        <v>26814.457139999999</v>
      </c>
      <c r="D43" s="6">
        <v>12096517.390000001</v>
      </c>
      <c r="E43" s="7">
        <v>1822968.8160000001</v>
      </c>
      <c r="F43" s="7"/>
      <c r="G43" s="6">
        <v>334216.91337611544</v>
      </c>
      <c r="H43" s="6">
        <v>221607.99084308516</v>
      </c>
      <c r="I43" s="6">
        <v>5282.11</v>
      </c>
      <c r="J43" s="6">
        <v>57083.775999999998</v>
      </c>
      <c r="K43" s="6"/>
      <c r="L43" s="6"/>
      <c r="M43" s="6">
        <v>5160.6156364380731</v>
      </c>
      <c r="N43" s="6">
        <v>32957.969905249833</v>
      </c>
      <c r="O43" s="6">
        <v>3739.2521293851205</v>
      </c>
      <c r="P43" s="6">
        <v>17195.658217984426</v>
      </c>
      <c r="Q43" s="6"/>
      <c r="R43" s="6"/>
      <c r="S43" s="6">
        <v>403251</v>
      </c>
      <c r="T43" s="6">
        <f t="shared" si="0"/>
        <v>342763.35</v>
      </c>
      <c r="U43" s="6"/>
      <c r="V43" s="6">
        <v>77677.754639999999</v>
      </c>
      <c r="W43" s="6">
        <v>76003.954589999994</v>
      </c>
      <c r="X43" s="6">
        <v>166651.20851911593</v>
      </c>
      <c r="Y43" s="6">
        <v>87266.666666666672</v>
      </c>
      <c r="Z43" s="6"/>
      <c r="AA43" s="6">
        <v>94136.950450000004</v>
      </c>
      <c r="AB43" s="6">
        <v>69467.652820000003</v>
      </c>
      <c r="AC43" s="6">
        <v>68767.411189999999</v>
      </c>
      <c r="AD43" s="6">
        <v>39474.404340000001</v>
      </c>
      <c r="AE43" s="6"/>
      <c r="AF43" s="6">
        <v>2046154.2549999999</v>
      </c>
      <c r="AG43" s="6">
        <f t="shared" si="1"/>
        <v>479254.95458999998</v>
      </c>
      <c r="AH43" s="6">
        <v>403251</v>
      </c>
      <c r="AI43" s="6">
        <v>3025071</v>
      </c>
      <c r="AJ43" s="6">
        <v>3891.7147060000002</v>
      </c>
      <c r="AK43" s="6">
        <v>287986.91749999998</v>
      </c>
      <c r="AL43" s="6">
        <f t="shared" si="5"/>
        <v>291878.63220599998</v>
      </c>
      <c r="AM43" s="6">
        <v>582832</v>
      </c>
      <c r="AN43" s="23"/>
      <c r="AO43" s="6">
        <v>211139</v>
      </c>
      <c r="AP43" s="23"/>
      <c r="AQ43" s="6">
        <v>8135375.5651740003</v>
      </c>
      <c r="AR43" s="6">
        <v>12120970.364914</v>
      </c>
      <c r="AS43" s="6">
        <v>8339688.3739999998</v>
      </c>
      <c r="AT43" s="6">
        <v>12143053.65</v>
      </c>
      <c r="AU43" s="6">
        <v>10898.422008522728</v>
      </c>
      <c r="AV43" s="6">
        <v>424261.71368813515</v>
      </c>
      <c r="AW43" s="6">
        <v>62790.863550000002</v>
      </c>
      <c r="AX43" s="6">
        <v>205820.69829999999</v>
      </c>
      <c r="AY43" s="6">
        <v>48311.37</v>
      </c>
      <c r="AZ43" s="6">
        <v>-1166.4188611339778</v>
      </c>
      <c r="BA43" s="6"/>
      <c r="BB43" s="6">
        <f t="shared" si="2"/>
        <v>1902768.3847431696</v>
      </c>
      <c r="BC43" s="6">
        <v>636998.42070000002</v>
      </c>
      <c r="BD43" s="6">
        <v>815535.33810000005</v>
      </c>
      <c r="BE43" s="6"/>
      <c r="BF43" s="6">
        <v>1143410</v>
      </c>
      <c r="BG43" s="6">
        <v>193739</v>
      </c>
      <c r="BH43" s="23">
        <f t="shared" ref="BH43:BH48" si="12">BF43/(BF43+BG43)</f>
        <v>0.8551103878475772</v>
      </c>
      <c r="BI43" s="6">
        <v>481712</v>
      </c>
      <c r="BJ43" s="6">
        <v>203087</v>
      </c>
      <c r="BK43" s="23">
        <f t="shared" si="6"/>
        <v>0.70343560665246296</v>
      </c>
      <c r="BL43" s="23">
        <f t="shared" ref="BL43:BL48" si="13">(BK43+BH43)/2</f>
        <v>0.77927299725002008</v>
      </c>
      <c r="BM43" s="23"/>
      <c r="BN43" s="6">
        <f t="shared" si="7"/>
        <v>1338475.0330409387</v>
      </c>
      <c r="BO43" s="6">
        <f t="shared" si="8"/>
        <v>564293.35170223098</v>
      </c>
      <c r="BP43" s="6"/>
      <c r="BQ43" s="6">
        <v>462497.6</v>
      </c>
      <c r="BR43" s="6">
        <v>714139.6</v>
      </c>
      <c r="BS43" s="6"/>
      <c r="BT43" s="26">
        <v>0.79176599999999997</v>
      </c>
      <c r="BU43" s="1"/>
      <c r="BV43" s="1"/>
      <c r="BW43" s="6">
        <v>82134.559999999998</v>
      </c>
      <c r="BX43" s="23">
        <f t="shared" si="3"/>
        <v>9.8486365816814626E-3</v>
      </c>
      <c r="BY43" s="6">
        <v>508326.2</v>
      </c>
      <c r="BZ43" s="23">
        <f t="shared" si="4"/>
        <v>4.1861480205187103E-2</v>
      </c>
      <c r="CA43" s="1">
        <v>17308.95</v>
      </c>
      <c r="CB43" s="6">
        <v>1099263</v>
      </c>
      <c r="CC43" s="7">
        <v>377343.704705165</v>
      </c>
      <c r="CD43" s="6">
        <v>470822.5</v>
      </c>
      <c r="CE43" s="7">
        <v>8203.5311928072988</v>
      </c>
      <c r="CF43" s="7"/>
      <c r="CG43" s="27">
        <f t="shared" si="9"/>
        <v>0.3905479314827317</v>
      </c>
      <c r="CH43" s="6"/>
      <c r="CI43" s="6">
        <v>7202313.3779999996</v>
      </c>
      <c r="CJ43" s="6">
        <v>9926881.7080000006</v>
      </c>
      <c r="CK43" s="6"/>
      <c r="CL43" s="6"/>
      <c r="CM43" s="6"/>
      <c r="CN43" s="6"/>
      <c r="CO43" s="6">
        <v>1381820</v>
      </c>
      <c r="CP43" s="6">
        <v>1205126.814</v>
      </c>
      <c r="CQ43" s="29"/>
      <c r="CR43" s="6">
        <v>91108.9</v>
      </c>
      <c r="CS43" s="7">
        <v>149743.24553151458</v>
      </c>
      <c r="CT43" s="6">
        <v>170068.65964879547</v>
      </c>
      <c r="CU43" s="7"/>
      <c r="CV43" s="1"/>
      <c r="CW43" s="6">
        <v>11702.099</v>
      </c>
      <c r="CX43" s="1"/>
      <c r="CY43" s="7">
        <v>500.029</v>
      </c>
      <c r="CZ43" s="7">
        <v>5.9210000000000003</v>
      </c>
      <c r="DA43" s="7">
        <v>377343.704705165</v>
      </c>
      <c r="DB43">
        <f t="shared" si="10"/>
        <v>0.74581224371017896</v>
      </c>
      <c r="DC43">
        <v>8203.5311928072988</v>
      </c>
      <c r="DE43">
        <v>9396.5395750000007</v>
      </c>
      <c r="DF43">
        <v>9795.3753730000008</v>
      </c>
      <c r="DH43">
        <v>2186310</v>
      </c>
      <c r="DI43" s="240">
        <f>(DH43/1000)/'Table A2'!M22</f>
        <v>0.23048119008403681</v>
      </c>
      <c r="DJ43" s="1">
        <f>'Table A2'!M22-RawDataSources!DH43/1000</f>
        <v>7299.5400131956085</v>
      </c>
      <c r="DK43">
        <v>37234.777332865204</v>
      </c>
      <c r="DL43" s="240">
        <f t="shared" si="11"/>
        <v>0.19604092023809913</v>
      </c>
      <c r="DM43" s="240">
        <f>'Table A2'!M22/RawDataSources!DK43</f>
        <v>0.25475780151431016</v>
      </c>
      <c r="DP43" s="1">
        <v>-2093.7939999999999</v>
      </c>
      <c r="DQ43" s="1">
        <v>172818</v>
      </c>
      <c r="DR43" s="1">
        <v>-766.75699999999995</v>
      </c>
      <c r="DS43" s="1">
        <v>-764.45500000000004</v>
      </c>
      <c r="DT43" s="1"/>
      <c r="DU43" s="1">
        <v>-117.15</v>
      </c>
      <c r="DV43" s="1">
        <v>568.13240488586564</v>
      </c>
      <c r="DW43" s="1">
        <v>-501.12754887300002</v>
      </c>
      <c r="DX43" s="1">
        <v>670.30700000000002</v>
      </c>
      <c r="DY43" s="1">
        <v>-546.53099999999995</v>
      </c>
      <c r="DZ43" s="1">
        <v>-136.81399999999999</v>
      </c>
      <c r="EA43" s="1"/>
      <c r="EB43" s="1">
        <v>-429.24</v>
      </c>
      <c r="EC43" s="1"/>
      <c r="ED43" s="1">
        <v>-103.771</v>
      </c>
      <c r="EE43" s="1"/>
      <c r="EF43" s="1">
        <v>-2093.7939999999999</v>
      </c>
      <c r="EG43" s="1">
        <v>1613.6134453781513</v>
      </c>
      <c r="EH43" s="1">
        <v>-968.41364746654938</v>
      </c>
      <c r="EI43" s="1">
        <v>-965.50622279815002</v>
      </c>
      <c r="EJ43" s="1"/>
      <c r="EK43" s="1">
        <v>-209.07770230476268</v>
      </c>
      <c r="EL43" s="1">
        <v>459.31959324590963</v>
      </c>
      <c r="EM43" s="1">
        <v>-69.705606864880664</v>
      </c>
      <c r="EN43" s="1">
        <v>100.34535928143713</v>
      </c>
      <c r="EO43" s="1">
        <v>-7.698704042822933</v>
      </c>
      <c r="EP43" s="1">
        <v>-22.96461662414395</v>
      </c>
      <c r="EQ43" s="1"/>
      <c r="ER43" s="1">
        <v>-321.93080482701208</v>
      </c>
      <c r="ES43" s="1">
        <v>-136.49626492712727</v>
      </c>
      <c r="ET43" s="1">
        <v>-67.45121745121746</v>
      </c>
      <c r="EV43" s="1">
        <v>37447.356905509871</v>
      </c>
      <c r="EW43" s="1">
        <v>8534.8498634443986</v>
      </c>
      <c r="EX43" s="1">
        <v>8544.6952136074997</v>
      </c>
      <c r="EY43" s="1">
        <v>11089.2</v>
      </c>
      <c r="EZ43" s="1">
        <v>2949.262846941795</v>
      </c>
      <c r="FA43" s="1">
        <v>1420.8828262170227</v>
      </c>
      <c r="FB43" s="1">
        <v>4229.096852937244</v>
      </c>
    </row>
    <row r="44" spans="1:158" x14ac:dyDescent="0.2">
      <c r="A44">
        <v>2004</v>
      </c>
      <c r="B44" s="6">
        <v>8705258.9069999997</v>
      </c>
      <c r="C44" s="7">
        <v>35078.450810000002</v>
      </c>
      <c r="D44" s="6">
        <v>14563578.119999999</v>
      </c>
      <c r="E44" s="7">
        <v>2109934.5299999998</v>
      </c>
      <c r="F44" s="7"/>
      <c r="G44" s="6">
        <v>401834.89137739368</v>
      </c>
      <c r="H44" s="6">
        <v>397930.86545928969</v>
      </c>
      <c r="I44" s="6">
        <v>2015.08</v>
      </c>
      <c r="J44" s="6">
        <v>55971.214999999997</v>
      </c>
      <c r="K44" s="6"/>
      <c r="L44" s="6"/>
      <c r="M44" s="6">
        <v>3665.4135338345659</v>
      </c>
      <c r="N44" s="6">
        <v>41826.03247248556</v>
      </c>
      <c r="O44" s="6">
        <v>183.01920483434787</v>
      </c>
      <c r="P44" s="6">
        <v>1257.7735388032961</v>
      </c>
      <c r="Q44" s="6"/>
      <c r="R44" s="6"/>
      <c r="S44" s="6">
        <v>609932</v>
      </c>
      <c r="T44" s="6">
        <f t="shared" si="0"/>
        <v>518442.2</v>
      </c>
      <c r="U44" s="6"/>
      <c r="V44" s="6">
        <v>103760.9869</v>
      </c>
      <c r="W44" s="6">
        <v>94832.90698</v>
      </c>
      <c r="X44" s="6">
        <v>247718.03495095571</v>
      </c>
      <c r="Y44" s="6">
        <v>123135.93750000001</v>
      </c>
      <c r="Z44" s="6"/>
      <c r="AA44" s="6">
        <v>117008.70140000001</v>
      </c>
      <c r="AB44" s="6">
        <v>91179.007509999996</v>
      </c>
      <c r="AC44" s="6">
        <v>74246.109110000005</v>
      </c>
      <c r="AD44" s="6">
        <v>59581.300430000003</v>
      </c>
      <c r="AE44" s="6"/>
      <c r="AF44" s="6">
        <v>2567578.7390000001</v>
      </c>
      <c r="AG44" s="6">
        <f t="shared" si="1"/>
        <v>704764.90697999997</v>
      </c>
      <c r="AH44" s="6">
        <v>609932</v>
      </c>
      <c r="AI44" s="6">
        <v>3748358</v>
      </c>
      <c r="AJ44" s="6">
        <v>4730.7591709999997</v>
      </c>
      <c r="AK44" s="6">
        <v>350076.17050000001</v>
      </c>
      <c r="AL44" s="6">
        <f t="shared" si="5"/>
        <v>354806.92967099999</v>
      </c>
      <c r="AM44" s="6">
        <v>762456</v>
      </c>
      <c r="AN44" s="23"/>
      <c r="AO44" s="6">
        <v>246561</v>
      </c>
      <c r="AP44" s="23"/>
      <c r="AQ44" s="6">
        <v>10020617.689064501</v>
      </c>
      <c r="AR44" s="6">
        <v>14936204.95248251</v>
      </c>
      <c r="AS44" s="6">
        <v>10222688.130000001</v>
      </c>
      <c r="AT44" s="6">
        <v>14977046.07</v>
      </c>
      <c r="AU44" s="6">
        <v>11989.212160836847</v>
      </c>
      <c r="AV44" s="6">
        <v>446462.62395118224</v>
      </c>
      <c r="AW44" s="6">
        <v>94875.313439999998</v>
      </c>
      <c r="AX44" s="6">
        <v>130257.5978</v>
      </c>
      <c r="AY44" s="6">
        <v>59750</v>
      </c>
      <c r="AZ44" s="6">
        <v>-2015.0398611836135</v>
      </c>
      <c r="BA44" s="6"/>
      <c r="BB44" s="6">
        <f t="shared" si="2"/>
        <v>2340958.9147540987</v>
      </c>
      <c r="BC44" s="6">
        <v>855100.5429</v>
      </c>
      <c r="BD44" s="6">
        <v>1028509.83</v>
      </c>
      <c r="BE44" s="6"/>
      <c r="BF44" s="6">
        <v>1436260</v>
      </c>
      <c r="BG44" s="6">
        <v>224856</v>
      </c>
      <c r="BH44" s="23">
        <f t="shared" si="12"/>
        <v>0.86463558234343663</v>
      </c>
      <c r="BI44" s="6">
        <v>613830</v>
      </c>
      <c r="BJ44" s="6">
        <v>368178</v>
      </c>
      <c r="BK44" s="23">
        <f t="shared" si="6"/>
        <v>0.62507637412322503</v>
      </c>
      <c r="BL44" s="23">
        <f t="shared" si="13"/>
        <v>0.74485597823333083</v>
      </c>
      <c r="BM44" s="23"/>
      <c r="BN44" s="6">
        <f t="shared" si="7"/>
        <v>1463278.1104059319</v>
      </c>
      <c r="BO44" s="6">
        <f t="shared" si="8"/>
        <v>877680.8043481668</v>
      </c>
      <c r="BP44" s="6"/>
      <c r="BQ44" s="6">
        <v>668174.6</v>
      </c>
      <c r="BR44" s="6">
        <v>911897.7</v>
      </c>
      <c r="BS44" s="6"/>
      <c r="BT44" s="26">
        <v>0.73416000000000003</v>
      </c>
      <c r="BU44" s="1"/>
      <c r="BV44" s="1"/>
      <c r="BW44" s="6">
        <v>125961.1</v>
      </c>
      <c r="BX44" s="23">
        <f t="shared" si="3"/>
        <v>1.2321719923192061E-2</v>
      </c>
      <c r="BY44" s="6">
        <v>440474.1</v>
      </c>
      <c r="BZ44" s="23">
        <f t="shared" si="4"/>
        <v>2.9409944921134905E-2</v>
      </c>
      <c r="CA44" s="1">
        <v>16709.54</v>
      </c>
      <c r="CB44" s="6">
        <v>1356067</v>
      </c>
      <c r="CC44" s="7">
        <v>435582.76264236699</v>
      </c>
      <c r="CD44" s="6">
        <v>683271.2</v>
      </c>
      <c r="CE44" s="7">
        <v>14812.2685058806</v>
      </c>
      <c r="CF44" s="7"/>
      <c r="CG44" s="27">
        <f t="shared" si="9"/>
        <v>0.42069404658266052</v>
      </c>
      <c r="CH44" s="6"/>
      <c r="CI44" s="6">
        <v>9014064.375</v>
      </c>
      <c r="CJ44" s="6">
        <v>12051450.300000001</v>
      </c>
      <c r="CK44" s="6"/>
      <c r="CL44" s="6"/>
      <c r="CM44" s="6"/>
      <c r="CN44" s="6"/>
      <c r="CO44" s="6">
        <v>1676480</v>
      </c>
      <c r="CP44" s="6">
        <v>1515476.5463</v>
      </c>
      <c r="CQ44" s="29"/>
      <c r="CR44" s="6">
        <v>105337</v>
      </c>
      <c r="CS44" s="7">
        <v>179261.18374342026</v>
      </c>
      <c r="CT44" s="6">
        <v>196575.56802404847</v>
      </c>
      <c r="CU44" s="7"/>
      <c r="CV44" s="1"/>
      <c r="CW44" s="6">
        <v>13934.547</v>
      </c>
      <c r="CX44" s="1"/>
      <c r="CY44" s="7">
        <v>548.25400000000002</v>
      </c>
      <c r="CZ44" s="7">
        <v>6.27</v>
      </c>
      <c r="DA44" s="7">
        <v>435582.76264236699</v>
      </c>
      <c r="DB44">
        <f t="shared" si="10"/>
        <v>0.78550750308799433</v>
      </c>
      <c r="DC44">
        <v>14812.2685058806</v>
      </c>
      <c r="DE44">
        <v>16095.90854</v>
      </c>
      <c r="DF44">
        <v>14215.794110000001</v>
      </c>
      <c r="DH44">
        <v>2833850</v>
      </c>
      <c r="DI44" s="240">
        <f>(DH44/1000)/'Table A2'!M23</f>
        <v>0.24077075138747076</v>
      </c>
      <c r="DJ44" s="1">
        <f>'Table A2'!M23-RawDataSources!DH44/1000</f>
        <v>8936.0596907310974</v>
      </c>
      <c r="DK44">
        <v>42167.1924961607</v>
      </c>
      <c r="DL44" s="240">
        <f t="shared" si="11"/>
        <v>0.2119197215120433</v>
      </c>
      <c r="DM44" s="240">
        <f>'Table A2'!M23/RawDataSources!DK44</f>
        <v>0.27912481230052821</v>
      </c>
      <c r="DP44" s="1">
        <v>-2253.0259999999998</v>
      </c>
      <c r="DQ44" s="1">
        <v>185797</v>
      </c>
      <c r="DR44" s="1">
        <v>-854.90099999999995</v>
      </c>
      <c r="DS44" s="1">
        <v>-840.19799999999998</v>
      </c>
      <c r="DT44" s="1"/>
      <c r="DU44" s="1">
        <v>-220.69200000000001</v>
      </c>
      <c r="DV44" s="1">
        <v>575.07296336405182</v>
      </c>
      <c r="DW44" s="1">
        <v>-653.23056127100006</v>
      </c>
      <c r="DX44" s="1">
        <v>757.06100000000004</v>
      </c>
      <c r="DY44" s="1">
        <v>-616.14499999999998</v>
      </c>
      <c r="DZ44" s="1">
        <v>-77.576999999999998</v>
      </c>
      <c r="EA44" s="1"/>
      <c r="EB44" s="1">
        <v>-478.762</v>
      </c>
      <c r="EC44" s="1"/>
      <c r="ED44" s="1">
        <v>-119.539</v>
      </c>
      <c r="EE44" s="1"/>
      <c r="EF44" s="1">
        <v>-2253.0259999999998</v>
      </c>
      <c r="EG44" s="1">
        <v>1784.4506338839799</v>
      </c>
      <c r="EH44" s="1">
        <v>-1164.4614253023863</v>
      </c>
      <c r="EI44" s="1">
        <v>-1144.4344557044785</v>
      </c>
      <c r="EJ44" s="1"/>
      <c r="EK44" s="1">
        <v>-426.24464277781755</v>
      </c>
      <c r="EL44" s="1">
        <v>508.19455935317416</v>
      </c>
      <c r="EM44" s="1">
        <v>-98.755867515949575</v>
      </c>
      <c r="EN44" s="1">
        <v>125.34122516556292</v>
      </c>
      <c r="EO44" s="1">
        <v>-10.094118610747051</v>
      </c>
      <c r="EP44" s="1">
        <v>-14.188492208647304</v>
      </c>
      <c r="EQ44" s="1"/>
      <c r="ER44" s="1">
        <v>-372.9547402040975</v>
      </c>
      <c r="ES44" s="1">
        <v>-144.79011554681742</v>
      </c>
      <c r="ET44" s="1">
        <v>-85.876952255061141</v>
      </c>
      <c r="EV44" s="1">
        <v>42196.337997515264</v>
      </c>
      <c r="EW44" s="1">
        <v>9773.6298556894017</v>
      </c>
      <c r="EX44" s="1">
        <v>9785.6611690051614</v>
      </c>
      <c r="EY44" s="1">
        <v>11812.3</v>
      </c>
      <c r="EZ44" s="1">
        <v>3444.1114492734832</v>
      </c>
      <c r="FA44" s="1">
        <v>1709.7132877486017</v>
      </c>
      <c r="FB44" s="1">
        <v>4605.920900612794</v>
      </c>
    </row>
    <row r="45" spans="1:158" x14ac:dyDescent="0.2">
      <c r="A45">
        <v>2005</v>
      </c>
      <c r="B45" s="6">
        <v>10586278.880000001</v>
      </c>
      <c r="C45" s="7">
        <v>35494.52205</v>
      </c>
      <c r="D45" s="6">
        <v>15305869.310000001</v>
      </c>
      <c r="E45" s="7">
        <v>2185641.77</v>
      </c>
      <c r="F45" s="7"/>
      <c r="G45" s="6">
        <v>430090.92074668797</v>
      </c>
      <c r="H45" s="6">
        <v>409017.50983168994</v>
      </c>
      <c r="I45" s="6">
        <v>1814.2860000000001</v>
      </c>
      <c r="J45" s="6">
        <v>70487.834000000003</v>
      </c>
      <c r="K45" s="6"/>
      <c r="L45" s="6"/>
      <c r="M45" s="6">
        <v>4707.0037620639196</v>
      </c>
      <c r="N45" s="6">
        <v>58612.224289319129</v>
      </c>
      <c r="O45" s="6">
        <v>222.56573443685829</v>
      </c>
      <c r="P45" s="6">
        <v>1380.6494123186203</v>
      </c>
      <c r="Q45" s="6"/>
      <c r="R45" s="6"/>
      <c r="S45" s="6">
        <v>818872</v>
      </c>
      <c r="T45" s="6">
        <f t="shared" si="0"/>
        <v>696041.2</v>
      </c>
      <c r="U45" s="6"/>
      <c r="V45" s="6">
        <v>128646.5022</v>
      </c>
      <c r="W45" s="6">
        <v>114970.6836</v>
      </c>
      <c r="X45" s="6">
        <v>309968.2880245038</v>
      </c>
      <c r="Y45" s="6">
        <v>153022.58064516133</v>
      </c>
      <c r="Z45" s="6"/>
      <c r="AA45" s="6">
        <v>145336.97779999999</v>
      </c>
      <c r="AB45" s="6">
        <v>113138.5432</v>
      </c>
      <c r="AC45" s="6">
        <v>105221.5681</v>
      </c>
      <c r="AD45" s="6">
        <v>91410.656619999994</v>
      </c>
      <c r="AE45" s="6"/>
      <c r="AF45" s="6">
        <v>2708581.17</v>
      </c>
      <c r="AG45" s="6">
        <f t="shared" si="1"/>
        <v>933842.68359999999</v>
      </c>
      <c r="AH45" s="6">
        <v>818872</v>
      </c>
      <c r="AI45" s="6">
        <v>4320117</v>
      </c>
      <c r="AJ45" s="6">
        <v>5396.288517</v>
      </c>
      <c r="AK45" s="6">
        <v>399325.31410000002</v>
      </c>
      <c r="AL45" s="6">
        <f t="shared" si="5"/>
        <v>404721.602617</v>
      </c>
      <c r="AM45" s="6">
        <v>948970</v>
      </c>
      <c r="AN45" s="23"/>
      <c r="AO45" s="6">
        <v>257952</v>
      </c>
      <c r="AP45" s="23"/>
      <c r="AQ45" s="6">
        <v>11810787.926664099</v>
      </c>
      <c r="AR45" s="6">
        <v>15953102.855328951</v>
      </c>
      <c r="AS45" s="6">
        <v>12180388.98</v>
      </c>
      <c r="AT45" s="6">
        <v>15982269.02</v>
      </c>
      <c r="AU45" s="6">
        <v>11137.549503169255</v>
      </c>
      <c r="AV45" s="6">
        <v>382668.7885540768</v>
      </c>
      <c r="AW45" s="6">
        <v>300511.88589999999</v>
      </c>
      <c r="AX45" s="6">
        <v>155686.89869999999</v>
      </c>
      <c r="AY45" s="6">
        <v>76944.539999999994</v>
      </c>
      <c r="AZ45" s="6">
        <v>-2294.5270940773189</v>
      </c>
      <c r="BA45" s="6"/>
      <c r="BB45" s="6">
        <f t="shared" si="2"/>
        <v>2616203.2021857924</v>
      </c>
      <c r="BC45" s="6">
        <v>1025234.47</v>
      </c>
      <c r="BD45" s="6">
        <v>1176385.4550000001</v>
      </c>
      <c r="BE45" s="6"/>
      <c r="BF45" s="6">
        <v>1698460</v>
      </c>
      <c r="BG45" s="6">
        <v>245584</v>
      </c>
      <c r="BH45" s="23">
        <f t="shared" si="12"/>
        <v>0.8736736411315793</v>
      </c>
      <c r="BI45" s="6">
        <v>712330</v>
      </c>
      <c r="BJ45" s="6">
        <v>497927</v>
      </c>
      <c r="BK45" s="23">
        <f t="shared" si="6"/>
        <v>0.58857746743047135</v>
      </c>
      <c r="BL45" s="23">
        <f t="shared" si="13"/>
        <v>0.73112555428102532</v>
      </c>
      <c r="BM45" s="23"/>
      <c r="BN45" s="6">
        <f t="shared" si="7"/>
        <v>1539838.2550260031</v>
      </c>
      <c r="BO45" s="6">
        <f t="shared" si="8"/>
        <v>1076364.9471597893</v>
      </c>
      <c r="BP45" s="6"/>
      <c r="BQ45" s="6">
        <v>816904.5</v>
      </c>
      <c r="BR45" s="6">
        <v>1018534</v>
      </c>
      <c r="BS45" s="6"/>
      <c r="BT45" s="26">
        <v>0.84767300000000001</v>
      </c>
      <c r="BU45" s="1"/>
      <c r="BV45" s="1"/>
      <c r="BW45" s="6">
        <v>332186.5</v>
      </c>
      <c r="BX45" s="23">
        <f t="shared" si="3"/>
        <v>2.7272240693252472E-2</v>
      </c>
      <c r="BY45" s="6">
        <v>451924.5</v>
      </c>
      <c r="BZ45" s="23">
        <f t="shared" si="4"/>
        <v>2.8276617008164966E-2</v>
      </c>
      <c r="CA45" s="1">
        <v>17408.650000000001</v>
      </c>
      <c r="CB45" s="6">
        <v>1501967</v>
      </c>
      <c r="CC45" s="7">
        <v>476039.14269154996</v>
      </c>
      <c r="CD45" s="6">
        <v>833047.5</v>
      </c>
      <c r="CE45" s="7">
        <v>15953.7867974193</v>
      </c>
      <c r="CF45" s="7"/>
      <c r="CG45" s="27">
        <f t="shared" si="9"/>
        <v>0.44334462834095745</v>
      </c>
      <c r="CH45" s="6"/>
      <c r="CI45" s="6">
        <v>10899726.960000001</v>
      </c>
      <c r="CJ45" s="6">
        <v>12569261.539999999</v>
      </c>
      <c r="CK45" s="6"/>
      <c r="CL45" s="6"/>
      <c r="CM45" s="6"/>
      <c r="CN45" s="6"/>
      <c r="CO45" s="6">
        <v>1817910</v>
      </c>
      <c r="CP45" s="6">
        <v>1552802.5393000001</v>
      </c>
      <c r="CQ45" s="29"/>
      <c r="CR45" s="6">
        <v>130507</v>
      </c>
      <c r="CS45" s="7">
        <v>205038.46112246125</v>
      </c>
      <c r="CT45" s="6">
        <v>224765.25922174842</v>
      </c>
      <c r="CU45" s="7"/>
      <c r="CV45" s="1"/>
      <c r="CW45" s="6">
        <v>14600.468999999999</v>
      </c>
      <c r="CX45" s="6"/>
      <c r="CY45" s="7">
        <v>533.55499999999995</v>
      </c>
      <c r="CZ45" s="7">
        <v>9.6829999999999998</v>
      </c>
      <c r="DA45" s="7">
        <v>476039.14269154996</v>
      </c>
      <c r="DB45">
        <f t="shared" si="10"/>
        <v>0.87629941699871883</v>
      </c>
      <c r="DC45">
        <v>15953.7867974193</v>
      </c>
      <c r="DE45">
        <v>18761.120050000001</v>
      </c>
      <c r="DF45">
        <v>22110.738840000002</v>
      </c>
      <c r="DH45">
        <v>3267323</v>
      </c>
      <c r="DI45" s="240">
        <f>(DH45/1000)/'Table A2'!M24</f>
        <v>0.23106159797492773</v>
      </c>
      <c r="DJ45" s="1">
        <f>'Table A2'!M24-RawDataSources!DH45/1000</f>
        <v>10873.161739288153</v>
      </c>
      <c r="DK45">
        <v>45602.843881783294</v>
      </c>
      <c r="DL45" s="240">
        <f t="shared" si="11"/>
        <v>0.23843165938235689</v>
      </c>
      <c r="DM45" s="240">
        <f>'Table A2'!M24/RawDataSources!DK45</f>
        <v>0.31007901121133308</v>
      </c>
      <c r="DP45" s="1">
        <v>-1932.1489999999999</v>
      </c>
      <c r="DQ45" s="1">
        <v>180699</v>
      </c>
      <c r="DR45" s="1">
        <v>-715.60400000000004</v>
      </c>
      <c r="DS45" s="1">
        <v>-697.1</v>
      </c>
      <c r="DT45" s="1"/>
      <c r="DU45" s="1">
        <v>-252.59200000000001</v>
      </c>
      <c r="DV45" s="1">
        <v>628.75983740141533</v>
      </c>
      <c r="DW45" s="1">
        <v>-593.56573177600001</v>
      </c>
      <c r="DX45" s="1">
        <v>1122.8230000000001</v>
      </c>
      <c r="DY45" s="1">
        <v>-866.84699999999998</v>
      </c>
      <c r="DZ45" s="1">
        <v>60.658999999999999</v>
      </c>
      <c r="EA45" s="1"/>
      <c r="EB45" s="1">
        <v>-520.26300000000003</v>
      </c>
      <c r="EC45" s="1">
        <v>-114.408</v>
      </c>
      <c r="ED45" s="1">
        <v>-129.749</v>
      </c>
      <c r="EE45" s="1"/>
      <c r="EF45" s="1">
        <v>-1932.1489999999999</v>
      </c>
      <c r="EG45" s="1">
        <v>1531.7368822582011</v>
      </c>
      <c r="EH45" s="1">
        <v>-844.19817547568459</v>
      </c>
      <c r="EI45" s="1">
        <v>-822.36900314154161</v>
      </c>
      <c r="EJ45" s="1"/>
      <c r="EK45" s="1">
        <v>-434.93802883837219</v>
      </c>
      <c r="EL45" s="1">
        <v>478.39902412037992</v>
      </c>
      <c r="EM45" s="1">
        <v>-74.583550936871731</v>
      </c>
      <c r="EN45" s="1">
        <v>165.85273264401775</v>
      </c>
      <c r="EO45" s="1">
        <v>-13.763845665290569</v>
      </c>
      <c r="EP45" s="1">
        <v>9.5917205610284473</v>
      </c>
      <c r="EQ45" s="1"/>
      <c r="ER45" s="1">
        <v>-381.71833156021864</v>
      </c>
      <c r="ES45" s="1">
        <v>-98.24645770717045</v>
      </c>
      <c r="ET45" s="1">
        <v>-88.410774273118136</v>
      </c>
      <c r="EV45" s="1">
        <v>45630.781401164299</v>
      </c>
      <c r="EW45" s="1">
        <v>10149.778675988317</v>
      </c>
      <c r="EX45" s="1">
        <v>10163.681965137856</v>
      </c>
      <c r="EY45" s="1">
        <v>12579.7</v>
      </c>
      <c r="EZ45" s="1">
        <v>3599.159096839941</v>
      </c>
      <c r="FA45" s="1">
        <v>1940.7709263536437</v>
      </c>
      <c r="FB45" s="1">
        <v>4552.200185087735</v>
      </c>
    </row>
    <row r="46" spans="1:158" x14ac:dyDescent="0.2">
      <c r="A46">
        <v>2006</v>
      </c>
      <c r="B46" s="6">
        <v>14248963.869999999</v>
      </c>
      <c r="C46" s="7">
        <v>43167.667950000003</v>
      </c>
      <c r="D46" s="6">
        <v>18715282.579999998</v>
      </c>
      <c r="E46" s="7">
        <v>2515190.7050000001</v>
      </c>
      <c r="F46" s="7"/>
      <c r="G46" s="6">
        <v>616033.00291961897</v>
      </c>
      <c r="H46" s="6">
        <v>636259.96895426465</v>
      </c>
      <c r="I46" s="6">
        <v>1995</v>
      </c>
      <c r="J46" s="6">
        <v>80199</v>
      </c>
      <c r="K46" s="6"/>
      <c r="L46" s="6"/>
      <c r="M46" s="6">
        <v>9594.3505935063586</v>
      </c>
      <c r="N46" s="6">
        <v>48136.378063508426</v>
      </c>
      <c r="O46" s="6">
        <v>0</v>
      </c>
      <c r="P46" s="6">
        <v>0</v>
      </c>
      <c r="Q46" s="6"/>
      <c r="R46" s="6"/>
      <c r="S46" s="6">
        <v>1066340</v>
      </c>
      <c r="T46" s="6">
        <f t="shared" si="0"/>
        <v>906389</v>
      </c>
      <c r="U46" s="6"/>
      <c r="V46" s="6">
        <v>164724.34909999999</v>
      </c>
      <c r="W46" s="6">
        <v>142425.23579999999</v>
      </c>
      <c r="X46" s="6">
        <v>431426.02164336917</v>
      </c>
      <c r="Y46" s="6">
        <v>213165.00000000006</v>
      </c>
      <c r="Z46" s="6"/>
      <c r="AA46" s="6">
        <v>199414.54990000001</v>
      </c>
      <c r="AB46" s="6">
        <v>125862.56200000001</v>
      </c>
      <c r="AC46" s="6">
        <v>222374.5202</v>
      </c>
      <c r="AD46" s="6">
        <v>127757.5506</v>
      </c>
      <c r="AE46" s="6"/>
      <c r="AF46" s="6">
        <v>3184931.4249999998</v>
      </c>
      <c r="AG46" s="6">
        <f t="shared" si="1"/>
        <v>1208765.2357999999</v>
      </c>
      <c r="AH46" s="6">
        <v>1066340</v>
      </c>
      <c r="AI46" s="6">
        <v>5251371</v>
      </c>
      <c r="AJ46" s="6">
        <v>6595.5590220000004</v>
      </c>
      <c r="AK46" s="6">
        <v>488071.3909</v>
      </c>
      <c r="AL46" s="6">
        <f t="shared" si="5"/>
        <v>494666.949922</v>
      </c>
      <c r="AM46" s="6">
        <v>1183082</v>
      </c>
      <c r="AN46" s="23"/>
      <c r="AO46" s="6">
        <v>270840</v>
      </c>
      <c r="AP46" s="23"/>
      <c r="AQ46" s="6">
        <v>15337555.095798999</v>
      </c>
      <c r="AR46" s="6">
        <v>19354193.763978042</v>
      </c>
      <c r="AS46" s="6">
        <v>16005888.32</v>
      </c>
      <c r="AT46" s="6">
        <v>19453159.41</v>
      </c>
      <c r="AU46" s="6">
        <v>42537.807799541974</v>
      </c>
      <c r="AV46" s="6">
        <v>473132.5258362625</v>
      </c>
      <c r="AW46" s="6">
        <v>260820.36900000001</v>
      </c>
      <c r="AX46" s="6">
        <v>169021.70449999999</v>
      </c>
      <c r="AY46" s="6">
        <v>107620.8</v>
      </c>
      <c r="AZ46" s="6">
        <v>-3779.7714562639594</v>
      </c>
      <c r="BA46" s="6"/>
      <c r="BB46" s="6">
        <f t="shared" si="2"/>
        <v>3294009.898415301</v>
      </c>
      <c r="BC46" s="6">
        <v>1482364.524</v>
      </c>
      <c r="BD46" s="6">
        <v>1522202.601</v>
      </c>
      <c r="BE46" s="6"/>
      <c r="BF46" s="6">
        <v>2233560</v>
      </c>
      <c r="BG46" s="6">
        <v>296935</v>
      </c>
      <c r="BH46" s="23">
        <f t="shared" si="12"/>
        <v>0.88265734569718568</v>
      </c>
      <c r="BI46" s="6">
        <v>950795</v>
      </c>
      <c r="BJ46" s="6">
        <v>660796</v>
      </c>
      <c r="BK46" s="23">
        <f t="shared" si="6"/>
        <v>0.58997289014396337</v>
      </c>
      <c r="BL46" s="23">
        <f t="shared" si="13"/>
        <v>0.73631511792057447</v>
      </c>
      <c r="BM46" s="23"/>
      <c r="BN46" s="6">
        <f t="shared" si="7"/>
        <v>1943376.5399308982</v>
      </c>
      <c r="BO46" s="6">
        <f t="shared" si="8"/>
        <v>1350633.3584844028</v>
      </c>
      <c r="BP46" s="6"/>
      <c r="BQ46" s="6">
        <v>1085298</v>
      </c>
      <c r="BR46" s="6">
        <v>1303062</v>
      </c>
      <c r="BS46" s="6"/>
      <c r="BT46" s="26">
        <v>0.759301</v>
      </c>
      <c r="BU46" s="1"/>
      <c r="BV46" s="1"/>
      <c r="BW46" s="6">
        <v>299141.90000000002</v>
      </c>
      <c r="BX46" s="23">
        <f t="shared" si="3"/>
        <v>1.8689490643653325E-2</v>
      </c>
      <c r="BY46" s="6">
        <v>503298.8</v>
      </c>
      <c r="BZ46" s="23">
        <f t="shared" si="4"/>
        <v>2.5872342347705048E-2</v>
      </c>
      <c r="CA46" s="1">
        <v>40391.94</v>
      </c>
      <c r="CB46" s="6">
        <v>1860391</v>
      </c>
      <c r="CC46" s="7">
        <v>545564.45182557392</v>
      </c>
      <c r="CD46" s="6">
        <v>1097923</v>
      </c>
      <c r="CE46" s="7">
        <v>12483.9334033413</v>
      </c>
      <c r="CF46" s="7"/>
      <c r="CG46" s="27">
        <f t="shared" si="9"/>
        <v>0.45221622970263559</v>
      </c>
      <c r="CH46" s="6"/>
      <c r="CI46" s="6">
        <v>14223632.68</v>
      </c>
      <c r="CJ46" s="6">
        <v>15596483.140000001</v>
      </c>
      <c r="CK46" s="6"/>
      <c r="CL46" s="6"/>
      <c r="CM46" s="6"/>
      <c r="CN46" s="6"/>
      <c r="CO46" s="6">
        <v>2265390</v>
      </c>
      <c r="CP46" s="6">
        <v>2310382.8089999999</v>
      </c>
      <c r="CQ46" s="29"/>
      <c r="CR46" s="6">
        <v>170391</v>
      </c>
      <c r="CS46" s="7">
        <v>262875.82942097</v>
      </c>
      <c r="CT46" s="6">
        <v>279217.72129085951</v>
      </c>
      <c r="CU46" s="7"/>
      <c r="CV46" s="1"/>
      <c r="CW46" s="6">
        <v>18415.078000000001</v>
      </c>
      <c r="CX46" s="1"/>
      <c r="CY46" s="7">
        <v>574.67100000000005</v>
      </c>
      <c r="CZ46" s="7">
        <v>11.882999999999999</v>
      </c>
      <c r="DA46" s="7">
        <v>545564.45182557392</v>
      </c>
      <c r="DB46">
        <f t="shared" si="10"/>
        <v>0.93011803146099725</v>
      </c>
      <c r="DC46">
        <v>12483.9334033413</v>
      </c>
      <c r="DE46">
        <v>25641.31911</v>
      </c>
      <c r="DF46">
        <v>25953.131119999998</v>
      </c>
      <c r="DH46">
        <v>4379395</v>
      </c>
      <c r="DI46" s="240">
        <f>(DH46/1000)/'Table A2'!M25</f>
        <v>0.23633144470605619</v>
      </c>
      <c r="DJ46" s="1">
        <f>'Table A2'!M25-RawDataSources!DH46/1000</f>
        <v>14151.338417412968</v>
      </c>
      <c r="DK46">
        <v>49408.132499273896</v>
      </c>
      <c r="DL46" s="240">
        <f t="shared" si="11"/>
        <v>0.28641718886300627</v>
      </c>
      <c r="DM46" s="240">
        <f>'Table A2'!M25/RawDataSources!DK46</f>
        <v>0.37505431757991048</v>
      </c>
      <c r="DP46" s="1">
        <v>-2191.6529999999998</v>
      </c>
      <c r="DQ46" s="1">
        <v>215081</v>
      </c>
      <c r="DR46" s="1">
        <v>-1014.996</v>
      </c>
      <c r="DS46" s="1">
        <v>-978.03200000000004</v>
      </c>
      <c r="DT46" s="1"/>
      <c r="DU46" s="1">
        <v>-385.80700000000002</v>
      </c>
      <c r="DV46" s="1">
        <v>636.54115580876839</v>
      </c>
      <c r="DW46" s="1">
        <v>-380.01035940700001</v>
      </c>
      <c r="DX46" s="1">
        <v>1275.1510000000001</v>
      </c>
      <c r="DY46" s="1">
        <v>-1201.579</v>
      </c>
      <c r="DZ46" s="1">
        <v>-2.9020000000000001</v>
      </c>
      <c r="EA46" s="1"/>
      <c r="EB46" s="1">
        <v>-582.33600000000001</v>
      </c>
      <c r="EC46" s="1">
        <v>29.728999999999999</v>
      </c>
      <c r="ED46" s="1">
        <v>-140.83000000000001</v>
      </c>
      <c r="EE46" s="1"/>
      <c r="EF46" s="1">
        <v>-2191.6529999999998</v>
      </c>
      <c r="EG46" s="1">
        <v>1808.1630937368641</v>
      </c>
      <c r="EH46" s="1">
        <v>-1336.7505113255481</v>
      </c>
      <c r="EI46" s="1">
        <v>-1288.0688949441658</v>
      </c>
      <c r="EJ46" s="1"/>
      <c r="EK46" s="1">
        <v>-757.33966204968749</v>
      </c>
      <c r="EL46" s="1">
        <v>521.62677686533505</v>
      </c>
      <c r="EM46" s="1">
        <v>-55.359588515675078</v>
      </c>
      <c r="EN46" s="1">
        <v>203.69824281150161</v>
      </c>
      <c r="EO46" s="1">
        <v>-16.767778397990512</v>
      </c>
      <c r="EP46" s="1">
        <v>-0.51259405800685343</v>
      </c>
      <c r="EQ46" s="1"/>
      <c r="ER46" s="1">
        <v>-460.80364631965432</v>
      </c>
      <c r="ES46" s="1">
        <v>25.511885351411653</v>
      </c>
      <c r="ET46" s="1">
        <v>-99.411984780782561</v>
      </c>
      <c r="EV46" s="1">
        <v>49459.976902211885</v>
      </c>
      <c r="EW46" s="1">
        <v>10752.338054934067</v>
      </c>
      <c r="EX46" s="1">
        <v>10768.942890486769</v>
      </c>
      <c r="EY46" s="1">
        <v>13336.2</v>
      </c>
      <c r="EZ46" s="1">
        <v>3857.4929038760765</v>
      </c>
      <c r="FA46" s="1">
        <v>2138.4896972889746</v>
      </c>
      <c r="FB46" s="1">
        <v>4362.5895321541884</v>
      </c>
    </row>
    <row r="47" spans="1:158" x14ac:dyDescent="0.2">
      <c r="A47">
        <v>2007</v>
      </c>
      <c r="B47" s="6">
        <v>17094158.399999999</v>
      </c>
      <c r="C47" s="7">
        <v>54442.976329999998</v>
      </c>
      <c r="D47" s="6">
        <v>21970348.329999998</v>
      </c>
      <c r="E47" s="7">
        <v>3054926.443</v>
      </c>
      <c r="F47" s="7"/>
      <c r="G47" s="6">
        <v>773386.08039671963</v>
      </c>
      <c r="H47" s="6">
        <v>770364.77589215816</v>
      </c>
      <c r="I47" s="6">
        <v>2313</v>
      </c>
      <c r="J47" s="6">
        <v>87695</v>
      </c>
      <c r="K47" s="6"/>
      <c r="L47" s="6"/>
      <c r="M47" s="6">
        <v>24280.805886041839</v>
      </c>
      <c r="N47" s="6">
        <v>66731.733455812093</v>
      </c>
      <c r="O47" s="6">
        <v>0</v>
      </c>
      <c r="P47" s="6">
        <v>0</v>
      </c>
      <c r="Q47" s="6"/>
      <c r="R47" s="6"/>
      <c r="S47" s="6">
        <v>1528250</v>
      </c>
      <c r="T47" s="6">
        <f t="shared" si="0"/>
        <v>1299012.5</v>
      </c>
      <c r="U47" s="6"/>
      <c r="V47" s="6">
        <v>268608.3174</v>
      </c>
      <c r="W47" s="6">
        <v>233486.17379999999</v>
      </c>
      <c r="X47" s="6">
        <v>590465.30249920918</v>
      </c>
      <c r="Y47" s="6">
        <v>258729.31034482765</v>
      </c>
      <c r="Z47" s="6"/>
      <c r="AA47" s="6">
        <v>266054.10649999999</v>
      </c>
      <c r="AB47" s="6">
        <v>139487.2591</v>
      </c>
      <c r="AC47" s="6">
        <v>237721.74729999999</v>
      </c>
      <c r="AD47" s="6">
        <v>207549.2936</v>
      </c>
      <c r="AE47" s="6"/>
      <c r="AF47" s="6">
        <v>3892125.5210000002</v>
      </c>
      <c r="AG47" s="6">
        <f t="shared" si="1"/>
        <v>1761736.1738</v>
      </c>
      <c r="AH47" s="6">
        <v>1528250</v>
      </c>
      <c r="AI47" s="6">
        <v>6699373</v>
      </c>
      <c r="AJ47" s="6">
        <v>7798.7255050000003</v>
      </c>
      <c r="AK47" s="6">
        <v>577105.66509999998</v>
      </c>
      <c r="AL47" s="6">
        <f t="shared" si="5"/>
        <v>584904.39060499996</v>
      </c>
      <c r="AM47" s="6">
        <v>1442142</v>
      </c>
      <c r="AN47" s="23"/>
      <c r="AO47" s="6">
        <v>275027</v>
      </c>
      <c r="AP47" s="23"/>
      <c r="AQ47" s="6">
        <v>18281581.896102995</v>
      </c>
      <c r="AR47" s="6">
        <v>23283018.867972203</v>
      </c>
      <c r="AS47" s="6">
        <v>19195122.440000001</v>
      </c>
      <c r="AT47" s="6">
        <v>23216231.489999998</v>
      </c>
      <c r="AU47" s="6">
        <v>18458.653146906756</v>
      </c>
      <c r="AV47" s="6">
        <v>607871.02054756205</v>
      </c>
      <c r="AW47" s="6">
        <v>469829.40919999999</v>
      </c>
      <c r="AX47" s="6">
        <v>149365.70389999999</v>
      </c>
      <c r="AY47" s="6">
        <v>171567.4</v>
      </c>
      <c r="AZ47" s="6">
        <v>-3732.6359975598752</v>
      </c>
      <c r="BA47" s="6"/>
      <c r="BB47" s="6">
        <f t="shared" si="2"/>
        <v>3939852.5508743171</v>
      </c>
      <c r="BC47" s="6">
        <v>1972037.68</v>
      </c>
      <c r="BD47" s="6">
        <v>1950776.702</v>
      </c>
      <c r="BE47" s="6"/>
      <c r="BF47" s="6">
        <v>2821020</v>
      </c>
      <c r="BG47" s="6">
        <v>345579</v>
      </c>
      <c r="BH47" s="23">
        <f t="shared" si="12"/>
        <v>0.89086745748356522</v>
      </c>
      <c r="BI47" s="6">
        <v>1155090</v>
      </c>
      <c r="BJ47" s="6">
        <v>802665</v>
      </c>
      <c r="BK47" s="23">
        <f t="shared" si="6"/>
        <v>0.59000743198204064</v>
      </c>
      <c r="BL47" s="23">
        <f t="shared" si="13"/>
        <v>0.74043744473280293</v>
      </c>
      <c r="BM47" s="23"/>
      <c r="BN47" s="6">
        <f t="shared" si="7"/>
        <v>2324542.2859292477</v>
      </c>
      <c r="BO47" s="6">
        <f t="shared" si="8"/>
        <v>1615310.2649450693</v>
      </c>
      <c r="BP47" s="6"/>
      <c r="BQ47" s="6">
        <v>1577372</v>
      </c>
      <c r="BR47" s="6">
        <v>1597526</v>
      </c>
      <c r="BS47" s="6"/>
      <c r="BT47" s="26">
        <v>0.67930199999999996</v>
      </c>
      <c r="BU47" s="1"/>
      <c r="BV47" s="1"/>
      <c r="BW47" s="6">
        <v>520157.4</v>
      </c>
      <c r="BX47" s="23">
        <f t="shared" si="3"/>
        <v>2.7098415320136921E-2</v>
      </c>
      <c r="BY47" s="6">
        <v>561292.6</v>
      </c>
      <c r="BZ47" s="23">
        <f t="shared" si="4"/>
        <v>2.4176731707803972E-2</v>
      </c>
      <c r="CA47" s="1">
        <v>51053.27</v>
      </c>
      <c r="CB47" s="6">
        <v>2229291</v>
      </c>
      <c r="CC47" s="7">
        <v>620927.17177341005</v>
      </c>
      <c r="CD47" s="6">
        <v>1587978</v>
      </c>
      <c r="CE47" s="7">
        <v>10465.523118391</v>
      </c>
      <c r="CF47" s="7"/>
      <c r="CG47" s="27">
        <f t="shared" si="9"/>
        <v>0.495158105903937</v>
      </c>
      <c r="CH47" s="6"/>
      <c r="CI47" s="6">
        <v>17119017.109999999</v>
      </c>
      <c r="CJ47" s="6">
        <v>18247089.289999999</v>
      </c>
      <c r="CK47" s="6"/>
      <c r="CL47" s="6"/>
      <c r="CM47" s="6"/>
      <c r="CN47" s="6"/>
      <c r="CO47" s="28">
        <v>2624810</v>
      </c>
      <c r="CP47" s="28">
        <v>2624805.8234999999</v>
      </c>
      <c r="CQ47" s="29"/>
      <c r="CR47" s="6">
        <v>202019</v>
      </c>
      <c r="CS47" s="7">
        <v>363628.13627532596</v>
      </c>
      <c r="CT47" s="6">
        <v>325908.42534565466</v>
      </c>
      <c r="CU47" s="7"/>
      <c r="CV47" s="1"/>
      <c r="CW47" s="6">
        <v>22699.536</v>
      </c>
      <c r="CX47" s="1"/>
      <c r="CY47" s="7">
        <v>641.14599999999996</v>
      </c>
      <c r="CZ47" s="7">
        <v>17.995999999999999</v>
      </c>
      <c r="DA47" s="7">
        <v>620927.17177341005</v>
      </c>
      <c r="DB47">
        <f t="shared" si="10"/>
        <v>0.94202337549937654</v>
      </c>
      <c r="DC47">
        <v>10465.523118391</v>
      </c>
      <c r="DE47">
        <v>43430.712590000003</v>
      </c>
      <c r="DF47">
        <v>50008.380550000002</v>
      </c>
      <c r="DH47">
        <v>5638124</v>
      </c>
      <c r="DI47" s="240">
        <f>(DH47/1000)/'Table A2'!M26</f>
        <v>0.24825780073653231</v>
      </c>
      <c r="DJ47" s="1">
        <f>'Table A2'!M26-RawDataSources!DH47/1000</f>
        <v>17072.638696168215</v>
      </c>
      <c r="DK47">
        <v>55731.432157898103</v>
      </c>
      <c r="DL47" s="240">
        <f t="shared" si="11"/>
        <v>0.30633769912458148</v>
      </c>
      <c r="DM47" s="240">
        <f>'Table A2'!M26/RawDataSources!DK47</f>
        <v>0.40750366205957456</v>
      </c>
      <c r="DP47" s="1">
        <v>-1796.0050000000001</v>
      </c>
      <c r="DQ47" s="1">
        <v>250221</v>
      </c>
      <c r="DR47" s="1">
        <v>-1264.7919999999999</v>
      </c>
      <c r="DS47" s="1">
        <v>-1215.529</v>
      </c>
      <c r="DT47" s="1"/>
      <c r="DU47" s="1">
        <v>-323.16000000000003</v>
      </c>
      <c r="DV47" s="1">
        <v>778.2396449686313</v>
      </c>
      <c r="DW47" s="1">
        <v>-35.968816619999998</v>
      </c>
      <c r="DX47" s="1">
        <v>1223.6579999999999</v>
      </c>
      <c r="DY47" s="1">
        <v>-1460.6980000000001</v>
      </c>
      <c r="DZ47" s="1">
        <v>-96.009</v>
      </c>
      <c r="EA47" s="1"/>
      <c r="EB47" s="1">
        <v>-636.19600000000003</v>
      </c>
      <c r="EC47" s="1">
        <v>-32.86</v>
      </c>
      <c r="ED47" s="1">
        <v>-148.71</v>
      </c>
      <c r="EE47" s="1"/>
      <c r="EF47" s="1">
        <v>-1796.0050000000001</v>
      </c>
      <c r="EG47" s="1">
        <v>2194.9210526315787</v>
      </c>
      <c r="EH47" s="1">
        <v>-1861.8994202872948</v>
      </c>
      <c r="EI47" s="1">
        <v>-1789.3793923762923</v>
      </c>
      <c r="EJ47" s="1"/>
      <c r="EK47" s="1">
        <v>-647.41931800196733</v>
      </c>
      <c r="EL47" s="1">
        <v>691.46125719114286</v>
      </c>
      <c r="EM47" s="1">
        <v>-5.6082101503056005</v>
      </c>
      <c r="EN47" s="1">
        <v>226.18447319778187</v>
      </c>
      <c r="EO47" s="1">
        <v>-23.616782538399356</v>
      </c>
      <c r="EP47" s="1">
        <v>-18.916911315587253</v>
      </c>
      <c r="EQ47" s="1"/>
      <c r="ER47" s="1">
        <v>-560.87102177554436</v>
      </c>
      <c r="ES47" s="1">
        <v>-33.255743345815198</v>
      </c>
      <c r="ET47" s="1">
        <v>-115.10151007360739</v>
      </c>
      <c r="EV47" s="1">
        <v>55853.287909432627</v>
      </c>
      <c r="EW47" s="1">
        <v>12348.157026429988</v>
      </c>
      <c r="EX47" s="1">
        <v>12369.540941070532</v>
      </c>
      <c r="EY47" s="1">
        <v>14061.8</v>
      </c>
      <c r="EZ47" s="1">
        <v>4414.3547013147363</v>
      </c>
      <c r="FA47" s="1">
        <v>2419.1988552871358</v>
      </c>
      <c r="FB47" s="1">
        <v>4377.9438490412213</v>
      </c>
    </row>
    <row r="48" spans="1:158" x14ac:dyDescent="0.2">
      <c r="A48">
        <v>2008</v>
      </c>
      <c r="B48" s="6">
        <v>9836277.1050000004</v>
      </c>
      <c r="C48" s="7">
        <v>39445.315889999998</v>
      </c>
      <c r="D48" s="6">
        <v>20881683.510000002</v>
      </c>
      <c r="E48" s="7">
        <v>3603632.0120000001</v>
      </c>
      <c r="F48" s="7"/>
      <c r="G48" s="6">
        <v>458230.28629601316</v>
      </c>
      <c r="H48" s="6">
        <v>744420.70808211865</v>
      </c>
      <c r="I48" s="6">
        <v>617</v>
      </c>
      <c r="J48" s="6">
        <v>49438</v>
      </c>
      <c r="K48" s="6"/>
      <c r="L48" s="6"/>
      <c r="M48" s="6">
        <v>21706.334737094061</v>
      </c>
      <c r="N48" s="6">
        <v>62497.042638884624</v>
      </c>
      <c r="O48" s="6">
        <v>0</v>
      </c>
      <c r="P48" s="6">
        <v>0</v>
      </c>
      <c r="Q48" s="6"/>
      <c r="R48" s="6"/>
      <c r="S48" s="6">
        <v>1946030</v>
      </c>
      <c r="T48" s="6">
        <f t="shared" si="0"/>
        <v>1654125.5</v>
      </c>
      <c r="U48" s="6"/>
      <c r="V48" s="6">
        <v>240255.6992</v>
      </c>
      <c r="W48" s="6">
        <v>186385.2549</v>
      </c>
      <c r="X48" s="6">
        <v>587027.8853100196</v>
      </c>
      <c r="Y48" s="6">
        <v>182591.07142857148</v>
      </c>
      <c r="Z48" s="6"/>
      <c r="AA48" s="6">
        <v>152981.10250000001</v>
      </c>
      <c r="AB48" s="6">
        <v>127351.8621</v>
      </c>
      <c r="AC48" s="6">
        <v>124207.0036</v>
      </c>
      <c r="AD48" s="6">
        <v>171384.88200000001</v>
      </c>
      <c r="AE48" s="6"/>
      <c r="AF48" s="6">
        <v>3909269.4569999999</v>
      </c>
      <c r="AG48" s="6">
        <f t="shared" si="1"/>
        <v>2132415.2549000001</v>
      </c>
      <c r="AH48" s="6">
        <v>1946030</v>
      </c>
      <c r="AI48" s="6">
        <v>7337734</v>
      </c>
      <c r="AJ48" s="6">
        <v>8626.7009070000004</v>
      </c>
      <c r="AK48" s="6">
        <v>638375.87780000002</v>
      </c>
      <c r="AL48" s="6">
        <f t="shared" si="5"/>
        <v>647002.57870700001</v>
      </c>
      <c r="AM48" s="6">
        <v>1140928</v>
      </c>
      <c r="AN48" s="23"/>
      <c r="AO48" s="6">
        <v>296389</v>
      </c>
      <c r="AP48" s="23"/>
      <c r="AQ48" s="6">
        <v>11144506.717460999</v>
      </c>
      <c r="AR48" s="6">
        <v>23352550.530540001</v>
      </c>
      <c r="AS48" s="6">
        <v>11288275.869999999</v>
      </c>
      <c r="AT48" s="6">
        <v>23358350.600000001</v>
      </c>
      <c r="AU48" s="6">
        <v>14309.452700314287</v>
      </c>
      <c r="AV48" s="6">
        <v>592400.48653809202</v>
      </c>
      <c r="AW48" s="6">
        <v>472306.35690000001</v>
      </c>
      <c r="AX48" s="6">
        <v>51025.563110000003</v>
      </c>
      <c r="AY48" s="6">
        <v>123455.2</v>
      </c>
      <c r="AZ48" s="6">
        <v>-0.3953980952501297</v>
      </c>
      <c r="BA48" s="6"/>
      <c r="BB48" s="6">
        <f t="shared" si="2"/>
        <v>3218539.0709836064</v>
      </c>
      <c r="BC48" s="6">
        <v>1126030.675</v>
      </c>
      <c r="BD48" s="6">
        <v>1506685.558</v>
      </c>
      <c r="BE48" s="6"/>
      <c r="BF48" s="6">
        <v>2096800</v>
      </c>
      <c r="BG48" s="6">
        <v>387826</v>
      </c>
      <c r="BH48" s="23">
        <f t="shared" si="12"/>
        <v>0.84390970713499736</v>
      </c>
      <c r="BI48" s="6">
        <v>889440</v>
      </c>
      <c r="BJ48" s="6">
        <v>757902</v>
      </c>
      <c r="BK48" s="23">
        <f t="shared" si="6"/>
        <v>0.53992431444108147</v>
      </c>
      <c r="BL48" s="23">
        <f t="shared" si="13"/>
        <v>0.69191701078803947</v>
      </c>
      <c r="BM48" s="23"/>
      <c r="BN48" s="6">
        <f t="shared" si="7"/>
        <v>1737767.5014026589</v>
      </c>
      <c r="BO48" s="6">
        <f t="shared" si="8"/>
        <v>1480771.5695809475</v>
      </c>
      <c r="BP48" s="6"/>
      <c r="BQ48" s="6"/>
      <c r="BR48" s="6"/>
      <c r="BS48" s="6"/>
      <c r="BT48" s="26">
        <v>0.71854600000000002</v>
      </c>
      <c r="BU48" s="1"/>
      <c r="BV48" s="1"/>
      <c r="BW48" s="24">
        <f>BX47*AS48</f>
        <v>305894.38777353993</v>
      </c>
      <c r="BX48" s="33">
        <f t="shared" si="3"/>
        <v>2.7098415320136921E-2</v>
      </c>
      <c r="BY48" s="24">
        <f>BZ47*AT48</f>
        <v>564728.57559302193</v>
      </c>
      <c r="BZ48" s="33">
        <f t="shared" si="4"/>
        <v>2.4176731707803972E-2</v>
      </c>
      <c r="CC48" s="7">
        <v>621166.79443594697</v>
      </c>
      <c r="CE48" s="7">
        <v>13488.852721151101</v>
      </c>
      <c r="CF48" s="7"/>
      <c r="CG48" s="7"/>
      <c r="CH48" s="6"/>
      <c r="CJ48" s="6"/>
      <c r="CK48" s="6"/>
      <c r="CL48" s="6"/>
      <c r="CM48" s="6"/>
      <c r="CN48" s="6"/>
      <c r="CO48" s="6">
        <v>2149150</v>
      </c>
      <c r="CP48" s="6">
        <v>2149154.9922000002</v>
      </c>
      <c r="CQ48" s="29"/>
      <c r="CR48" s="6">
        <v>201826</v>
      </c>
      <c r="CS48" s="7">
        <v>307291.07907170599</v>
      </c>
      <c r="CT48" s="6"/>
      <c r="CU48" s="7"/>
      <c r="CV48" s="1"/>
      <c r="CW48" s="6">
        <v>23845.355</v>
      </c>
      <c r="CX48" s="1"/>
      <c r="CY48" s="7">
        <v>637.91200000000003</v>
      </c>
      <c r="CZ48" s="7">
        <v>19.408999999999999</v>
      </c>
      <c r="DA48" s="7">
        <v>621166.79443594697</v>
      </c>
      <c r="DB48">
        <f t="shared" si="10"/>
        <v>0.94499764108547712</v>
      </c>
      <c r="DC48">
        <v>13488.852721151101</v>
      </c>
      <c r="DE48">
        <v>20458.224160000002</v>
      </c>
      <c r="DF48">
        <v>38020.746749999998</v>
      </c>
      <c r="DH48">
        <v>4075793</v>
      </c>
      <c r="DI48" s="240">
        <f>(DH48/1000)/'Table A2'!M27</f>
        <v>0.29832250625363893</v>
      </c>
      <c r="DJ48" s="1">
        <f>'Table A2'!M27-RawDataSources!DH48/1000</f>
        <v>9586.5788109108762</v>
      </c>
      <c r="DK48">
        <v>61305.355262582299</v>
      </c>
      <c r="DL48" s="240">
        <f t="shared" si="11"/>
        <v>0.15637424772843689</v>
      </c>
      <c r="DM48" s="240">
        <f>'Table A2'!M27/RawDataSources!DK48</f>
        <v>0.22285772184815475</v>
      </c>
      <c r="DP48" s="1">
        <v>-3260.1579999999999</v>
      </c>
      <c r="DQ48" s="1">
        <v>225508</v>
      </c>
      <c r="DR48" s="1">
        <v>-1640.559</v>
      </c>
      <c r="DS48" s="1">
        <v>-1609.1669999999999</v>
      </c>
      <c r="DT48" s="1"/>
      <c r="DU48" s="1">
        <v>-101.5</v>
      </c>
      <c r="DV48" s="1">
        <v>669.1525353572207</v>
      </c>
      <c r="DW48" s="1">
        <v>-311.099274595</v>
      </c>
      <c r="DX48" s="1">
        <v>1534.5940000000001</v>
      </c>
      <c r="DY48" s="1">
        <v>-10226.004000000001</v>
      </c>
      <c r="DZ48" s="1">
        <v>-98.653999999999996</v>
      </c>
      <c r="EA48" s="1"/>
      <c r="EB48" s="1">
        <v>-705.11699999999996</v>
      </c>
      <c r="EC48" s="1">
        <v>-9.1910000000000007</v>
      </c>
      <c r="ED48" s="1">
        <v>-160.96600000000001</v>
      </c>
      <c r="EE48" s="1"/>
      <c r="EF48" s="1">
        <v>-3260.1579999999999</v>
      </c>
      <c r="EG48" s="1">
        <v>2484.9366391184572</v>
      </c>
      <c r="EH48" s="1">
        <v>-2283.1648913221979</v>
      </c>
      <c r="EI48" s="1">
        <v>-2239.4766653770253</v>
      </c>
      <c r="EJ48" s="1"/>
      <c r="EK48" s="1">
        <v>-147.96673299658144</v>
      </c>
      <c r="EL48" s="1">
        <v>629.08013101177085</v>
      </c>
      <c r="EM48" s="1">
        <v>-39.830393899956469</v>
      </c>
      <c r="EN48" s="1">
        <v>219.22771428571428</v>
      </c>
      <c r="EO48" s="1">
        <v>-84.806800464421968</v>
      </c>
      <c r="EP48" s="1">
        <v>-18.667146019792238</v>
      </c>
      <c r="EQ48" s="1"/>
      <c r="ER48" s="1">
        <v>-488.50438541796564</v>
      </c>
      <c r="ES48" s="1">
        <v>-7.5053078556263282</v>
      </c>
      <c r="ET48" s="1">
        <v>-93.118748589907497</v>
      </c>
      <c r="EV48" s="1">
        <v>61379.60759051799</v>
      </c>
      <c r="EW48" s="1">
        <v>13555.982726987879</v>
      </c>
      <c r="EX48" s="1">
        <v>13579.49991419566</v>
      </c>
      <c r="EY48" s="1">
        <v>14369.1</v>
      </c>
      <c r="EZ48" s="1">
        <v>4461.1967942231004</v>
      </c>
      <c r="FA48" s="1">
        <v>2656.3394155790493</v>
      </c>
      <c r="FB48" s="1">
        <v>4886.965818167746</v>
      </c>
    </row>
    <row r="49" spans="1:158" x14ac:dyDescent="0.2">
      <c r="A49">
        <v>2009</v>
      </c>
      <c r="AC49" s="6"/>
      <c r="AJ49" s="6"/>
      <c r="AK49" s="6"/>
      <c r="AP49" s="6"/>
      <c r="AQ49" s="6"/>
      <c r="AR49" s="6"/>
      <c r="AW49" s="6"/>
      <c r="AX49" s="6"/>
      <c r="AY49" s="6"/>
      <c r="AZ49" s="6"/>
      <c r="BK49" s="6"/>
      <c r="BL49" s="6"/>
      <c r="BM49" s="6"/>
      <c r="DP49" s="1">
        <v>-2396.4259999999999</v>
      </c>
      <c r="DQ49" s="1">
        <v>266223</v>
      </c>
      <c r="DR49" s="1">
        <v>-1458.0039999999999</v>
      </c>
      <c r="DS49" s="1">
        <v>-1458.0039999999999</v>
      </c>
      <c r="DT49" s="1"/>
      <c r="DU49" s="1">
        <v>-294.43200000000002</v>
      </c>
      <c r="DV49" s="1">
        <v>764.12679393444682</v>
      </c>
      <c r="DW49" s="1">
        <v>-405.37721205000003</v>
      </c>
      <c r="DX49" s="1">
        <v>1888.7470000000001</v>
      </c>
      <c r="DY49" s="1">
        <v>-10579.449000000001</v>
      </c>
      <c r="DZ49" s="1">
        <v>75.572999999999993</v>
      </c>
      <c r="EA49" s="1"/>
      <c r="EB49" s="1">
        <v>-774.88400000000001</v>
      </c>
      <c r="EC49" s="1">
        <v>-130.42400000000001</v>
      </c>
      <c r="ED49" s="1">
        <v>-160.74199999999999</v>
      </c>
      <c r="EE49" s="1"/>
      <c r="EF49" s="1">
        <v>-2396.4259999999999</v>
      </c>
      <c r="EG49" s="1">
        <v>2891.8422767760158</v>
      </c>
      <c r="EH49" s="1">
        <v>-2100.4012072231708</v>
      </c>
      <c r="EI49" s="1">
        <v>-2100.4012072231708</v>
      </c>
      <c r="EJ49" s="1"/>
      <c r="EK49" s="1">
        <v>-476.83226041540144</v>
      </c>
      <c r="EL49" s="1">
        <v>741.510717063995</v>
      </c>
      <c r="EM49" s="1">
        <v>-56.963003168692474</v>
      </c>
      <c r="EN49" s="1">
        <v>326.7728373702422</v>
      </c>
      <c r="EO49" s="1">
        <v>-84.703354683746994</v>
      </c>
      <c r="EP49" s="1">
        <v>14.560991117704859</v>
      </c>
      <c r="EQ49" s="1"/>
      <c r="ER49" s="1">
        <v>-694.99439436746036</v>
      </c>
      <c r="ES49" s="1">
        <v>-124.61685457672465</v>
      </c>
      <c r="ET49" s="1">
        <v>-116.00727472178518</v>
      </c>
      <c r="EV49" s="1">
        <v>58259.785029003622</v>
      </c>
      <c r="EW49" s="1">
        <v>12446.246842271827</v>
      </c>
      <c r="EX49" s="1">
        <v>12465.330802474371</v>
      </c>
      <c r="EY49" s="1">
        <v>14119</v>
      </c>
      <c r="EZ49" s="1">
        <v>3776.021569659159</v>
      </c>
      <c r="FA49" s="1">
        <v>2387.5900971423544</v>
      </c>
      <c r="FB49" s="1">
        <v>5068.996399490863</v>
      </c>
    </row>
    <row r="50" spans="1:158" x14ac:dyDescent="0.2">
      <c r="A50">
        <v>2010</v>
      </c>
      <c r="G50" s="7"/>
      <c r="H50" s="7"/>
      <c r="AP50" s="6"/>
      <c r="AQ50" s="6"/>
      <c r="AR50" s="6"/>
      <c r="AS50" s="611"/>
      <c r="AT50" s="611"/>
      <c r="AZ50" s="6"/>
      <c r="DP50" s="1">
        <v>-2470.989</v>
      </c>
      <c r="DQ50" s="1">
        <v>251495</v>
      </c>
      <c r="DR50" s="1">
        <v>-1182.3789999999999</v>
      </c>
      <c r="DS50" s="1">
        <v>-1182.6210000000001</v>
      </c>
      <c r="DT50" s="1"/>
      <c r="DU50" s="1">
        <v>-189.495</v>
      </c>
      <c r="DV50" s="435">
        <v>764.12679393444682</v>
      </c>
      <c r="DW50" s="1">
        <v>-728.907424859</v>
      </c>
      <c r="DX50" s="435">
        <v>1888.7470000000001</v>
      </c>
      <c r="DY50" s="1">
        <v>-9779.6880000000001</v>
      </c>
      <c r="DZ50" s="1">
        <v>167.47300000000001</v>
      </c>
      <c r="EA50" s="1"/>
      <c r="EB50" s="1">
        <v>-782.10199999999998</v>
      </c>
      <c r="EC50" s="1">
        <v>-254.37700000000001</v>
      </c>
      <c r="ED50" s="1">
        <v>-158.596</v>
      </c>
      <c r="EE50" s="1"/>
      <c r="EF50" s="1">
        <v>-2470.989</v>
      </c>
      <c r="EG50" s="1">
        <v>3087.722529158993</v>
      </c>
      <c r="EH50" s="1">
        <v>-1579.8947341697053</v>
      </c>
      <c r="EI50" s="1">
        <v>-1580.2180945521793</v>
      </c>
      <c r="EJ50" s="1"/>
      <c r="EK50" s="1">
        <v>-296.65421573201166</v>
      </c>
      <c r="EL50" s="1">
        <v>813.24690712478377</v>
      </c>
      <c r="EM50" s="1">
        <v>-108.63487560680805</v>
      </c>
      <c r="EN50" s="1">
        <v>322.31177474402728</v>
      </c>
      <c r="EO50" s="1">
        <v>-85.003807040417215</v>
      </c>
      <c r="EP50" s="1">
        <v>29.835034649849469</v>
      </c>
      <c r="EQ50" s="1"/>
      <c r="ER50" s="1">
        <v>-794.85060891641035</v>
      </c>
      <c r="ES50" s="1">
        <v>-254.14826656009595</v>
      </c>
      <c r="ET50" s="1">
        <v>-122.21408811041158</v>
      </c>
      <c r="EV50" s="1"/>
      <c r="EW50" s="1"/>
      <c r="EX50" s="1"/>
      <c r="EY50" s="1"/>
      <c r="EZ50" s="1"/>
      <c r="FA50" s="1"/>
    </row>
    <row r="51" spans="1:158" x14ac:dyDescent="0.2">
      <c r="G51" s="7"/>
      <c r="H51" s="7"/>
      <c r="AC51" s="7"/>
      <c r="AD51" s="7"/>
      <c r="AZ51" s="6"/>
      <c r="BY51" s="1"/>
      <c r="BZ51" s="1"/>
      <c r="CA51" s="7"/>
      <c r="CB51" s="7"/>
      <c r="DP51" s="1"/>
      <c r="FA51" s="1"/>
    </row>
    <row r="52" spans="1:158" x14ac:dyDescent="0.2">
      <c r="G52" s="7"/>
      <c r="H52" s="7"/>
      <c r="W52" s="7"/>
      <c r="AC52" s="7"/>
      <c r="AD52" s="7"/>
      <c r="AZ52" s="6"/>
      <c r="BY52" s="1"/>
      <c r="BZ52" s="1"/>
      <c r="CA52" s="7"/>
      <c r="CB52" s="7"/>
      <c r="DP52" s="1"/>
      <c r="DV52" t="s">
        <v>778</v>
      </c>
      <c r="DX52" t="s">
        <v>778</v>
      </c>
    </row>
    <row r="53" spans="1:158" x14ac:dyDescent="0.2">
      <c r="G53" s="7"/>
      <c r="H53" s="7"/>
      <c r="W53" s="7"/>
      <c r="AD53" s="7"/>
      <c r="AI53" s="7"/>
      <c r="AW53" s="6"/>
      <c r="AZ53" s="6"/>
      <c r="BY53" s="1"/>
      <c r="BZ53" s="1"/>
      <c r="CA53" s="7"/>
      <c r="CB53" s="7"/>
      <c r="DP53" s="1"/>
    </row>
    <row r="54" spans="1:158" x14ac:dyDescent="0.2">
      <c r="G54" s="7"/>
      <c r="H54" s="7"/>
      <c r="W54" s="7"/>
      <c r="AD54" s="7"/>
      <c r="AI54" s="7"/>
      <c r="BY54" s="1"/>
      <c r="BZ54" s="1"/>
      <c r="CA54" s="7"/>
      <c r="CB54" s="7"/>
    </row>
    <row r="55" spans="1:158" x14ac:dyDescent="0.2">
      <c r="G55" s="7"/>
      <c r="H55" s="7"/>
      <c r="W55" s="7"/>
      <c r="AD55" s="7"/>
      <c r="AI55" s="7"/>
      <c r="BY55" s="1"/>
      <c r="BZ55" s="1"/>
      <c r="CA55" s="7"/>
      <c r="CB55" s="7"/>
    </row>
    <row r="56" spans="1:158" x14ac:dyDescent="0.2">
      <c r="G56" s="7"/>
      <c r="H56" s="7"/>
      <c r="W56" s="7"/>
      <c r="AD56" s="7"/>
      <c r="AI56" s="7"/>
      <c r="BY56" s="1"/>
      <c r="BZ56" s="1"/>
      <c r="CA56" s="7"/>
      <c r="CB56" s="7"/>
    </row>
    <row r="57" spans="1:158" x14ac:dyDescent="0.2">
      <c r="G57" s="7"/>
      <c r="H57" s="7"/>
      <c r="W57" s="7"/>
      <c r="AD57" s="7"/>
      <c r="AI57" s="7"/>
      <c r="BY57" s="1"/>
      <c r="BZ57" s="1"/>
      <c r="CA57" s="7"/>
      <c r="CB57" s="7"/>
    </row>
    <row r="58" spans="1:158" x14ac:dyDescent="0.2">
      <c r="W58" s="7"/>
      <c r="AD58" s="7"/>
      <c r="AI58" s="7"/>
      <c r="BY58" s="1"/>
      <c r="BZ58" s="1"/>
    </row>
    <row r="59" spans="1:158" x14ac:dyDescent="0.2">
      <c r="W59" s="7"/>
      <c r="AI59" s="7"/>
      <c r="BY59" s="1"/>
      <c r="BZ59" s="1"/>
    </row>
    <row r="60" spans="1:158" x14ac:dyDescent="0.2">
      <c r="W60" s="7"/>
      <c r="AI60" s="7"/>
      <c r="BY60" s="1"/>
      <c r="BZ60" s="1"/>
    </row>
    <row r="61" spans="1:158" x14ac:dyDescent="0.2">
      <c r="W61" s="7"/>
      <c r="BY61" s="1"/>
      <c r="BZ61" s="1"/>
    </row>
    <row r="62" spans="1:158" x14ac:dyDescent="0.2">
      <c r="W62" s="7"/>
      <c r="BY62" s="1"/>
      <c r="BZ62" s="1"/>
    </row>
    <row r="63" spans="1:158" x14ac:dyDescent="0.2">
      <c r="BY63" s="1"/>
      <c r="BZ63" s="1"/>
    </row>
    <row r="64" spans="1:158" x14ac:dyDescent="0.2">
      <c r="BY64" s="1"/>
      <c r="BZ64" s="1"/>
    </row>
    <row r="65" spans="77:78" x14ac:dyDescent="0.2">
      <c r="BY65" s="1"/>
      <c r="BZ65" s="1"/>
    </row>
    <row r="66" spans="77:78" x14ac:dyDescent="0.2">
      <c r="BY66" s="1"/>
      <c r="BZ66" s="1"/>
    </row>
    <row r="67" spans="77:78" x14ac:dyDescent="0.2">
      <c r="BY67" s="1"/>
      <c r="BZ67" s="1"/>
    </row>
    <row r="68" spans="77:78" x14ac:dyDescent="0.2">
      <c r="BY68" s="1"/>
      <c r="BZ68" s="1"/>
    </row>
    <row r="69" spans="77:78" x14ac:dyDescent="0.2">
      <c r="BY69" s="1"/>
      <c r="BZ69" s="1"/>
    </row>
    <row r="70" spans="77:78" x14ac:dyDescent="0.2">
      <c r="BY70" s="1"/>
      <c r="BZ70" s="1"/>
    </row>
    <row r="71" spans="77:78" x14ac:dyDescent="0.2">
      <c r="BY71" s="1"/>
      <c r="BZ71" s="1"/>
    </row>
    <row r="72" spans="77:78" x14ac:dyDescent="0.2">
      <c r="BY72" s="1"/>
      <c r="BZ72" s="1"/>
    </row>
    <row r="73" spans="77:78" x14ac:dyDescent="0.2">
      <c r="BY73" s="1"/>
      <c r="BZ73" s="1"/>
    </row>
    <row r="74" spans="77:78" x14ac:dyDescent="0.2">
      <c r="BY74" s="1"/>
      <c r="BZ74" s="1"/>
    </row>
    <row r="75" spans="77:78" x14ac:dyDescent="0.2">
      <c r="BY75" s="1"/>
      <c r="BZ75" s="1"/>
    </row>
    <row r="76" spans="77:78" x14ac:dyDescent="0.2">
      <c r="BY76" s="1"/>
      <c r="BZ76" s="1"/>
    </row>
    <row r="77" spans="77:78" x14ac:dyDescent="0.2">
      <c r="BY77" s="1"/>
      <c r="BZ77" s="1"/>
    </row>
    <row r="78" spans="77:78" x14ac:dyDescent="0.2">
      <c r="BY78" s="1"/>
      <c r="BZ78" s="1"/>
    </row>
    <row r="79" spans="77:78" x14ac:dyDescent="0.2">
      <c r="BY79" s="1"/>
      <c r="BZ79" s="1"/>
    </row>
    <row r="80" spans="77:78" x14ac:dyDescent="0.2">
      <c r="BY80" s="1"/>
      <c r="BZ80" s="1"/>
    </row>
    <row r="81" spans="77:78" x14ac:dyDescent="0.2">
      <c r="BY81" s="1"/>
      <c r="BZ81" s="1"/>
    </row>
    <row r="82" spans="77:78" x14ac:dyDescent="0.2">
      <c r="BY82" s="1"/>
      <c r="BZ82" s="1"/>
    </row>
  </sheetData>
  <phoneticPr fontId="13"/>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O57"/>
  <sheetViews>
    <sheetView workbookViewId="0">
      <pane xSplit="1" ySplit="5" topLeftCell="B37" activePane="bottomRight" state="frozen"/>
      <selection activeCell="G35" sqref="G35:I35"/>
      <selection pane="topRight" activeCell="G35" sqref="G35:I35"/>
      <selection pane="bottomLeft" activeCell="G35" sqref="G35:I35"/>
      <selection pane="bottomRight" activeCell="A47" sqref="A47:XFD47"/>
    </sheetView>
  </sheetViews>
  <sheetFormatPr baseColWidth="10" defaultColWidth="10.7265625" defaultRowHeight="15.6" x14ac:dyDescent="0.3"/>
  <cols>
    <col min="1" max="1" width="13.7265625" style="431" customWidth="1"/>
    <col min="2" max="3" width="10.7265625" style="431"/>
    <col min="4" max="4" width="13.453125" style="431" customWidth="1"/>
    <col min="5" max="5" width="4.7265625" style="431" customWidth="1"/>
    <col min="6" max="11" width="10.7265625" style="431"/>
    <col min="12" max="12" width="3.26953125" style="431" customWidth="1"/>
    <col min="13" max="16384" width="10.7265625" style="431"/>
  </cols>
  <sheetData>
    <row r="1" spans="1:15" x14ac:dyDescent="0.3">
      <c r="B1" s="433" t="s">
        <v>763</v>
      </c>
      <c r="F1" s="433" t="s">
        <v>762</v>
      </c>
      <c r="M1" s="433" t="s">
        <v>761</v>
      </c>
    </row>
    <row r="3" spans="1:15" s="432" customFormat="1" ht="31.2" x14ac:dyDescent="0.3">
      <c r="A3" s="432" t="s">
        <v>760</v>
      </c>
      <c r="B3" s="432" t="s">
        <v>647</v>
      </c>
      <c r="C3" s="432" t="s">
        <v>348</v>
      </c>
      <c r="D3" s="432" t="s">
        <v>776</v>
      </c>
      <c r="F3" s="431" t="s">
        <v>757</v>
      </c>
      <c r="G3" s="431" t="s">
        <v>346</v>
      </c>
      <c r="H3" s="431" t="s">
        <v>385</v>
      </c>
      <c r="I3" s="431" t="s">
        <v>424</v>
      </c>
      <c r="J3" s="431" t="s">
        <v>478</v>
      </c>
      <c r="K3" s="431" t="s">
        <v>512</v>
      </c>
      <c r="M3" s="431" t="s">
        <v>756</v>
      </c>
      <c r="N3" s="431" t="s">
        <v>331</v>
      </c>
      <c r="O3" s="431" t="s">
        <v>430</v>
      </c>
    </row>
    <row r="4" spans="1:15" x14ac:dyDescent="0.3">
      <c r="A4" s="431" t="s">
        <v>755</v>
      </c>
      <c r="B4" s="431" t="s">
        <v>775</v>
      </c>
      <c r="C4" s="431" t="s">
        <v>775</v>
      </c>
      <c r="D4" s="431" t="s">
        <v>775</v>
      </c>
      <c r="F4" s="431" t="s">
        <v>775</v>
      </c>
      <c r="G4" s="431" t="s">
        <v>775</v>
      </c>
      <c r="H4" s="431" t="s">
        <v>775</v>
      </c>
      <c r="I4" s="431" t="s">
        <v>775</v>
      </c>
      <c r="J4" s="431" t="s">
        <v>775</v>
      </c>
      <c r="K4" s="431" t="s">
        <v>775</v>
      </c>
      <c r="M4" s="431" t="s">
        <v>775</v>
      </c>
      <c r="N4" s="431" t="s">
        <v>775</v>
      </c>
      <c r="O4" s="431" t="s">
        <v>775</v>
      </c>
    </row>
    <row r="5" spans="1:15" s="432" customFormat="1" ht="62.4" x14ac:dyDescent="0.3">
      <c r="A5" s="432" t="s">
        <v>153</v>
      </c>
      <c r="B5" s="432" t="s">
        <v>774</v>
      </c>
      <c r="C5" s="432" t="s">
        <v>774</v>
      </c>
      <c r="D5" s="432" t="s">
        <v>774</v>
      </c>
      <c r="F5" s="432" t="s">
        <v>774</v>
      </c>
      <c r="G5" s="432" t="s">
        <v>774</v>
      </c>
      <c r="H5" s="432" t="s">
        <v>774</v>
      </c>
      <c r="I5" s="432" t="s">
        <v>774</v>
      </c>
      <c r="J5" s="432" t="s">
        <v>774</v>
      </c>
      <c r="K5" s="432" t="s">
        <v>774</v>
      </c>
      <c r="M5" s="432" t="s">
        <v>774</v>
      </c>
      <c r="N5" s="432" t="s">
        <v>774</v>
      </c>
      <c r="O5" s="432" t="s">
        <v>774</v>
      </c>
    </row>
    <row r="6" spans="1:15" x14ac:dyDescent="0.3">
      <c r="A6" s="431">
        <v>1960</v>
      </c>
      <c r="B6" s="431">
        <v>1</v>
      </c>
      <c r="C6" s="431">
        <v>358.22</v>
      </c>
      <c r="F6" s="431">
        <v>0.356659</v>
      </c>
      <c r="G6" s="431">
        <v>4.3049999999999997</v>
      </c>
      <c r="H6" s="431">
        <v>5.18</v>
      </c>
      <c r="I6" s="431">
        <v>7.1475</v>
      </c>
      <c r="J6" s="431">
        <v>0.38100000000000001</v>
      </c>
      <c r="K6" s="431">
        <v>6.9059999999999997</v>
      </c>
      <c r="M6" s="431">
        <v>0.89365499999999998</v>
      </c>
      <c r="N6" s="431">
        <v>0.996</v>
      </c>
      <c r="O6" s="431">
        <v>0.71852000000000005</v>
      </c>
    </row>
    <row r="7" spans="1:15" x14ac:dyDescent="0.3">
      <c r="A7" s="431">
        <v>1961</v>
      </c>
      <c r="B7" s="431">
        <v>1</v>
      </c>
      <c r="C7" s="431">
        <v>361.77</v>
      </c>
      <c r="F7" s="431">
        <v>0.35611300000000001</v>
      </c>
      <c r="G7" s="431">
        <v>4.3159999999999998</v>
      </c>
      <c r="H7" s="431">
        <v>5.1849999999999996</v>
      </c>
      <c r="I7" s="431">
        <v>7.1349999999999998</v>
      </c>
      <c r="J7" s="431">
        <v>0.43059999999999998</v>
      </c>
      <c r="K7" s="431">
        <v>6.8860000000000001</v>
      </c>
      <c r="M7" s="431">
        <v>0.892459</v>
      </c>
      <c r="N7" s="431">
        <v>1.0434000000000001</v>
      </c>
      <c r="O7" s="431">
        <v>0.71751500000000001</v>
      </c>
    </row>
    <row r="8" spans="1:15" x14ac:dyDescent="0.3">
      <c r="A8" s="431">
        <v>1962</v>
      </c>
      <c r="B8" s="431">
        <v>1</v>
      </c>
      <c r="C8" s="431">
        <v>358.2</v>
      </c>
      <c r="F8" s="431">
        <v>0.35682399999999997</v>
      </c>
      <c r="G8" s="431">
        <v>4.319</v>
      </c>
      <c r="H8" s="431">
        <v>5.1879999999999997</v>
      </c>
      <c r="I8" s="431">
        <v>7.15</v>
      </c>
      <c r="J8" s="431">
        <v>0.43059999999999998</v>
      </c>
      <c r="K8" s="431">
        <v>6.9020000000000001</v>
      </c>
      <c r="M8" s="431">
        <v>0.89405500000000004</v>
      </c>
      <c r="N8" s="431">
        <v>1.0771999999999999</v>
      </c>
      <c r="O8" s="431">
        <v>0.718804</v>
      </c>
    </row>
    <row r="9" spans="1:15" x14ac:dyDescent="0.3">
      <c r="A9" s="431">
        <v>1963</v>
      </c>
      <c r="B9" s="431">
        <v>1</v>
      </c>
      <c r="C9" s="431">
        <v>361.95</v>
      </c>
      <c r="F9" s="431">
        <v>0.35757699999999998</v>
      </c>
      <c r="G9" s="431">
        <v>4.3150000000000004</v>
      </c>
      <c r="H9" s="431">
        <v>5.2</v>
      </c>
      <c r="I9" s="431">
        <v>7.1624999999999996</v>
      </c>
      <c r="J9" s="431">
        <v>0.43059999999999998</v>
      </c>
      <c r="K9" s="431">
        <v>6.9109999999999996</v>
      </c>
      <c r="M9" s="431">
        <v>0.89605699999999999</v>
      </c>
      <c r="N9" s="431">
        <v>1.0806</v>
      </c>
      <c r="O9" s="431">
        <v>0.720383</v>
      </c>
    </row>
    <row r="10" spans="1:15" x14ac:dyDescent="0.3">
      <c r="A10" s="431">
        <v>1964</v>
      </c>
      <c r="B10" s="431">
        <v>1</v>
      </c>
      <c r="C10" s="431">
        <v>358.3</v>
      </c>
      <c r="F10" s="431">
        <v>0.35841000000000001</v>
      </c>
      <c r="G10" s="431">
        <v>4.3150000000000004</v>
      </c>
      <c r="H10" s="431">
        <v>5.1479999999999997</v>
      </c>
      <c r="I10" s="431">
        <v>7.16</v>
      </c>
      <c r="J10" s="431">
        <v>0.43059999999999998</v>
      </c>
      <c r="K10" s="431">
        <v>6.9210000000000003</v>
      </c>
      <c r="M10" s="431">
        <v>0.89766599999999996</v>
      </c>
      <c r="N10" s="431">
        <v>1.0738000000000001</v>
      </c>
      <c r="O10" s="431">
        <v>0.72170900000000004</v>
      </c>
    </row>
    <row r="11" spans="1:15" x14ac:dyDescent="0.3">
      <c r="A11" s="431">
        <v>1965</v>
      </c>
      <c r="B11" s="431">
        <v>1</v>
      </c>
      <c r="C11" s="431">
        <v>360.9</v>
      </c>
      <c r="F11" s="431">
        <v>0.35678599999999999</v>
      </c>
      <c r="G11" s="431">
        <v>4.3179999999999996</v>
      </c>
      <c r="H11" s="431">
        <v>5.18</v>
      </c>
      <c r="I11" s="431">
        <v>7.15</v>
      </c>
      <c r="J11" s="431">
        <v>0.43059999999999998</v>
      </c>
      <c r="K11" s="431">
        <v>6.891</v>
      </c>
      <c r="M11" s="431">
        <v>0.89405500000000004</v>
      </c>
      <c r="N11" s="431">
        <v>1.075</v>
      </c>
      <c r="O11" s="431">
        <v>0.718804</v>
      </c>
    </row>
    <row r="12" spans="1:15" x14ac:dyDescent="0.3">
      <c r="A12" s="431">
        <v>1966</v>
      </c>
      <c r="B12" s="431">
        <v>1</v>
      </c>
      <c r="C12" s="431">
        <v>362.47</v>
      </c>
      <c r="F12" s="431">
        <v>0.35839700000000002</v>
      </c>
      <c r="G12" s="431">
        <v>4.327</v>
      </c>
      <c r="H12" s="431">
        <v>5.18</v>
      </c>
      <c r="I12" s="431">
        <v>7.1550000000000002</v>
      </c>
      <c r="J12" s="431">
        <v>0.43059999999999998</v>
      </c>
      <c r="K12" s="431">
        <v>6.9160000000000004</v>
      </c>
      <c r="M12" s="431">
        <v>0.89766599999999996</v>
      </c>
      <c r="N12" s="431">
        <v>1.0838000000000001</v>
      </c>
      <c r="O12" s="431">
        <v>0.72202200000000005</v>
      </c>
    </row>
    <row r="13" spans="1:15" x14ac:dyDescent="0.3">
      <c r="A13" s="431">
        <v>1967</v>
      </c>
      <c r="B13" s="431">
        <v>1</v>
      </c>
      <c r="C13" s="431">
        <v>361.91</v>
      </c>
      <c r="F13" s="431">
        <v>0.415576</v>
      </c>
      <c r="G13" s="431">
        <v>4.3250000000000002</v>
      </c>
      <c r="H13" s="431">
        <v>5.165</v>
      </c>
      <c r="I13" s="431">
        <v>7.15</v>
      </c>
      <c r="J13" s="431">
        <v>0.57069999999999999</v>
      </c>
      <c r="K13" s="431">
        <v>7.4619999999999997</v>
      </c>
      <c r="M13" s="431">
        <v>0.89206099999999999</v>
      </c>
      <c r="N13" s="431">
        <v>1.0806</v>
      </c>
      <c r="O13" s="431">
        <v>0.89071</v>
      </c>
    </row>
    <row r="14" spans="1:15" x14ac:dyDescent="0.3">
      <c r="A14" s="431">
        <v>1968</v>
      </c>
      <c r="B14" s="431">
        <v>1</v>
      </c>
      <c r="C14" s="431">
        <v>357.7</v>
      </c>
      <c r="F14" s="431">
        <v>0.41939300000000002</v>
      </c>
      <c r="G14" s="431">
        <v>4.3019999999999996</v>
      </c>
      <c r="H14" s="431">
        <v>5.18</v>
      </c>
      <c r="I14" s="431">
        <v>7.15</v>
      </c>
      <c r="J14" s="431">
        <v>0.88100000000000001</v>
      </c>
      <c r="K14" s="431">
        <v>7.5010000000000003</v>
      </c>
      <c r="M14" s="431">
        <v>0.90090099999999995</v>
      </c>
      <c r="N14" s="431">
        <v>1.0728</v>
      </c>
      <c r="O14" s="431">
        <v>0.8992</v>
      </c>
    </row>
    <row r="15" spans="1:15" x14ac:dyDescent="0.3">
      <c r="A15" s="431">
        <v>1969</v>
      </c>
      <c r="B15" s="431">
        <v>1</v>
      </c>
      <c r="C15" s="431">
        <v>357.8</v>
      </c>
      <c r="F15" s="431">
        <v>0.416545</v>
      </c>
      <c r="G15" s="431">
        <v>4.3179999999999996</v>
      </c>
      <c r="H15" s="431">
        <v>5.17</v>
      </c>
      <c r="I15" s="431">
        <v>7.15</v>
      </c>
      <c r="J15" s="431">
        <v>0.88100000000000001</v>
      </c>
      <c r="K15" s="431">
        <v>7.492</v>
      </c>
      <c r="M15" s="431">
        <v>0.89445399999999997</v>
      </c>
      <c r="N15" s="431">
        <v>1.0728</v>
      </c>
      <c r="O15" s="431">
        <v>0.89301699999999995</v>
      </c>
    </row>
    <row r="16" spans="1:15" x14ac:dyDescent="0.3">
      <c r="A16" s="431">
        <v>1970</v>
      </c>
      <c r="B16" s="431">
        <v>1</v>
      </c>
      <c r="C16" s="431">
        <v>357.65</v>
      </c>
      <c r="F16" s="431">
        <v>0.417763</v>
      </c>
      <c r="G16" s="431">
        <v>4.3159999999999998</v>
      </c>
      <c r="H16" s="431">
        <v>5.17</v>
      </c>
      <c r="I16" s="431">
        <v>7.14</v>
      </c>
      <c r="J16" s="431">
        <v>0.88100000000000001</v>
      </c>
      <c r="K16" s="431">
        <v>7.4889999999999999</v>
      </c>
      <c r="M16" s="431">
        <v>0.89686100000000002</v>
      </c>
      <c r="N16" s="431">
        <v>1.0112000000000001</v>
      </c>
      <c r="O16" s="431">
        <v>0.89597700000000002</v>
      </c>
    </row>
    <row r="17" spans="1:15" x14ac:dyDescent="0.3">
      <c r="A17" s="431">
        <v>1971</v>
      </c>
      <c r="B17" s="431">
        <v>1</v>
      </c>
      <c r="C17" s="431">
        <v>314.8</v>
      </c>
      <c r="F17" s="431">
        <v>0.39177299999999998</v>
      </c>
      <c r="G17" s="431">
        <v>3.915</v>
      </c>
      <c r="H17" s="431">
        <v>4.8650000000000002</v>
      </c>
      <c r="I17" s="431">
        <v>6.71</v>
      </c>
      <c r="J17" s="431">
        <v>0.87419999999999998</v>
      </c>
      <c r="K17" s="431">
        <v>7.0620000000000003</v>
      </c>
      <c r="M17" s="431">
        <v>0.83963100000000002</v>
      </c>
      <c r="N17" s="431">
        <v>1.0022</v>
      </c>
      <c r="O17" s="431">
        <v>0.83667999999999998</v>
      </c>
    </row>
    <row r="18" spans="1:15" x14ac:dyDescent="0.3">
      <c r="A18" s="431">
        <v>1972</v>
      </c>
      <c r="B18" s="431">
        <v>1</v>
      </c>
      <c r="C18" s="431">
        <v>302</v>
      </c>
      <c r="F18" s="431">
        <v>0.42587599999999998</v>
      </c>
      <c r="G18" s="431">
        <v>3.774</v>
      </c>
      <c r="H18" s="431">
        <v>4.7430000000000003</v>
      </c>
      <c r="I18" s="431">
        <v>6.64</v>
      </c>
      <c r="J18" s="431">
        <v>0.97899999999999998</v>
      </c>
      <c r="K18" s="431">
        <v>6.8470000000000004</v>
      </c>
      <c r="M18" s="431">
        <v>0.78431399999999996</v>
      </c>
      <c r="N18" s="431">
        <v>0.99560000000000004</v>
      </c>
      <c r="O18" s="431">
        <v>0.83667999999999998</v>
      </c>
    </row>
    <row r="19" spans="1:15" x14ac:dyDescent="0.3">
      <c r="A19" s="431">
        <v>1973</v>
      </c>
      <c r="B19" s="431">
        <v>1</v>
      </c>
      <c r="C19" s="431">
        <v>280</v>
      </c>
      <c r="F19" s="431">
        <v>0.43044100000000002</v>
      </c>
      <c r="G19" s="431">
        <v>3.2440000000000002</v>
      </c>
      <c r="H19" s="431">
        <v>4.5875000000000004</v>
      </c>
      <c r="I19" s="431">
        <v>5.7275</v>
      </c>
      <c r="J19" s="431">
        <v>0.84</v>
      </c>
      <c r="K19" s="431">
        <v>6.29</v>
      </c>
      <c r="M19" s="431">
        <v>0.67204299999999995</v>
      </c>
      <c r="N19" s="431">
        <v>0.99580000000000002</v>
      </c>
      <c r="O19" s="431">
        <v>0.70008400000000004</v>
      </c>
    </row>
    <row r="20" spans="1:15" x14ac:dyDescent="0.3">
      <c r="A20" s="431">
        <v>1974</v>
      </c>
      <c r="B20" s="431">
        <v>1</v>
      </c>
      <c r="C20" s="431">
        <v>300.95</v>
      </c>
      <c r="F20" s="431">
        <v>0.42580400000000002</v>
      </c>
      <c r="G20" s="431">
        <v>2.54</v>
      </c>
      <c r="H20" s="431">
        <v>4.0804999999999998</v>
      </c>
      <c r="I20" s="431">
        <v>5.2050000000000001</v>
      </c>
      <c r="J20" s="431">
        <v>118.5</v>
      </c>
      <c r="K20" s="431">
        <v>5.65</v>
      </c>
      <c r="M20" s="431">
        <v>0.75358000000000003</v>
      </c>
      <c r="N20" s="431">
        <v>0.99119999999999997</v>
      </c>
      <c r="O20" s="431">
        <v>0.76016700000000004</v>
      </c>
    </row>
    <row r="21" spans="1:15" x14ac:dyDescent="0.3">
      <c r="A21" s="431">
        <v>1975</v>
      </c>
      <c r="B21" s="431">
        <v>1</v>
      </c>
      <c r="C21" s="431">
        <v>305.14999999999998</v>
      </c>
      <c r="F21" s="431">
        <v>0.49419299999999999</v>
      </c>
      <c r="G21" s="431">
        <v>2.62</v>
      </c>
      <c r="H21" s="431">
        <v>4.3855000000000004</v>
      </c>
      <c r="I21" s="431">
        <v>5.585</v>
      </c>
      <c r="J21" s="431">
        <v>170.8</v>
      </c>
      <c r="K21" s="431">
        <v>6.1775000000000002</v>
      </c>
      <c r="M21" s="431">
        <v>0.79548200000000002</v>
      </c>
      <c r="N21" s="431">
        <v>1.0164</v>
      </c>
      <c r="O21" s="431">
        <v>0.95813000000000004</v>
      </c>
    </row>
    <row r="22" spans="1:15" x14ac:dyDescent="0.3">
      <c r="A22" s="431">
        <v>1976</v>
      </c>
      <c r="B22" s="431">
        <v>1</v>
      </c>
      <c r="C22" s="431">
        <v>292.8</v>
      </c>
      <c r="F22" s="431">
        <v>0.58740599999999998</v>
      </c>
      <c r="G22" s="431">
        <v>2.4495</v>
      </c>
      <c r="H22" s="431">
        <v>4.1265000000000001</v>
      </c>
      <c r="I22" s="431">
        <v>5.1849999999999996</v>
      </c>
      <c r="J22" s="431">
        <v>189.7</v>
      </c>
      <c r="K22" s="431">
        <v>5.7874999999999996</v>
      </c>
      <c r="M22" s="431">
        <v>0.92047100000000004</v>
      </c>
      <c r="N22" s="431">
        <v>1.0092000000000001</v>
      </c>
      <c r="O22" s="431">
        <v>1.05263</v>
      </c>
    </row>
    <row r="23" spans="1:15" x14ac:dyDescent="0.3">
      <c r="A23" s="431">
        <v>1977</v>
      </c>
      <c r="B23" s="431">
        <v>1</v>
      </c>
      <c r="C23" s="431">
        <v>240</v>
      </c>
      <c r="F23" s="431">
        <v>0.52465899999999999</v>
      </c>
      <c r="G23" s="431">
        <v>2</v>
      </c>
      <c r="H23" s="431">
        <v>4.6695000000000002</v>
      </c>
      <c r="I23" s="431">
        <v>5.1395</v>
      </c>
      <c r="J23" s="431">
        <v>213.1</v>
      </c>
      <c r="K23" s="431">
        <v>5.7774999999999999</v>
      </c>
      <c r="M23" s="431">
        <v>0.87611700000000003</v>
      </c>
      <c r="N23" s="431">
        <v>1.0944</v>
      </c>
      <c r="O23" s="431">
        <v>0.98068100000000002</v>
      </c>
    </row>
    <row r="24" spans="1:15" x14ac:dyDescent="0.3">
      <c r="A24" s="431">
        <v>1978</v>
      </c>
      <c r="B24" s="431">
        <v>1</v>
      </c>
      <c r="C24" s="431">
        <v>194.6</v>
      </c>
      <c r="F24" s="431">
        <v>0.49152099999999999</v>
      </c>
      <c r="G24" s="431">
        <v>1.62</v>
      </c>
      <c r="H24" s="431">
        <v>4.2954999999999997</v>
      </c>
      <c r="I24" s="431">
        <v>5.0225</v>
      </c>
      <c r="J24" s="431">
        <v>318.10000000000002</v>
      </c>
      <c r="K24" s="431">
        <v>5.09</v>
      </c>
      <c r="M24" s="431">
        <v>0.86918700000000004</v>
      </c>
      <c r="N24" s="431">
        <v>1.1859999999999999</v>
      </c>
      <c r="O24" s="431">
        <v>0.93755900000000003</v>
      </c>
    </row>
    <row r="25" spans="1:15" x14ac:dyDescent="0.3">
      <c r="A25" s="431">
        <v>1979</v>
      </c>
      <c r="B25" s="431">
        <v>1</v>
      </c>
      <c r="C25" s="431">
        <v>239.7</v>
      </c>
      <c r="F25" s="431">
        <v>0.44963999999999998</v>
      </c>
      <c r="G25" s="431">
        <v>1.58</v>
      </c>
      <c r="H25" s="431">
        <v>4.1464999999999996</v>
      </c>
      <c r="I25" s="431">
        <v>4.9260000000000002</v>
      </c>
      <c r="J25" s="431">
        <v>394.9</v>
      </c>
      <c r="K25" s="431">
        <v>5.3650000000000002</v>
      </c>
      <c r="M25" s="431">
        <v>0.90456800000000004</v>
      </c>
      <c r="N25" s="431">
        <v>1.1680999999999999</v>
      </c>
      <c r="O25" s="431">
        <v>1.0139899999999999</v>
      </c>
    </row>
    <row r="26" spans="1:15" x14ac:dyDescent="0.3">
      <c r="A26" s="431">
        <v>1980</v>
      </c>
      <c r="B26" s="431">
        <v>1</v>
      </c>
      <c r="C26" s="431">
        <v>203</v>
      </c>
      <c r="F26" s="431">
        <v>0.41928700000000002</v>
      </c>
      <c r="G26" s="431">
        <v>1.7635000000000001</v>
      </c>
      <c r="H26" s="431">
        <v>4.3727999999999998</v>
      </c>
      <c r="I26" s="431">
        <v>5.18</v>
      </c>
      <c r="J26" s="431">
        <v>623.9</v>
      </c>
      <c r="K26" s="431">
        <v>6.0149999999999997</v>
      </c>
      <c r="M26" s="431">
        <v>0.84695500000000001</v>
      </c>
      <c r="N26" s="431">
        <v>1.1947000000000001</v>
      </c>
      <c r="O26" s="431">
        <v>1.03918</v>
      </c>
    </row>
    <row r="27" spans="1:15" x14ac:dyDescent="0.3">
      <c r="A27" s="431">
        <v>1981</v>
      </c>
      <c r="B27" s="431">
        <v>1</v>
      </c>
      <c r="C27" s="431">
        <v>219.9</v>
      </c>
      <c r="F27" s="431">
        <v>0.52410900000000005</v>
      </c>
      <c r="G27" s="431">
        <v>1.7985</v>
      </c>
      <c r="H27" s="431">
        <v>5.5709999999999997</v>
      </c>
      <c r="I27" s="431">
        <v>5.8075000000000001</v>
      </c>
      <c r="J27" s="431">
        <v>8.173</v>
      </c>
      <c r="K27" s="431">
        <v>7.3250000000000002</v>
      </c>
      <c r="M27" s="431">
        <v>0.88660300000000003</v>
      </c>
      <c r="N27" s="431">
        <v>1.1859</v>
      </c>
      <c r="O27" s="431">
        <v>1.2130000000000001</v>
      </c>
    </row>
    <row r="28" spans="1:15" x14ac:dyDescent="0.3">
      <c r="A28" s="431">
        <v>1982</v>
      </c>
      <c r="B28" s="431">
        <v>1</v>
      </c>
      <c r="C28" s="431">
        <v>235</v>
      </c>
      <c r="F28" s="431">
        <v>0.61938700000000002</v>
      </c>
      <c r="G28" s="431">
        <v>1.9944999999999999</v>
      </c>
      <c r="H28" s="431">
        <v>7.2945000000000002</v>
      </c>
      <c r="I28" s="431">
        <v>7.0540000000000003</v>
      </c>
      <c r="J28" s="431">
        <v>16.625</v>
      </c>
      <c r="K28" s="431">
        <v>8.3840000000000003</v>
      </c>
      <c r="M28" s="431">
        <v>1.0197799999999999</v>
      </c>
      <c r="N28" s="431">
        <v>1.2294</v>
      </c>
      <c r="O28" s="431">
        <v>1.3651899999999999</v>
      </c>
    </row>
    <row r="29" spans="1:15" x14ac:dyDescent="0.3">
      <c r="A29" s="431">
        <v>1983</v>
      </c>
      <c r="B29" s="431">
        <v>1</v>
      </c>
      <c r="C29" s="431">
        <v>232.2</v>
      </c>
      <c r="F29" s="431">
        <v>0.68937000000000004</v>
      </c>
      <c r="G29" s="431">
        <v>2.1795</v>
      </c>
      <c r="H29" s="431">
        <v>8.0009999999999994</v>
      </c>
      <c r="I29" s="431">
        <v>7.7221799999999998</v>
      </c>
      <c r="J29" s="431">
        <v>28.67</v>
      </c>
      <c r="K29" s="431">
        <v>9.875</v>
      </c>
      <c r="M29" s="431">
        <v>1.1086499999999999</v>
      </c>
      <c r="N29" s="431">
        <v>1.2444</v>
      </c>
      <c r="O29" s="431">
        <v>1.52765</v>
      </c>
    </row>
    <row r="30" spans="1:15" x14ac:dyDescent="0.3">
      <c r="A30" s="431">
        <v>1984</v>
      </c>
      <c r="B30" s="431">
        <v>1</v>
      </c>
      <c r="C30" s="431">
        <v>251.1</v>
      </c>
      <c r="F30" s="431">
        <v>0.86467799999999995</v>
      </c>
      <c r="G30" s="431">
        <v>2.585</v>
      </c>
      <c r="H30" s="431">
        <v>8.9894999999999996</v>
      </c>
      <c r="I30" s="431">
        <v>9.0869999999999997</v>
      </c>
      <c r="J30" s="431">
        <v>40.545000000000002</v>
      </c>
      <c r="K30" s="431">
        <v>11.26</v>
      </c>
      <c r="M30" s="431">
        <v>1.2080200000000001</v>
      </c>
      <c r="N30" s="431">
        <v>1.3213999999999999</v>
      </c>
      <c r="O30" s="431">
        <v>2.0937999999999999</v>
      </c>
    </row>
    <row r="31" spans="1:15" x14ac:dyDescent="0.3">
      <c r="A31" s="431">
        <v>1985</v>
      </c>
      <c r="B31" s="431">
        <v>1</v>
      </c>
      <c r="C31" s="431">
        <v>200.5</v>
      </c>
      <c r="F31" s="431">
        <v>0.69228100000000004</v>
      </c>
      <c r="G31" s="431">
        <v>2.0764999999999998</v>
      </c>
      <c r="H31" s="431">
        <v>7.6154999999999999</v>
      </c>
      <c r="I31" s="431">
        <v>7.5824999999999996</v>
      </c>
      <c r="J31" s="431">
        <v>42.06</v>
      </c>
      <c r="K31" s="431">
        <v>8.9689999999999994</v>
      </c>
      <c r="M31" s="431">
        <v>1.4686399999999999</v>
      </c>
      <c r="N31" s="431">
        <v>1.3975</v>
      </c>
      <c r="O31" s="431">
        <v>2.0060199999999999</v>
      </c>
    </row>
    <row r="32" spans="1:15" x14ac:dyDescent="0.3">
      <c r="A32" s="431">
        <v>1986</v>
      </c>
      <c r="B32" s="431">
        <v>1</v>
      </c>
      <c r="C32" s="431">
        <v>159.1</v>
      </c>
      <c r="F32" s="431">
        <v>0.67819600000000002</v>
      </c>
      <c r="G32" s="431">
        <v>1.6234999999999999</v>
      </c>
      <c r="H32" s="431">
        <v>6.819</v>
      </c>
      <c r="I32" s="431">
        <v>7.4</v>
      </c>
      <c r="J32" s="431">
        <v>40.24</v>
      </c>
      <c r="K32" s="431">
        <v>7.3425000000000002</v>
      </c>
      <c r="M32" s="431">
        <v>1.50421</v>
      </c>
      <c r="N32" s="431">
        <v>1.3805000000000001</v>
      </c>
      <c r="O32" s="431">
        <v>1.91022</v>
      </c>
    </row>
    <row r="33" spans="1:15" x14ac:dyDescent="0.3">
      <c r="A33" s="431">
        <v>1987</v>
      </c>
      <c r="B33" s="431">
        <v>1</v>
      </c>
      <c r="C33" s="431">
        <v>123.5</v>
      </c>
      <c r="F33" s="431">
        <v>0.534331</v>
      </c>
      <c r="G33" s="431">
        <v>1.278</v>
      </c>
      <c r="H33" s="431">
        <v>5.8479999999999999</v>
      </c>
      <c r="I33" s="431">
        <v>6.2324999999999999</v>
      </c>
      <c r="J33" s="431">
        <v>35.659999999999997</v>
      </c>
      <c r="K33" s="431">
        <v>6.0964999999999998</v>
      </c>
      <c r="M33" s="431">
        <v>1.38408</v>
      </c>
      <c r="N33" s="431">
        <v>1.2998000000000001</v>
      </c>
      <c r="O33" s="431">
        <v>1.52091</v>
      </c>
    </row>
    <row r="34" spans="1:15" x14ac:dyDescent="0.3">
      <c r="A34" s="431">
        <v>1988</v>
      </c>
      <c r="B34" s="431">
        <v>1</v>
      </c>
      <c r="C34" s="431">
        <v>125.85</v>
      </c>
      <c r="F34" s="431">
        <v>0.55263899999999999</v>
      </c>
      <c r="G34" s="431">
        <v>1.504</v>
      </c>
      <c r="H34" s="431">
        <v>6.157</v>
      </c>
      <c r="I34" s="431">
        <v>6.57</v>
      </c>
      <c r="J34" s="431">
        <v>46.22</v>
      </c>
      <c r="K34" s="431">
        <v>6.8739999999999997</v>
      </c>
      <c r="M34" s="431">
        <v>1.1689099999999999</v>
      </c>
      <c r="N34" s="431">
        <v>1.1927000000000001</v>
      </c>
      <c r="O34" s="431">
        <v>1.5915999999999999</v>
      </c>
    </row>
    <row r="35" spans="1:15" x14ac:dyDescent="0.3">
      <c r="A35" s="431">
        <v>1989</v>
      </c>
      <c r="B35" s="431">
        <v>1</v>
      </c>
      <c r="C35" s="431">
        <v>143.44999999999999</v>
      </c>
      <c r="F35" s="431">
        <v>0.62285900000000005</v>
      </c>
      <c r="G35" s="431">
        <v>1.5465</v>
      </c>
      <c r="H35" s="431">
        <v>6.2270000000000003</v>
      </c>
      <c r="I35" s="431">
        <v>6.6150000000000002</v>
      </c>
      <c r="J35" s="431">
        <v>61.17</v>
      </c>
      <c r="K35" s="431">
        <v>6.6074999999999999</v>
      </c>
      <c r="M35" s="431">
        <v>1.2615099999999999</v>
      </c>
      <c r="N35" s="431">
        <v>1.1577999999999999</v>
      </c>
      <c r="O35" s="431">
        <v>1.67448</v>
      </c>
    </row>
    <row r="36" spans="1:15" x14ac:dyDescent="0.3">
      <c r="A36" s="431">
        <v>1990</v>
      </c>
      <c r="B36" s="431">
        <v>1</v>
      </c>
      <c r="C36" s="431">
        <v>134.4</v>
      </c>
      <c r="F36" s="431">
        <v>0.51867200000000002</v>
      </c>
      <c r="G36" s="431">
        <v>1.2955000000000001</v>
      </c>
      <c r="H36" s="431">
        <v>5.6980000000000004</v>
      </c>
      <c r="I36" s="431">
        <v>5.9074999999999998</v>
      </c>
      <c r="J36" s="431">
        <v>55.39</v>
      </c>
      <c r="K36" s="431">
        <v>5.7759999999999998</v>
      </c>
      <c r="M36" s="431">
        <v>1.2931600000000001</v>
      </c>
      <c r="N36" s="431">
        <v>1.1603000000000001</v>
      </c>
      <c r="O36" s="431">
        <v>1.70126</v>
      </c>
    </row>
    <row r="37" spans="1:15" x14ac:dyDescent="0.3">
      <c r="A37" s="431">
        <v>1991</v>
      </c>
      <c r="B37" s="431">
        <v>1</v>
      </c>
      <c r="C37" s="431">
        <v>125.2</v>
      </c>
      <c r="F37" s="431">
        <v>0.53455900000000001</v>
      </c>
      <c r="G37" s="431">
        <v>1.3554999999999999</v>
      </c>
      <c r="H37" s="431">
        <v>5.5294999999999996</v>
      </c>
      <c r="I37" s="431">
        <v>5.9729999999999999</v>
      </c>
      <c r="J37" s="431">
        <v>55.62</v>
      </c>
      <c r="K37" s="431">
        <v>5.9135</v>
      </c>
      <c r="M37" s="431">
        <v>1.3161400000000001</v>
      </c>
      <c r="N37" s="431">
        <v>1.1556</v>
      </c>
      <c r="O37" s="431">
        <v>1.84809</v>
      </c>
    </row>
    <row r="38" spans="1:15" x14ac:dyDescent="0.3">
      <c r="A38" s="431">
        <v>1992</v>
      </c>
      <c r="B38" s="431">
        <v>1</v>
      </c>
      <c r="C38" s="431">
        <v>124.75</v>
      </c>
      <c r="F38" s="431">
        <v>0.66137599999999996</v>
      </c>
      <c r="G38" s="431">
        <v>1.456</v>
      </c>
      <c r="H38" s="431">
        <v>7.0430000000000001</v>
      </c>
      <c r="I38" s="431">
        <v>6.9245000000000001</v>
      </c>
      <c r="J38" s="431">
        <v>63.92</v>
      </c>
      <c r="K38" s="431">
        <v>6.2554999999999996</v>
      </c>
      <c r="M38" s="431">
        <v>1.4522200000000001</v>
      </c>
      <c r="N38" s="431">
        <v>1.2710999999999999</v>
      </c>
      <c r="O38" s="431">
        <v>1.9443900000000001</v>
      </c>
    </row>
    <row r="39" spans="1:15" x14ac:dyDescent="0.3">
      <c r="A39" s="431">
        <v>1993</v>
      </c>
      <c r="B39" s="431">
        <v>1</v>
      </c>
      <c r="C39" s="431">
        <v>111.85</v>
      </c>
      <c r="F39" s="431">
        <v>0.67512799999999995</v>
      </c>
      <c r="G39" s="431">
        <v>1.4795</v>
      </c>
      <c r="H39" s="431">
        <v>8.3034999999999997</v>
      </c>
      <c r="I39" s="431">
        <v>7.5179999999999998</v>
      </c>
      <c r="J39" s="431">
        <v>72.73</v>
      </c>
      <c r="K39" s="431">
        <v>6.7725</v>
      </c>
      <c r="M39" s="431">
        <v>1.47689</v>
      </c>
      <c r="N39" s="431">
        <v>1.3240000000000001</v>
      </c>
      <c r="O39" s="431">
        <v>1.78955</v>
      </c>
    </row>
    <row r="40" spans="1:15" x14ac:dyDescent="0.3">
      <c r="A40" s="431">
        <v>1994</v>
      </c>
      <c r="B40" s="431">
        <v>1</v>
      </c>
      <c r="C40" s="431">
        <v>99.74</v>
      </c>
      <c r="F40" s="431">
        <v>0.64</v>
      </c>
      <c r="G40" s="431">
        <v>1.3115000000000001</v>
      </c>
      <c r="H40" s="431">
        <v>7.4615</v>
      </c>
      <c r="I40" s="431">
        <v>6.7619999999999996</v>
      </c>
      <c r="J40" s="431">
        <v>68.3</v>
      </c>
      <c r="K40" s="431">
        <v>6.0830000000000002</v>
      </c>
      <c r="M40" s="431">
        <v>1.2873300000000001</v>
      </c>
      <c r="N40" s="431">
        <v>1.4028</v>
      </c>
      <c r="O40" s="431">
        <v>1.5564199999999999</v>
      </c>
    </row>
    <row r="41" spans="1:15" x14ac:dyDescent="0.3">
      <c r="A41" s="431">
        <v>1995</v>
      </c>
      <c r="B41" s="431">
        <v>1</v>
      </c>
      <c r="C41" s="431">
        <v>102.83</v>
      </c>
      <c r="F41" s="431">
        <v>0.64516099999999998</v>
      </c>
      <c r="G41" s="431">
        <v>1.1505000000000001</v>
      </c>
      <c r="H41" s="431">
        <v>6.6581999999999999</v>
      </c>
      <c r="I41" s="431">
        <v>6.319</v>
      </c>
      <c r="J41" s="431">
        <v>65.23</v>
      </c>
      <c r="K41" s="431">
        <v>5.5460000000000003</v>
      </c>
      <c r="M41" s="431">
        <v>1.3422799999999999</v>
      </c>
      <c r="N41" s="431">
        <v>1.3652</v>
      </c>
      <c r="O41" s="431">
        <v>1.5306900000000001</v>
      </c>
    </row>
    <row r="42" spans="1:15" x14ac:dyDescent="0.3">
      <c r="A42" s="431">
        <v>1996</v>
      </c>
      <c r="B42" s="431">
        <v>1</v>
      </c>
      <c r="C42" s="431">
        <v>116</v>
      </c>
      <c r="F42" s="431">
        <v>0.58892800000000001</v>
      </c>
      <c r="G42" s="431">
        <v>1.3464</v>
      </c>
      <c r="H42" s="431">
        <v>6.8710000000000004</v>
      </c>
      <c r="I42" s="431">
        <v>6.4424999999999999</v>
      </c>
      <c r="J42" s="431">
        <v>66.89</v>
      </c>
      <c r="K42" s="431">
        <v>5.9444999999999997</v>
      </c>
      <c r="M42" s="431">
        <v>1.25549</v>
      </c>
      <c r="N42" s="431">
        <v>1.3695999999999999</v>
      </c>
      <c r="O42" s="431">
        <v>1.4164300000000001</v>
      </c>
    </row>
    <row r="43" spans="1:15" x14ac:dyDescent="0.3">
      <c r="A43" s="431">
        <v>1997</v>
      </c>
      <c r="B43" s="431">
        <v>1</v>
      </c>
      <c r="C43" s="431">
        <v>129.94999999999999</v>
      </c>
      <c r="F43" s="431">
        <v>0.60466799999999998</v>
      </c>
      <c r="G43" s="431">
        <v>1.4553</v>
      </c>
      <c r="H43" s="431">
        <v>7.8769999999999998</v>
      </c>
      <c r="I43" s="431">
        <v>7.3156999999999996</v>
      </c>
      <c r="J43" s="431">
        <v>72.180000000000007</v>
      </c>
      <c r="K43" s="431">
        <v>6.8259999999999996</v>
      </c>
      <c r="M43" s="431">
        <v>1.5321</v>
      </c>
      <c r="N43" s="431">
        <v>1.4291</v>
      </c>
      <c r="O43" s="431">
        <v>1.7191000000000001</v>
      </c>
    </row>
    <row r="44" spans="1:15" x14ac:dyDescent="0.3">
      <c r="A44" s="431">
        <v>1998</v>
      </c>
      <c r="B44" s="431">
        <v>1</v>
      </c>
      <c r="C44" s="431">
        <v>115.6</v>
      </c>
      <c r="F44" s="431">
        <v>0.60114199999999995</v>
      </c>
      <c r="G44" s="431">
        <v>1.3765000000000001</v>
      </c>
      <c r="H44" s="431">
        <v>8.0609999999999999</v>
      </c>
      <c r="I44" s="431">
        <v>7.6</v>
      </c>
      <c r="J44" s="431">
        <v>69.319999999999993</v>
      </c>
      <c r="K44" s="431">
        <v>6.3864999999999998</v>
      </c>
      <c r="M44" s="431">
        <v>1.62893</v>
      </c>
      <c r="N44" s="431">
        <v>1.5305</v>
      </c>
      <c r="O44" s="431">
        <v>1.8978900000000001</v>
      </c>
    </row>
    <row r="45" spans="1:15" x14ac:dyDescent="0.3">
      <c r="A45" s="431">
        <v>1999</v>
      </c>
      <c r="B45" s="431">
        <v>1</v>
      </c>
      <c r="C45" s="431">
        <v>102.2</v>
      </c>
      <c r="D45" s="431">
        <v>0.995421</v>
      </c>
      <c r="F45" s="431">
        <v>0.61865899999999996</v>
      </c>
      <c r="G45" s="431">
        <v>1.5995999999999999</v>
      </c>
      <c r="H45" s="431">
        <v>8.5250000000000004</v>
      </c>
      <c r="I45" s="431">
        <v>8.0395000000000003</v>
      </c>
      <c r="J45" s="431">
        <v>72.55</v>
      </c>
      <c r="K45" s="431">
        <v>7.3987999999999996</v>
      </c>
      <c r="M45" s="431">
        <v>1.52952</v>
      </c>
      <c r="N45" s="431">
        <v>1.4433</v>
      </c>
      <c r="O45" s="431">
        <v>1.92086</v>
      </c>
    </row>
    <row r="46" spans="1:15" x14ac:dyDescent="0.3">
      <c r="A46" s="431">
        <v>2000</v>
      </c>
      <c r="B46" s="431">
        <v>1</v>
      </c>
      <c r="C46" s="431">
        <v>114.9</v>
      </c>
      <c r="D46" s="431">
        <v>1.0746899999999999</v>
      </c>
      <c r="F46" s="431">
        <v>0.67015100000000005</v>
      </c>
      <c r="G46" s="431">
        <v>1.6365000000000001</v>
      </c>
      <c r="H46" s="431">
        <v>9.5350000000000001</v>
      </c>
      <c r="I46" s="431">
        <v>8.8484999999999996</v>
      </c>
      <c r="J46" s="431">
        <v>84.7</v>
      </c>
      <c r="K46" s="431">
        <v>8.0205000000000002</v>
      </c>
      <c r="M46" s="431">
        <v>1.80505</v>
      </c>
      <c r="N46" s="431">
        <v>1.5002</v>
      </c>
      <c r="O46" s="431">
        <v>2.27169</v>
      </c>
    </row>
    <row r="47" spans="1:15" x14ac:dyDescent="0.3">
      <c r="A47" s="431">
        <v>2001</v>
      </c>
      <c r="B47" s="431">
        <v>1</v>
      </c>
      <c r="C47" s="431">
        <v>131.80000000000001</v>
      </c>
      <c r="D47" s="431">
        <v>1.13469</v>
      </c>
      <c r="F47" s="431">
        <v>0.68946499999999999</v>
      </c>
      <c r="G47" s="431">
        <v>1.6773</v>
      </c>
      <c r="H47" s="431">
        <v>10.6675</v>
      </c>
      <c r="I47" s="431">
        <v>9.0115999999999996</v>
      </c>
      <c r="J47" s="431">
        <v>102.95</v>
      </c>
      <c r="K47" s="431">
        <v>8.4094999999999995</v>
      </c>
      <c r="M47" s="431">
        <v>1.95848</v>
      </c>
      <c r="N47" s="431">
        <v>1.5926</v>
      </c>
      <c r="O47" s="431">
        <v>2.4067400000000001</v>
      </c>
    </row>
    <row r="48" spans="1:15" x14ac:dyDescent="0.3">
      <c r="A48" s="431">
        <v>2002</v>
      </c>
      <c r="B48" s="431">
        <v>1</v>
      </c>
      <c r="C48" s="431">
        <v>119.9</v>
      </c>
      <c r="D48" s="431">
        <v>0.95356200000000002</v>
      </c>
      <c r="F48" s="431">
        <v>0.62042399999999998</v>
      </c>
      <c r="G48" s="431">
        <v>1.3868</v>
      </c>
      <c r="H48" s="431">
        <v>8.8249999999999993</v>
      </c>
      <c r="I48" s="431">
        <v>6.9657</v>
      </c>
      <c r="J48" s="431">
        <v>80.58</v>
      </c>
      <c r="K48" s="431">
        <v>7.0822000000000003</v>
      </c>
      <c r="M48" s="431">
        <v>1.76616</v>
      </c>
      <c r="N48" s="431">
        <v>1.5795999999999999</v>
      </c>
      <c r="O48" s="431">
        <v>1.89934</v>
      </c>
    </row>
    <row r="49" spans="1:15" x14ac:dyDescent="0.3">
      <c r="A49" s="431">
        <v>2003</v>
      </c>
      <c r="B49" s="431">
        <v>1</v>
      </c>
      <c r="C49" s="431">
        <v>107.1</v>
      </c>
      <c r="D49" s="431">
        <v>0.79176599999999997</v>
      </c>
      <c r="F49" s="431">
        <v>0.56031799999999998</v>
      </c>
      <c r="G49" s="431">
        <v>1.2369000000000001</v>
      </c>
      <c r="H49" s="431">
        <v>7.1891999999999996</v>
      </c>
      <c r="I49" s="431">
        <v>6.68</v>
      </c>
      <c r="J49" s="431">
        <v>70.989999999999995</v>
      </c>
      <c r="K49" s="431">
        <v>5.9576000000000002</v>
      </c>
      <c r="M49" s="431">
        <v>1.3333299999999999</v>
      </c>
      <c r="N49" s="431">
        <v>1.2924</v>
      </c>
      <c r="O49" s="431">
        <v>1.5384599999999999</v>
      </c>
    </row>
    <row r="50" spans="1:15" x14ac:dyDescent="0.3">
      <c r="A50" s="431">
        <v>2004</v>
      </c>
      <c r="B50" s="431">
        <v>1</v>
      </c>
      <c r="C50" s="431">
        <v>104.12</v>
      </c>
      <c r="D50" s="431">
        <v>0.73416000000000003</v>
      </c>
      <c r="F50" s="431">
        <v>0.51775899999999997</v>
      </c>
      <c r="G50" s="431">
        <v>1.1315999999999999</v>
      </c>
      <c r="H50" s="431">
        <v>6.6146000000000003</v>
      </c>
      <c r="I50" s="431">
        <v>6.04</v>
      </c>
      <c r="J50" s="431">
        <v>61.04</v>
      </c>
      <c r="K50" s="431">
        <v>5.4676</v>
      </c>
      <c r="M50" s="431">
        <v>1.2837000000000001</v>
      </c>
      <c r="N50" s="431">
        <v>1.2036</v>
      </c>
      <c r="O50" s="431">
        <v>1.39198</v>
      </c>
    </row>
    <row r="51" spans="1:15" x14ac:dyDescent="0.3">
      <c r="A51" s="431">
        <v>2005</v>
      </c>
      <c r="B51" s="431">
        <v>1</v>
      </c>
      <c r="C51" s="431">
        <v>117.97</v>
      </c>
      <c r="D51" s="431">
        <v>0.84767300000000001</v>
      </c>
      <c r="F51" s="431">
        <v>0.58075399999999999</v>
      </c>
      <c r="G51" s="431">
        <v>1.3143</v>
      </c>
      <c r="H51" s="431">
        <v>7.9584000000000001</v>
      </c>
      <c r="I51" s="431">
        <v>6.77</v>
      </c>
      <c r="J51" s="431">
        <v>62.98</v>
      </c>
      <c r="K51" s="431">
        <v>6.3240999999999996</v>
      </c>
      <c r="M51" s="431">
        <v>1.3629500000000001</v>
      </c>
      <c r="N51" s="431">
        <v>1.1645000000000001</v>
      </c>
      <c r="O51" s="431">
        <v>1.46757</v>
      </c>
    </row>
    <row r="52" spans="1:15" x14ac:dyDescent="0.3">
      <c r="A52" s="431">
        <v>2006</v>
      </c>
      <c r="B52" s="431">
        <v>1</v>
      </c>
      <c r="C52" s="431">
        <v>118.95</v>
      </c>
      <c r="D52" s="431">
        <v>0.759301</v>
      </c>
      <c r="F52" s="431">
        <v>0.50942399999999999</v>
      </c>
      <c r="G52" s="431">
        <v>1.2202999999999999</v>
      </c>
      <c r="H52" s="431">
        <v>6.8643999999999998</v>
      </c>
      <c r="I52" s="431">
        <v>6.26</v>
      </c>
      <c r="J52" s="431">
        <v>71.66</v>
      </c>
      <c r="K52" s="431">
        <v>5.6614000000000004</v>
      </c>
      <c r="M52" s="431">
        <v>1.2637400000000001</v>
      </c>
      <c r="N52" s="431">
        <v>1.1653</v>
      </c>
      <c r="O52" s="431">
        <v>1.4166300000000001</v>
      </c>
    </row>
    <row r="53" spans="1:15" x14ac:dyDescent="0.3">
      <c r="A53" s="431">
        <v>2007</v>
      </c>
      <c r="B53" s="431">
        <v>1</v>
      </c>
      <c r="C53" s="431">
        <v>114</v>
      </c>
      <c r="D53" s="431">
        <v>0.67930199999999996</v>
      </c>
      <c r="F53" s="431">
        <v>0.49915100000000001</v>
      </c>
      <c r="G53" s="431">
        <v>1.1254999999999999</v>
      </c>
      <c r="H53" s="431">
        <v>6.4135999999999997</v>
      </c>
      <c r="I53" s="431">
        <v>5.41</v>
      </c>
      <c r="J53" s="431">
        <v>61.85</v>
      </c>
      <c r="K53" s="431">
        <v>5.0753000000000004</v>
      </c>
      <c r="M53" s="431">
        <v>1.1343000000000001</v>
      </c>
      <c r="N53" s="431">
        <v>0.98809999999999998</v>
      </c>
      <c r="O53" s="431">
        <v>1.29199</v>
      </c>
    </row>
    <row r="54" spans="1:15" x14ac:dyDescent="0.3">
      <c r="A54" s="431">
        <v>2008</v>
      </c>
      <c r="B54" s="431">
        <v>1</v>
      </c>
      <c r="C54" s="431">
        <v>90.75</v>
      </c>
      <c r="D54" s="431">
        <v>0.71854600000000002</v>
      </c>
      <c r="F54" s="431">
        <v>0.68596500000000005</v>
      </c>
      <c r="G54" s="431">
        <v>1.0637000000000001</v>
      </c>
      <c r="H54" s="431">
        <v>7.8106</v>
      </c>
      <c r="I54" s="431">
        <v>7</v>
      </c>
      <c r="J54" s="431">
        <v>120.58</v>
      </c>
      <c r="K54" s="431">
        <v>5.2849000000000004</v>
      </c>
      <c r="M54" s="431">
        <v>1.4434199999999999</v>
      </c>
      <c r="N54" s="431">
        <v>1.2245999999999999</v>
      </c>
      <c r="O54" s="431">
        <v>1.72861</v>
      </c>
    </row>
    <row r="55" spans="1:15" x14ac:dyDescent="0.3">
      <c r="A55" s="431">
        <v>2009</v>
      </c>
      <c r="B55" s="431">
        <v>1</v>
      </c>
      <c r="C55" s="431">
        <v>92.06</v>
      </c>
      <c r="D55" s="431">
        <v>0.69415499999999997</v>
      </c>
      <c r="F55" s="431">
        <v>0.617475</v>
      </c>
      <c r="G55" s="431">
        <v>1.0305</v>
      </c>
      <c r="H55" s="431">
        <v>7.1165000000000003</v>
      </c>
      <c r="I55" s="431">
        <v>5.78</v>
      </c>
      <c r="J55" s="431">
        <v>124.9</v>
      </c>
      <c r="K55" s="431">
        <v>5.1901000000000002</v>
      </c>
      <c r="M55" s="431">
        <v>1.1149500000000001</v>
      </c>
      <c r="N55" s="431">
        <v>1.0466</v>
      </c>
      <c r="O55" s="431">
        <v>1.3856200000000001</v>
      </c>
    </row>
    <row r="56" spans="1:15" x14ac:dyDescent="0.3">
      <c r="A56" s="431">
        <v>2010</v>
      </c>
      <c r="B56" s="431">
        <v>1</v>
      </c>
      <c r="C56" s="431">
        <v>81.45</v>
      </c>
      <c r="D56" s="431">
        <v>0.74839100000000003</v>
      </c>
      <c r="F56" s="431">
        <v>0.63877399999999995</v>
      </c>
      <c r="G56" s="431">
        <v>0.93959999999999999</v>
      </c>
      <c r="H56" s="431">
        <v>6.7096999999999998</v>
      </c>
      <c r="I56" s="431">
        <v>5.86</v>
      </c>
      <c r="J56" s="431">
        <v>115.05</v>
      </c>
      <c r="K56" s="431">
        <v>5.6132999999999997</v>
      </c>
      <c r="M56" s="431">
        <v>0.98396099999999997</v>
      </c>
      <c r="N56" s="431">
        <v>1.0008999999999999</v>
      </c>
      <c r="O56" s="431">
        <v>1.29769</v>
      </c>
    </row>
    <row r="57" spans="1:15" x14ac:dyDescent="0.3">
      <c r="A57" s="431">
        <v>2011</v>
      </c>
      <c r="B57" s="431">
        <v>1</v>
      </c>
      <c r="F57" s="431">
        <v>0</v>
      </c>
      <c r="G57" s="431">
        <v>0</v>
      </c>
      <c r="H57" s="431">
        <v>0</v>
      </c>
      <c r="I57" s="431">
        <v>0</v>
      </c>
      <c r="J57" s="431">
        <v>0</v>
      </c>
      <c r="K57" s="431">
        <v>0</v>
      </c>
      <c r="M57" s="431">
        <v>0</v>
      </c>
      <c r="N57" s="431">
        <v>0</v>
      </c>
      <c r="O57" s="431">
        <v>0</v>
      </c>
    </row>
  </sheetData>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37</vt:i4>
      </vt:variant>
      <vt:variant>
        <vt:lpstr>Benannte Bereiche</vt:lpstr>
      </vt:variant>
      <vt:variant>
        <vt:i4>1</vt:i4>
      </vt:variant>
    </vt:vector>
  </HeadingPairs>
  <TitlesOfParts>
    <vt:vector size="38" baseType="lpstr">
      <vt:lpstr>Table A0</vt:lpstr>
      <vt:lpstr>Table A1</vt:lpstr>
      <vt:lpstr>Table A2</vt:lpstr>
      <vt:lpstr>Table A3</vt:lpstr>
      <vt:lpstr>Table A4</vt:lpstr>
      <vt:lpstr>Table A5</vt:lpstr>
      <vt:lpstr>Table A6</vt:lpstr>
      <vt:lpstr>Table A7</vt:lpstr>
      <vt:lpstr>Table A8</vt:lpstr>
      <vt:lpstr>Table A9</vt:lpstr>
      <vt:lpstr>Table A9B</vt:lpstr>
      <vt:lpstr>Table A9C</vt:lpstr>
      <vt:lpstr>Table A10</vt:lpstr>
      <vt:lpstr>Table A11</vt:lpstr>
      <vt:lpstr>Table A12</vt:lpstr>
      <vt:lpstr>Table A13</vt:lpstr>
      <vt:lpstr>Table A14</vt:lpstr>
      <vt:lpstr>Table A15</vt:lpstr>
      <vt:lpstr>Table A16</vt:lpstr>
      <vt:lpstr>Table A17</vt:lpstr>
      <vt:lpstr>Table A18</vt:lpstr>
      <vt:lpstr>Table A19</vt:lpstr>
      <vt:lpstr>Table A20</vt:lpstr>
      <vt:lpstr>Table A21</vt:lpstr>
      <vt:lpstr>Table A22</vt:lpstr>
      <vt:lpstr>Table A23</vt:lpstr>
      <vt:lpstr>Table A24</vt:lpstr>
      <vt:lpstr>Table A25</vt:lpstr>
      <vt:lpstr>Table A26</vt:lpstr>
      <vt:lpstr>Table A27</vt:lpstr>
      <vt:lpstr>Table A28</vt:lpstr>
      <vt:lpstr>Table A29</vt:lpstr>
      <vt:lpstr>Table A30</vt:lpstr>
      <vt:lpstr>Table A31</vt:lpstr>
      <vt:lpstr>Table A32</vt:lpstr>
      <vt:lpstr>RawDataSources</vt:lpstr>
      <vt:lpstr>Exchange Rates</vt:lpstr>
      <vt:lpstr>'Table A1'!Druckbereich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GZ</dc:creator>
  <cp:lastModifiedBy>Godar, Sarah</cp:lastModifiedBy>
  <cp:lastPrinted>2012-03-23T15:43:43Z</cp:lastPrinted>
  <dcterms:created xsi:type="dcterms:W3CDTF">2010-10-04T10:43:35Z</dcterms:created>
  <dcterms:modified xsi:type="dcterms:W3CDTF">2024-05-10T14:43:12Z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2024-05-10T14:43:12Z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89e77033-8876-4ceb-8259-983014a016a2</vt:lpwstr>
  </property>
  <property fmtid="{D5CDD505-2E9C-101B-9397-08002B2CF9AE}" pid="7" name="MSIP_Label_defa4170-0d19-0005-0004-bc88714345d2_ActionId">
    <vt:lpwstr>6b96fad0-c957-4dfd-abf0-62c52d30c9e6</vt:lpwstr>
  </property>
  <property fmtid="{D5CDD505-2E9C-101B-9397-08002B2CF9AE}" pid="8" name="MSIP_Label_defa4170-0d19-0005-0004-bc88714345d2_ContentBits">
    <vt:lpwstr>0</vt:lpwstr>
  </property>
</Properties>
</file>