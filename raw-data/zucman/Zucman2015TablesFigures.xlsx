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2.xml" ContentType="application/vnd.openxmlformats-officedocument.spreadsheetml.chartsheet+xml"/>
  <Override PartName="/xl/worksheets/sheet9.xml" ContentType="application/vnd.openxmlformats-officedocument.spreadsheetml.worksheet+xml"/>
  <Override PartName="/xl/chartsheets/sheet3.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3.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drawings/drawing11.xml" ContentType="application/vnd.openxmlformats-officedocument.drawing+xml"/>
  <Override PartName="/xl/charts/chart4.xml" ContentType="application/vnd.openxmlformats-officedocument.drawingml.chart+xml"/>
  <Override PartName="/xl/theme/themeOverride1.xml" ContentType="application/vnd.openxmlformats-officedocument.themeOverride+xml"/>
  <Override PartName="/xl/drawings/drawing12.xml" ContentType="application/vnd.openxmlformats-officedocument.drawingml.chartshapes+xml"/>
  <Override PartName="/xl/drawings/drawing13.xml" ContentType="application/vnd.openxmlformats-officedocument.drawing+xml"/>
  <Override PartName="/xl/charts/chart5.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6221"/>
  <workbookPr showInkAnnotation="0" autoCompressPictures="0"/>
  <bookViews>
    <workbookView xWindow="0" yWindow="0" windowWidth="25600" windowHeight="14720" tabRatio="817" firstSheet="3" activeTab="14"/>
  </bookViews>
  <sheets>
    <sheet name="Fig1" sheetId="7" r:id="rId1"/>
    <sheet name="Data-Fig1" sheetId="6" r:id="rId2"/>
    <sheet name="Fig2" sheetId="23" r:id="rId3"/>
    <sheet name="DataFig2" sheetId="9" r:id="rId4"/>
    <sheet name="Fig3" sheetId="11" r:id="rId5"/>
    <sheet name="Data-Fig3" sheetId="10" r:id="rId6"/>
    <sheet name="Fig4" sheetId="25" r:id="rId7"/>
    <sheet name="Tab1" sheetId="24" r:id="rId8"/>
    <sheet name="Data-Fig4_Tab1" sheetId="16" r:id="rId9"/>
    <sheet name="Fig5" sheetId="17" r:id="rId10"/>
    <sheet name="Data-Fig5" sheetId="18" r:id="rId11"/>
    <sheet name="Fig6" sheetId="2" r:id="rId12"/>
    <sheet name="Data-Fig6" sheetId="1" r:id="rId13"/>
    <sheet name="Fig7" sheetId="21" r:id="rId14"/>
    <sheet name="Fig8" sheetId="27" r:id="rId15"/>
    <sheet name="Fig9" sheetId="28" r:id="rId16"/>
    <sheet name="DataFig8-9" sheetId="26" r:id="rId17"/>
  </sheets>
  <definedNames>
    <definedName name="B_SEULS_NOVIEUX" localSheetId="2">#REF!</definedName>
    <definedName name="B_SEULS_NOVIEUX" localSheetId="6">#REF!</definedName>
    <definedName name="B_SEULS_NOVIEUX" localSheetId="13">#REF!</definedName>
    <definedName name="B_SEULS_NOVIEUX">#REF!</definedName>
    <definedName name="column_head" localSheetId="2">#REF!</definedName>
    <definedName name="column_head" localSheetId="6">#REF!</definedName>
    <definedName name="column_head" localSheetId="13">#REF!</definedName>
    <definedName name="column_head">#REF!</definedName>
    <definedName name="column_headings" localSheetId="10">#REF!</definedName>
    <definedName name="column_headings" localSheetId="2">#REF!</definedName>
    <definedName name="column_headings" localSheetId="6">#REF!</definedName>
    <definedName name="column_headings" localSheetId="13">#REF!</definedName>
    <definedName name="column_headings">#REF!</definedName>
    <definedName name="column_numbers" localSheetId="10">#REF!</definedName>
    <definedName name="column_numbers" localSheetId="2">#REF!</definedName>
    <definedName name="column_numbers" localSheetId="6">#REF!</definedName>
    <definedName name="column_numbers" localSheetId="13">#REF!</definedName>
    <definedName name="column_numbers">#REF!</definedName>
    <definedName name="d" localSheetId="10">#REF!</definedName>
    <definedName name="data" localSheetId="10">#REF!</definedName>
    <definedName name="data" localSheetId="2">#REF!</definedName>
    <definedName name="data" localSheetId="6">#REF!</definedName>
    <definedName name="data" localSheetId="13">#REF!</definedName>
    <definedName name="data">#REF!</definedName>
    <definedName name="data2" localSheetId="2">#REF!</definedName>
    <definedName name="data2" localSheetId="6">#REF!</definedName>
    <definedName name="data2" localSheetId="13">#REF!</definedName>
    <definedName name="data2">#REF!</definedName>
    <definedName name="e" localSheetId="10">#REF!</definedName>
    <definedName name="ea_flux" localSheetId="10">#REF!</definedName>
    <definedName name="ea_flux" localSheetId="2">#REF!</definedName>
    <definedName name="ea_flux" localSheetId="6">#REF!</definedName>
    <definedName name="ea_flux" localSheetId="13">#REF!</definedName>
    <definedName name="ea_flux">#REF!</definedName>
    <definedName name="Equilibre" localSheetId="10">#REF!</definedName>
    <definedName name="Equilibre" localSheetId="2">#REF!</definedName>
    <definedName name="Equilibre" localSheetId="6">#REF!</definedName>
    <definedName name="Equilibre" localSheetId="13">#REF!</definedName>
    <definedName name="Equilibre">#REF!</definedName>
    <definedName name="f" localSheetId="10">#REF!</definedName>
    <definedName name="fig4b" localSheetId="2">#REF!</definedName>
    <definedName name="fig4b" localSheetId="6">#REF!</definedName>
    <definedName name="fig4b" localSheetId="13">#REF!</definedName>
    <definedName name="fig4b">#REF!</definedName>
    <definedName name="footnotes" localSheetId="10">#REF!</definedName>
    <definedName name="footnotes" localSheetId="2">#REF!</definedName>
    <definedName name="footnotes" localSheetId="6">#REF!</definedName>
    <definedName name="footnotes" localSheetId="13">#REF!</definedName>
    <definedName name="footnotes">#REF!</definedName>
    <definedName name="footnotes2" localSheetId="2">#REF!</definedName>
    <definedName name="footnotes2" localSheetId="6">#REF!</definedName>
    <definedName name="footnotes2" localSheetId="13">#REF!</definedName>
    <definedName name="footnotes2">#REF!</definedName>
    <definedName name="gg" localSheetId="10">#REF!</definedName>
    <definedName name="head" localSheetId="10">#REF!</definedName>
    <definedName name="name" localSheetId="10">#REF!</definedName>
    <definedName name="name2" localSheetId="10">#REF!</definedName>
    <definedName name="name3" localSheetId="10">#REF!</definedName>
    <definedName name="name4" localSheetId="10">#REF!</definedName>
    <definedName name="nb" localSheetId="10">#REF!</definedName>
    <definedName name="PIB" localSheetId="10">#REF!</definedName>
    <definedName name="PIB" localSheetId="2">#REF!</definedName>
    <definedName name="PIB" localSheetId="6">#REF!</definedName>
    <definedName name="PIB" localSheetId="13">#REF!</definedName>
    <definedName name="PIB">#REF!</definedName>
    <definedName name="ressources" localSheetId="10">#REF!</definedName>
    <definedName name="ressources" localSheetId="2">#REF!</definedName>
    <definedName name="ressources" localSheetId="6">#REF!</definedName>
    <definedName name="ressources" localSheetId="13">#REF!</definedName>
    <definedName name="ressources">#REF!</definedName>
    <definedName name="rpflux" localSheetId="10">#REF!</definedName>
    <definedName name="rpflux" localSheetId="2">#REF!</definedName>
    <definedName name="rpflux" localSheetId="6">#REF!</definedName>
    <definedName name="rpflux" localSheetId="13">#REF!</definedName>
    <definedName name="rpflux">#REF!</definedName>
    <definedName name="rptof" localSheetId="10">#REF!</definedName>
    <definedName name="rptof" localSheetId="2">#REF!</definedName>
    <definedName name="rptof" localSheetId="6">#REF!</definedName>
    <definedName name="rptof" localSheetId="13">#REF!</definedName>
    <definedName name="rptof">#REF!</definedName>
    <definedName name="spanners_level1" localSheetId="10">#REF!</definedName>
    <definedName name="spanners_level1" localSheetId="2">#REF!</definedName>
    <definedName name="spanners_level1" localSheetId="6">#REF!</definedName>
    <definedName name="spanners_level1" localSheetId="13">#REF!</definedName>
    <definedName name="spanners_level1">#REF!</definedName>
    <definedName name="spanners_level2" localSheetId="10">#REF!</definedName>
    <definedName name="spanners_level2" localSheetId="2">#REF!</definedName>
    <definedName name="spanners_level2" localSheetId="6">#REF!</definedName>
    <definedName name="spanners_level2" localSheetId="13">#REF!</definedName>
    <definedName name="spanners_level2">#REF!</definedName>
    <definedName name="spanners_level3" localSheetId="10">#REF!</definedName>
    <definedName name="spanners_level3" localSheetId="2">#REF!</definedName>
    <definedName name="spanners_level3" localSheetId="6">#REF!</definedName>
    <definedName name="spanners_level3" localSheetId="13">#REF!</definedName>
    <definedName name="spanners_level3">#REF!</definedName>
    <definedName name="spanners_level4" localSheetId="10">#REF!</definedName>
    <definedName name="spanners_level4" localSheetId="2">#REF!</definedName>
    <definedName name="spanners_level4" localSheetId="6">#REF!</definedName>
    <definedName name="spanners_level4" localSheetId="13">#REF!</definedName>
    <definedName name="spanners_level4">#REF!</definedName>
    <definedName name="spanners_level5" localSheetId="10">#REF!</definedName>
    <definedName name="spanners_level5" localSheetId="2">#REF!</definedName>
    <definedName name="spanners_level5" localSheetId="6">#REF!</definedName>
    <definedName name="spanners_level5" localSheetId="13">#REF!</definedName>
    <definedName name="spanners_level5">#REF!</definedName>
    <definedName name="spanners_levelV" localSheetId="2">#REF!</definedName>
    <definedName name="spanners_levelV" localSheetId="6">#REF!</definedName>
    <definedName name="spanners_levelV" localSheetId="13">#REF!</definedName>
    <definedName name="spanners_levelV">#REF!</definedName>
    <definedName name="spanners_levelX" localSheetId="2">#REF!</definedName>
    <definedName name="spanners_levelX" localSheetId="6">#REF!</definedName>
    <definedName name="spanners_levelX" localSheetId="13">#REF!</definedName>
    <definedName name="spanners_levelX">#REF!</definedName>
    <definedName name="spanners_levelY" localSheetId="2">#REF!</definedName>
    <definedName name="spanners_levelY" localSheetId="6">#REF!</definedName>
    <definedName name="spanners_levelY" localSheetId="13">#REF!</definedName>
    <definedName name="spanners_levelY">#REF!</definedName>
    <definedName name="spanners_levelZ" localSheetId="2">#REF!</definedName>
    <definedName name="spanners_levelZ" localSheetId="6">#REF!</definedName>
    <definedName name="spanners_levelZ" localSheetId="13">#REF!</definedName>
    <definedName name="spanners_levelZ">#REF!</definedName>
    <definedName name="stub_lines" localSheetId="10">#REF!</definedName>
    <definedName name="stub_lines" localSheetId="2">#REF!</definedName>
    <definedName name="stub_lines" localSheetId="6">#REF!</definedName>
    <definedName name="stub_lines" localSheetId="13">#REF!</definedName>
    <definedName name="stub_lines">#REF!</definedName>
    <definedName name="temp" localSheetId="2">#REF!</definedName>
    <definedName name="temp" localSheetId="6">#REF!</definedName>
    <definedName name="temp" localSheetId="13">#REF!</definedName>
    <definedName name="temp">#REF!</definedName>
    <definedName name="titles" localSheetId="10">#REF!</definedName>
    <definedName name="titles" localSheetId="2">#REF!</definedName>
    <definedName name="titles" localSheetId="6">#REF!</definedName>
    <definedName name="titles" localSheetId="13">#REF!</definedName>
    <definedName name="titles">#REF!</definedName>
    <definedName name="totals" localSheetId="10">#REF!</definedName>
    <definedName name="totals" localSheetId="2">#REF!</definedName>
    <definedName name="totals" localSheetId="6">#REF!</definedName>
    <definedName name="totals" localSheetId="13">#REF!</definedName>
    <definedName name="totals">#REF!</definedName>
    <definedName name="xxx" localSheetId="2">#REF!</definedName>
    <definedName name="xxx" localSheetId="6">#REF!</definedName>
    <definedName name="xxx" localSheetId="13">#REF!</definedName>
    <definedName name="xxx">#REF!</definedName>
    <definedName name="_xlnm.Print_Area" localSheetId="2">'Fig2'!$C$2:$G$44</definedName>
    <definedName name="_xlnm.Print_Area" localSheetId="4">'Fig3'!$B$3:$F$34</definedName>
    <definedName name="_xlnm.Print_Area" localSheetId="6">'Fig4'!$B$3:$H$43</definedName>
    <definedName name="_xlnm.Print_Area" localSheetId="13">'Fig7'!$B$3:$F$36</definedName>
  </definedName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E5" i="26" l="1"/>
  <c r="G5" i="26"/>
  <c r="F5" i="26"/>
  <c r="H5" i="26"/>
  <c r="J5" i="26"/>
  <c r="K5" i="26"/>
  <c r="L5" i="26"/>
  <c r="M5" i="26"/>
  <c r="N5" i="26"/>
  <c r="O5" i="26"/>
  <c r="X5" i="26"/>
  <c r="P5" i="26"/>
  <c r="S5" i="26"/>
  <c r="W5" i="26"/>
  <c r="AD5" i="26"/>
  <c r="AH5" i="26"/>
  <c r="AI5" i="26"/>
  <c r="AJ5" i="26"/>
  <c r="AT5" i="26"/>
  <c r="BC5" i="26"/>
  <c r="BE5" i="26"/>
  <c r="BD5" i="26"/>
  <c r="BJ5" i="26"/>
  <c r="BK5" i="26"/>
  <c r="E6" i="26"/>
  <c r="G6" i="26"/>
  <c r="F6" i="26"/>
  <c r="H6" i="26"/>
  <c r="J6" i="26"/>
  <c r="K6" i="26"/>
  <c r="L6" i="26"/>
  <c r="M6" i="26"/>
  <c r="N6" i="26"/>
  <c r="O6" i="26"/>
  <c r="X6" i="26"/>
  <c r="P6" i="26"/>
  <c r="S6" i="26"/>
  <c r="W6" i="26"/>
  <c r="AD6" i="26"/>
  <c r="AH6" i="26"/>
  <c r="AI6" i="26"/>
  <c r="AJ6" i="26"/>
  <c r="AT6" i="26"/>
  <c r="BC6" i="26"/>
  <c r="BE6" i="26"/>
  <c r="BD6" i="26"/>
  <c r="BJ6" i="26"/>
  <c r="BK6" i="26"/>
  <c r="E7" i="26"/>
  <c r="G7" i="26"/>
  <c r="F7" i="26"/>
  <c r="H7" i="26"/>
  <c r="J7" i="26"/>
  <c r="K7" i="26"/>
  <c r="L7" i="26"/>
  <c r="M7" i="26"/>
  <c r="N7" i="26"/>
  <c r="O7" i="26"/>
  <c r="X7" i="26"/>
  <c r="P7" i="26"/>
  <c r="S7" i="26"/>
  <c r="W7" i="26"/>
  <c r="AD7" i="26"/>
  <c r="AH7" i="26"/>
  <c r="AI7" i="26"/>
  <c r="AJ7" i="26"/>
  <c r="AT7" i="26"/>
  <c r="BC7" i="26"/>
  <c r="BE7" i="26"/>
  <c r="BD7" i="26"/>
  <c r="BJ7" i="26"/>
  <c r="BK7" i="26"/>
  <c r="E8" i="26"/>
  <c r="G8" i="26"/>
  <c r="F8" i="26"/>
  <c r="H8" i="26"/>
  <c r="J8" i="26"/>
  <c r="K8" i="26"/>
  <c r="L8" i="26"/>
  <c r="M8" i="26"/>
  <c r="N8" i="26"/>
  <c r="O8" i="26"/>
  <c r="X8" i="26"/>
  <c r="P8" i="26"/>
  <c r="S8" i="26"/>
  <c r="W8" i="26"/>
  <c r="AD8" i="26"/>
  <c r="AH8" i="26"/>
  <c r="AI8" i="26"/>
  <c r="AJ8" i="26"/>
  <c r="AT8" i="26"/>
  <c r="BC8" i="26"/>
  <c r="BE8" i="26"/>
  <c r="BD8" i="26"/>
  <c r="BJ8" i="26"/>
  <c r="BK8" i="26"/>
  <c r="E9" i="26"/>
  <c r="G9" i="26"/>
  <c r="F9" i="26"/>
  <c r="H9" i="26"/>
  <c r="J9" i="26"/>
  <c r="K9" i="26"/>
  <c r="L23" i="26"/>
  <c r="L22" i="26"/>
  <c r="L21" i="26"/>
  <c r="L20" i="26"/>
  <c r="L19" i="26"/>
  <c r="L18" i="26"/>
  <c r="L17" i="26"/>
  <c r="L16" i="26"/>
  <c r="L15" i="26"/>
  <c r="L14" i="26"/>
  <c r="L13" i="26"/>
  <c r="L12" i="26"/>
  <c r="L11" i="26"/>
  <c r="L10" i="26"/>
  <c r="L9" i="26"/>
  <c r="M9" i="26"/>
  <c r="N9" i="26"/>
  <c r="O9" i="26"/>
  <c r="X9" i="26"/>
  <c r="P9" i="26"/>
  <c r="S9" i="26"/>
  <c r="W9" i="26"/>
  <c r="AD9" i="26"/>
  <c r="AH9" i="26"/>
  <c r="AI9" i="26"/>
  <c r="AJ9" i="26"/>
  <c r="AT9" i="26"/>
  <c r="BC9" i="26"/>
  <c r="BE9" i="26"/>
  <c r="BD9" i="26"/>
  <c r="BJ9" i="26"/>
  <c r="BK9" i="26"/>
  <c r="E10" i="26"/>
  <c r="G10" i="26"/>
  <c r="F10" i="26"/>
  <c r="H10" i="26"/>
  <c r="J10" i="26"/>
  <c r="K10" i="26"/>
  <c r="M10" i="26"/>
  <c r="N10" i="26"/>
  <c r="O10" i="26"/>
  <c r="X10" i="26"/>
  <c r="P10" i="26"/>
  <c r="S10" i="26"/>
  <c r="W10" i="26"/>
  <c r="AD10" i="26"/>
  <c r="AH10" i="26"/>
  <c r="AI10" i="26"/>
  <c r="AJ10" i="26"/>
  <c r="AT10" i="26"/>
  <c r="AV10" i="26"/>
  <c r="AX10" i="26"/>
  <c r="AY10" i="26"/>
  <c r="AZ10" i="26"/>
  <c r="BA10" i="26"/>
  <c r="BB10" i="26"/>
  <c r="BC10" i="26"/>
  <c r="BE10" i="26"/>
  <c r="BD10" i="26"/>
  <c r="BJ10" i="26"/>
  <c r="BK10" i="26"/>
  <c r="E11" i="26"/>
  <c r="G11" i="26"/>
  <c r="F11" i="26"/>
  <c r="H11" i="26"/>
  <c r="J11" i="26"/>
  <c r="K11" i="26"/>
  <c r="M11" i="26"/>
  <c r="N11" i="26"/>
  <c r="O11" i="26"/>
  <c r="X11" i="26"/>
  <c r="P11" i="26"/>
  <c r="S11" i="26"/>
  <c r="W11" i="26"/>
  <c r="AD11" i="26"/>
  <c r="AH11" i="26"/>
  <c r="AI11" i="26"/>
  <c r="AJ11" i="26"/>
  <c r="AT11" i="26"/>
  <c r="AV11" i="26"/>
  <c r="AX11" i="26"/>
  <c r="AY11" i="26"/>
  <c r="AZ11" i="26"/>
  <c r="BA11" i="26"/>
  <c r="BB11" i="26"/>
  <c r="BC11" i="26"/>
  <c r="BE11" i="26"/>
  <c r="BD11" i="26"/>
  <c r="BH11" i="26"/>
  <c r="BJ11" i="26"/>
  <c r="BK11" i="26"/>
  <c r="E12" i="26"/>
  <c r="G12" i="26"/>
  <c r="F12" i="26"/>
  <c r="H12" i="26"/>
  <c r="J12" i="26"/>
  <c r="K12" i="26"/>
  <c r="M12" i="26"/>
  <c r="N12" i="26"/>
  <c r="O12" i="26"/>
  <c r="X12" i="26"/>
  <c r="P12" i="26"/>
  <c r="S12" i="26"/>
  <c r="W12" i="26"/>
  <c r="AD12" i="26"/>
  <c r="AH12" i="26"/>
  <c r="AI12" i="26"/>
  <c r="AJ12" i="26"/>
  <c r="AT12" i="26"/>
  <c r="AV12" i="26"/>
  <c r="AX12" i="26"/>
  <c r="AY12" i="26"/>
  <c r="AZ12" i="26"/>
  <c r="BA12" i="26"/>
  <c r="BB12" i="26"/>
  <c r="BC12" i="26"/>
  <c r="BE12" i="26"/>
  <c r="BD12" i="26"/>
  <c r="BH12" i="26"/>
  <c r="BJ12" i="26"/>
  <c r="BK12" i="26"/>
  <c r="E13" i="26"/>
  <c r="G13" i="26"/>
  <c r="F13" i="26"/>
  <c r="H13" i="26"/>
  <c r="J13" i="26"/>
  <c r="K13" i="26"/>
  <c r="M13" i="26"/>
  <c r="N13" i="26"/>
  <c r="O13" i="26"/>
  <c r="X13" i="26"/>
  <c r="P13" i="26"/>
  <c r="S13" i="26"/>
  <c r="W13" i="26"/>
  <c r="AD13" i="26"/>
  <c r="AH13" i="26"/>
  <c r="AI13" i="26"/>
  <c r="AJ13" i="26"/>
  <c r="AT13" i="26"/>
  <c r="AV13" i="26"/>
  <c r="AX13" i="26"/>
  <c r="AY13" i="26"/>
  <c r="AZ13" i="26"/>
  <c r="BA13" i="26"/>
  <c r="BB13" i="26"/>
  <c r="BC13" i="26"/>
  <c r="BE13" i="26"/>
  <c r="BD13" i="26"/>
  <c r="BH13" i="26"/>
  <c r="BJ13" i="26"/>
  <c r="BK13" i="26"/>
  <c r="E14" i="26"/>
  <c r="G14" i="26"/>
  <c r="F14" i="26"/>
  <c r="H14" i="26"/>
  <c r="J14" i="26"/>
  <c r="K14" i="26"/>
  <c r="M14" i="26"/>
  <c r="N14" i="26"/>
  <c r="O14" i="26"/>
  <c r="X14" i="26"/>
  <c r="P14" i="26"/>
  <c r="S14" i="26"/>
  <c r="W14" i="26"/>
  <c r="AD14" i="26"/>
  <c r="AH14" i="26"/>
  <c r="AI14" i="26"/>
  <c r="AJ14" i="26"/>
  <c r="AT14" i="26"/>
  <c r="AV14" i="26"/>
  <c r="AX14" i="26"/>
  <c r="AY14" i="26"/>
  <c r="AZ14" i="26"/>
  <c r="BA14" i="26"/>
  <c r="BB14" i="26"/>
  <c r="BC14" i="26"/>
  <c r="BE14" i="26"/>
  <c r="BD14" i="26"/>
  <c r="BH14" i="26"/>
  <c r="BJ14" i="26"/>
  <c r="BK14" i="26"/>
  <c r="E15" i="26"/>
  <c r="G15" i="26"/>
  <c r="F15" i="26"/>
  <c r="H15" i="26"/>
  <c r="J15" i="26"/>
  <c r="K15" i="26"/>
  <c r="M15" i="26"/>
  <c r="N15" i="26"/>
  <c r="O15" i="26"/>
  <c r="X15" i="26"/>
  <c r="P15" i="26"/>
  <c r="S15" i="26"/>
  <c r="W15" i="26"/>
  <c r="AD15" i="26"/>
  <c r="AH15" i="26"/>
  <c r="AI15" i="26"/>
  <c r="AJ15" i="26"/>
  <c r="AT15" i="26"/>
  <c r="AV15" i="26"/>
  <c r="AX15" i="26"/>
  <c r="AY15" i="26"/>
  <c r="AZ15" i="26"/>
  <c r="BA15" i="26"/>
  <c r="BB15" i="26"/>
  <c r="BC15" i="26"/>
  <c r="BE15" i="26"/>
  <c r="BD15" i="26"/>
  <c r="BH15" i="26"/>
  <c r="BJ15" i="26"/>
  <c r="BK15" i="26"/>
  <c r="E16" i="26"/>
  <c r="G16" i="26"/>
  <c r="F16" i="26"/>
  <c r="H16" i="26"/>
  <c r="J16" i="26"/>
  <c r="K16" i="26"/>
  <c r="M16" i="26"/>
  <c r="N16" i="26"/>
  <c r="O16" i="26"/>
  <c r="X16" i="26"/>
  <c r="P16" i="26"/>
  <c r="S16" i="26"/>
  <c r="W16" i="26"/>
  <c r="AD16" i="26"/>
  <c r="AH16" i="26"/>
  <c r="AI16" i="26"/>
  <c r="AJ16" i="26"/>
  <c r="AT16" i="26"/>
  <c r="AV16" i="26"/>
  <c r="AX16" i="26"/>
  <c r="AY16" i="26"/>
  <c r="AZ16" i="26"/>
  <c r="BA16" i="26"/>
  <c r="BB16" i="26"/>
  <c r="BC16" i="26"/>
  <c r="BE16" i="26"/>
  <c r="BD16" i="26"/>
  <c r="BH16" i="26"/>
  <c r="BJ16" i="26"/>
  <c r="BK16" i="26"/>
  <c r="E17" i="26"/>
  <c r="G17" i="26"/>
  <c r="F17" i="26"/>
  <c r="H17" i="26"/>
  <c r="J17" i="26"/>
  <c r="K17" i="26"/>
  <c r="M17" i="26"/>
  <c r="N17" i="26"/>
  <c r="O17" i="26"/>
  <c r="X17" i="26"/>
  <c r="P17" i="26"/>
  <c r="S17" i="26"/>
  <c r="W17" i="26"/>
  <c r="AD17" i="26"/>
  <c r="AH17" i="26"/>
  <c r="AI17" i="26"/>
  <c r="AJ17" i="26"/>
  <c r="AT17" i="26"/>
  <c r="AV17" i="26"/>
  <c r="AX17" i="26"/>
  <c r="AY17" i="26"/>
  <c r="AZ17" i="26"/>
  <c r="BA17" i="26"/>
  <c r="BB17" i="26"/>
  <c r="BC17" i="26"/>
  <c r="BE17" i="26"/>
  <c r="BD17" i="26"/>
  <c r="BH17" i="26"/>
  <c r="BJ17" i="26"/>
  <c r="BK17" i="26"/>
  <c r="BO17" i="26"/>
  <c r="E18" i="26"/>
  <c r="G18" i="26"/>
  <c r="F18" i="26"/>
  <c r="H18" i="26"/>
  <c r="J18" i="26"/>
  <c r="K18" i="26"/>
  <c r="M18" i="26"/>
  <c r="N18" i="26"/>
  <c r="O18" i="26"/>
  <c r="X18" i="26"/>
  <c r="P18" i="26"/>
  <c r="S18" i="26"/>
  <c r="W18" i="26"/>
  <c r="AD18" i="26"/>
  <c r="AH18" i="26"/>
  <c r="AI18" i="26"/>
  <c r="AJ18" i="26"/>
  <c r="AT18" i="26"/>
  <c r="AV18" i="26"/>
  <c r="AX18" i="26"/>
  <c r="AY18" i="26"/>
  <c r="AZ18" i="26"/>
  <c r="BA18" i="26"/>
  <c r="BB18" i="26"/>
  <c r="BC18" i="26"/>
  <c r="BE18" i="26"/>
  <c r="BD18" i="26"/>
  <c r="BH18" i="26"/>
  <c r="BJ18" i="26"/>
  <c r="BK18" i="26"/>
  <c r="BO18" i="26"/>
  <c r="E19" i="26"/>
  <c r="G19" i="26"/>
  <c r="F19" i="26"/>
  <c r="H19" i="26"/>
  <c r="J19" i="26"/>
  <c r="K19" i="26"/>
  <c r="M19" i="26"/>
  <c r="N19" i="26"/>
  <c r="O19" i="26"/>
  <c r="X19" i="26"/>
  <c r="P19" i="26"/>
  <c r="S19" i="26"/>
  <c r="W19" i="26"/>
  <c r="AD19" i="26"/>
  <c r="AH19" i="26"/>
  <c r="AI19" i="26"/>
  <c r="AJ19" i="26"/>
  <c r="AT19" i="26"/>
  <c r="AV19" i="26"/>
  <c r="AX19" i="26"/>
  <c r="AY19" i="26"/>
  <c r="AZ19" i="26"/>
  <c r="BA19" i="26"/>
  <c r="BB19" i="26"/>
  <c r="BC19" i="26"/>
  <c r="BE19" i="26"/>
  <c r="BD19" i="26"/>
  <c r="BH19" i="26"/>
  <c r="BJ19" i="26"/>
  <c r="BK19" i="26"/>
  <c r="BO19" i="26"/>
  <c r="E20" i="26"/>
  <c r="G20" i="26"/>
  <c r="F20" i="26"/>
  <c r="H20" i="26"/>
  <c r="J20" i="26"/>
  <c r="K20" i="26"/>
  <c r="M20" i="26"/>
  <c r="N20" i="26"/>
  <c r="O20" i="26"/>
  <c r="X20" i="26"/>
  <c r="P20" i="26"/>
  <c r="S20" i="26"/>
  <c r="W20" i="26"/>
  <c r="AD20" i="26"/>
  <c r="AH20" i="26"/>
  <c r="AI20" i="26"/>
  <c r="AJ20" i="26"/>
  <c r="AT20" i="26"/>
  <c r="AV20" i="26"/>
  <c r="AX20" i="26"/>
  <c r="AY20" i="26"/>
  <c r="AZ20" i="26"/>
  <c r="BA20" i="26"/>
  <c r="BB20" i="26"/>
  <c r="BC20" i="26"/>
  <c r="BE20" i="26"/>
  <c r="BD20" i="26"/>
  <c r="BH20" i="26"/>
  <c r="BJ20" i="26"/>
  <c r="BK20" i="26"/>
  <c r="BO20" i="26"/>
  <c r="E21" i="26"/>
  <c r="G21" i="26"/>
  <c r="F21" i="26"/>
  <c r="H21" i="26"/>
  <c r="J21" i="26"/>
  <c r="K21" i="26"/>
  <c r="M21" i="26"/>
  <c r="N21" i="26"/>
  <c r="O21" i="26"/>
  <c r="X21" i="26"/>
  <c r="P21" i="26"/>
  <c r="S21" i="26"/>
  <c r="W21" i="26"/>
  <c r="AD21" i="26"/>
  <c r="AH21" i="26"/>
  <c r="AI21" i="26"/>
  <c r="AJ21" i="26"/>
  <c r="AT21" i="26"/>
  <c r="AV21" i="26"/>
  <c r="AX21" i="26"/>
  <c r="AY21" i="26"/>
  <c r="AZ21" i="26"/>
  <c r="BA21" i="26"/>
  <c r="BB21" i="26"/>
  <c r="BC21" i="26"/>
  <c r="BE21" i="26"/>
  <c r="BD21" i="26"/>
  <c r="BH21" i="26"/>
  <c r="BJ21" i="26"/>
  <c r="BK21" i="26"/>
  <c r="BO21" i="26"/>
  <c r="E22" i="26"/>
  <c r="G22" i="26"/>
  <c r="F22" i="26"/>
  <c r="H22" i="26"/>
  <c r="J22" i="26"/>
  <c r="K22" i="26"/>
  <c r="M22" i="26"/>
  <c r="N22" i="26"/>
  <c r="O22" i="26"/>
  <c r="X22" i="26"/>
  <c r="P22" i="26"/>
  <c r="S22" i="26"/>
  <c r="W22" i="26"/>
  <c r="AD22" i="26"/>
  <c r="AH22" i="26"/>
  <c r="AI22" i="26"/>
  <c r="AJ22" i="26"/>
  <c r="AT22" i="26"/>
  <c r="AV22" i="26"/>
  <c r="AX22" i="26"/>
  <c r="AY22" i="26"/>
  <c r="AZ22" i="26"/>
  <c r="BA22" i="26"/>
  <c r="BB22" i="26"/>
  <c r="BC22" i="26"/>
  <c r="BE22" i="26"/>
  <c r="BD22" i="26"/>
  <c r="BH22" i="26"/>
  <c r="BJ22" i="26"/>
  <c r="BK22" i="26"/>
  <c r="BO22" i="26"/>
  <c r="E23" i="26"/>
  <c r="G23" i="26"/>
  <c r="F23" i="26"/>
  <c r="H23" i="26"/>
  <c r="J23" i="26"/>
  <c r="K23" i="26"/>
  <c r="M23" i="26"/>
  <c r="N23" i="26"/>
  <c r="O23" i="26"/>
  <c r="X23" i="26"/>
  <c r="P23" i="26"/>
  <c r="S23" i="26"/>
  <c r="W23" i="26"/>
  <c r="AD23" i="26"/>
  <c r="AH23" i="26"/>
  <c r="AI23" i="26"/>
  <c r="AJ23" i="26"/>
  <c r="AT23" i="26"/>
  <c r="AV23" i="26"/>
  <c r="AX23" i="26"/>
  <c r="AY23" i="26"/>
  <c r="AZ23" i="26"/>
  <c r="BA23" i="26"/>
  <c r="BB23" i="26"/>
  <c r="BC23" i="26"/>
  <c r="BE23" i="26"/>
  <c r="BD23" i="26"/>
  <c r="BH23" i="26"/>
  <c r="BJ23" i="26"/>
  <c r="BK23" i="26"/>
  <c r="BO23" i="26"/>
  <c r="E24" i="26"/>
  <c r="G24" i="26"/>
  <c r="F24" i="26"/>
  <c r="H24" i="26"/>
  <c r="J24" i="26"/>
  <c r="K24" i="26"/>
  <c r="M24" i="26"/>
  <c r="N24" i="26"/>
  <c r="O24" i="26"/>
  <c r="X24" i="26"/>
  <c r="P24" i="26"/>
  <c r="S24" i="26"/>
  <c r="W24" i="26"/>
  <c r="AD24" i="26"/>
  <c r="AH24" i="26"/>
  <c r="AI24" i="26"/>
  <c r="AJ24" i="26"/>
  <c r="AT24" i="26"/>
  <c r="AV24" i="26"/>
  <c r="AX24" i="26"/>
  <c r="AY24" i="26"/>
  <c r="AZ24" i="26"/>
  <c r="BA24" i="26"/>
  <c r="BB24" i="26"/>
  <c r="BC24" i="26"/>
  <c r="BE24" i="26"/>
  <c r="BD24" i="26"/>
  <c r="BH24" i="26"/>
  <c r="BJ24" i="26"/>
  <c r="BK24" i="26"/>
  <c r="BO24" i="26"/>
  <c r="BQ24" i="26"/>
  <c r="E25" i="26"/>
  <c r="G25" i="26"/>
  <c r="F25" i="26"/>
  <c r="H25" i="26"/>
  <c r="J25" i="26"/>
  <c r="K25" i="26"/>
  <c r="M25" i="26"/>
  <c r="N25" i="26"/>
  <c r="O25" i="26"/>
  <c r="X25" i="26"/>
  <c r="P25" i="26"/>
  <c r="S25" i="26"/>
  <c r="W25" i="26"/>
  <c r="AD25" i="26"/>
  <c r="AH25" i="26"/>
  <c r="AI25" i="26"/>
  <c r="AJ25" i="26"/>
  <c r="AT25" i="26"/>
  <c r="AV25" i="26"/>
  <c r="AX25" i="26"/>
  <c r="AY25" i="26"/>
  <c r="AZ25" i="26"/>
  <c r="BA25" i="26"/>
  <c r="BB25" i="26"/>
  <c r="BC25" i="26"/>
  <c r="BE25" i="26"/>
  <c r="BD25" i="26"/>
  <c r="BH25" i="26"/>
  <c r="BJ25" i="26"/>
  <c r="BK25" i="26"/>
  <c r="BO25" i="26"/>
  <c r="BQ25" i="26"/>
  <c r="E26" i="26"/>
  <c r="G26" i="26"/>
  <c r="F26" i="26"/>
  <c r="H26" i="26"/>
  <c r="J26" i="26"/>
  <c r="K26" i="26"/>
  <c r="M26" i="26"/>
  <c r="N26" i="26"/>
  <c r="O26" i="26"/>
  <c r="X26" i="26"/>
  <c r="P26" i="26"/>
  <c r="S26" i="26"/>
  <c r="W26" i="26"/>
  <c r="AD26" i="26"/>
  <c r="AH26" i="26"/>
  <c r="AI26" i="26"/>
  <c r="AJ26" i="26"/>
  <c r="AT26" i="26"/>
  <c r="AV26" i="26"/>
  <c r="AX26" i="26"/>
  <c r="AY26" i="26"/>
  <c r="AZ26" i="26"/>
  <c r="BA26" i="26"/>
  <c r="BB26" i="26"/>
  <c r="BC26" i="26"/>
  <c r="BE26" i="26"/>
  <c r="BD26" i="26"/>
  <c r="BH26" i="26"/>
  <c r="BJ26" i="26"/>
  <c r="BK26" i="26"/>
  <c r="BO26" i="26"/>
  <c r="BQ26" i="26"/>
  <c r="E27" i="26"/>
  <c r="G27" i="26"/>
  <c r="F27" i="26"/>
  <c r="H27" i="26"/>
  <c r="J27" i="26"/>
  <c r="K27" i="26"/>
  <c r="M27" i="26"/>
  <c r="N27" i="26"/>
  <c r="O27" i="26"/>
  <c r="X27" i="26"/>
  <c r="P27" i="26"/>
  <c r="S27" i="26"/>
  <c r="W27" i="26"/>
  <c r="AD27" i="26"/>
  <c r="AH27" i="26"/>
  <c r="AI27" i="26"/>
  <c r="AJ27" i="26"/>
  <c r="AT27" i="26"/>
  <c r="AV27" i="26"/>
  <c r="AX27" i="26"/>
  <c r="AY27" i="26"/>
  <c r="AZ27" i="26"/>
  <c r="BA27" i="26"/>
  <c r="BB27" i="26"/>
  <c r="BC27" i="26"/>
  <c r="BE27" i="26"/>
  <c r="BD27" i="26"/>
  <c r="BH27" i="26"/>
  <c r="BJ27" i="26"/>
  <c r="BK27" i="26"/>
  <c r="BO27" i="26"/>
  <c r="BQ27" i="26"/>
  <c r="E28" i="26"/>
  <c r="G28" i="26"/>
  <c r="F28" i="26"/>
  <c r="H28" i="26"/>
  <c r="J28" i="26"/>
  <c r="K28" i="26"/>
  <c r="M28" i="26"/>
  <c r="N28" i="26"/>
  <c r="O28" i="26"/>
  <c r="X28" i="26"/>
  <c r="P28" i="26"/>
  <c r="S28" i="26"/>
  <c r="W28" i="26"/>
  <c r="AD28" i="26"/>
  <c r="AH28" i="26"/>
  <c r="AI28" i="26"/>
  <c r="AJ28" i="26"/>
  <c r="AT28" i="26"/>
  <c r="AV28" i="26"/>
  <c r="AX28" i="26"/>
  <c r="AY28" i="26"/>
  <c r="AZ28" i="26"/>
  <c r="BA28" i="26"/>
  <c r="BB28" i="26"/>
  <c r="BC28" i="26"/>
  <c r="BE28" i="26"/>
  <c r="BD28" i="26"/>
  <c r="BH28" i="26"/>
  <c r="BJ28" i="26"/>
  <c r="BK28" i="26"/>
  <c r="BO28" i="26"/>
  <c r="BQ28" i="26"/>
  <c r="E29" i="26"/>
  <c r="G29" i="26"/>
  <c r="F29" i="26"/>
  <c r="H29" i="26"/>
  <c r="J29" i="26"/>
  <c r="K29" i="26"/>
  <c r="M29" i="26"/>
  <c r="N29" i="26"/>
  <c r="O29" i="26"/>
  <c r="X29" i="26"/>
  <c r="P29" i="26"/>
  <c r="S29" i="26"/>
  <c r="W29" i="26"/>
  <c r="AD29" i="26"/>
  <c r="AH29" i="26"/>
  <c r="AI29" i="26"/>
  <c r="AJ29" i="26"/>
  <c r="AT29" i="26"/>
  <c r="AV29" i="26"/>
  <c r="AX29" i="26"/>
  <c r="AY29" i="26"/>
  <c r="AZ29" i="26"/>
  <c r="BA29" i="26"/>
  <c r="BB29" i="26"/>
  <c r="BC29" i="26"/>
  <c r="BE29" i="26"/>
  <c r="BD29" i="26"/>
  <c r="BH29" i="26"/>
  <c r="BJ29" i="26"/>
  <c r="BK29" i="26"/>
  <c r="BO29" i="26"/>
  <c r="BQ29" i="26"/>
  <c r="E30" i="26"/>
  <c r="G30" i="26"/>
  <c r="F30" i="26"/>
  <c r="H30" i="26"/>
  <c r="J30" i="26"/>
  <c r="K30" i="26"/>
  <c r="M30" i="26"/>
  <c r="N30" i="26"/>
  <c r="O30" i="26"/>
  <c r="X30" i="26"/>
  <c r="P30" i="26"/>
  <c r="S30" i="26"/>
  <c r="W30" i="26"/>
  <c r="AD30" i="26"/>
  <c r="AH30" i="26"/>
  <c r="AI30" i="26"/>
  <c r="AJ30" i="26"/>
  <c r="AT30" i="26"/>
  <c r="AV30" i="26"/>
  <c r="AX30" i="26"/>
  <c r="AY30" i="26"/>
  <c r="AZ30" i="26"/>
  <c r="BA30" i="26"/>
  <c r="BB30" i="26"/>
  <c r="BC30" i="26"/>
  <c r="BE30" i="26"/>
  <c r="BD30" i="26"/>
  <c r="BH30" i="26"/>
  <c r="BJ30" i="26"/>
  <c r="BK30" i="26"/>
  <c r="BO30" i="26"/>
  <c r="BQ30" i="26"/>
  <c r="E31" i="26"/>
  <c r="G31" i="26"/>
  <c r="F31" i="26"/>
  <c r="H31" i="26"/>
  <c r="J31" i="26"/>
  <c r="K31" i="26"/>
  <c r="M31" i="26"/>
  <c r="N31" i="26"/>
  <c r="O31" i="26"/>
  <c r="X31" i="26"/>
  <c r="P31" i="26"/>
  <c r="S31" i="26"/>
  <c r="W31" i="26"/>
  <c r="AD31" i="26"/>
  <c r="AH31" i="26"/>
  <c r="AI31" i="26"/>
  <c r="AJ31" i="26"/>
  <c r="AT31" i="26"/>
  <c r="AV31" i="26"/>
  <c r="AX31" i="26"/>
  <c r="AY31" i="26"/>
  <c r="AZ31" i="26"/>
  <c r="BA31" i="26"/>
  <c r="BB31" i="26"/>
  <c r="BC31" i="26"/>
  <c r="BE31" i="26"/>
  <c r="BD31" i="26"/>
  <c r="BH31" i="26"/>
  <c r="BJ31" i="26"/>
  <c r="BK31" i="26"/>
  <c r="BO31" i="26"/>
  <c r="BQ31" i="26"/>
  <c r="E32" i="26"/>
  <c r="G32" i="26"/>
  <c r="F32" i="26"/>
  <c r="H32" i="26"/>
  <c r="J32" i="26"/>
  <c r="K32" i="26"/>
  <c r="M32" i="26"/>
  <c r="N32" i="26"/>
  <c r="O32" i="26"/>
  <c r="X32" i="26"/>
  <c r="P32" i="26"/>
  <c r="S32" i="26"/>
  <c r="W32" i="26"/>
  <c r="AD32" i="26"/>
  <c r="AH32" i="26"/>
  <c r="AI32" i="26"/>
  <c r="AJ32" i="26"/>
  <c r="AT32" i="26"/>
  <c r="AV32" i="26"/>
  <c r="AX32" i="26"/>
  <c r="AY32" i="26"/>
  <c r="AZ32" i="26"/>
  <c r="BA32" i="26"/>
  <c r="BB32" i="26"/>
  <c r="BC32" i="26"/>
  <c r="BE32" i="26"/>
  <c r="BD32" i="26"/>
  <c r="BH32" i="26"/>
  <c r="BJ32" i="26"/>
  <c r="BK32" i="26"/>
  <c r="BO32" i="26"/>
  <c r="BQ32" i="26"/>
  <c r="E33" i="26"/>
  <c r="G33" i="26"/>
  <c r="F33" i="26"/>
  <c r="H33" i="26"/>
  <c r="J33" i="26"/>
  <c r="K33" i="26"/>
  <c r="M33" i="26"/>
  <c r="N33" i="26"/>
  <c r="O33" i="26"/>
  <c r="X33" i="26"/>
  <c r="P33" i="26"/>
  <c r="S33" i="26"/>
  <c r="W33" i="26"/>
  <c r="AD33" i="26"/>
  <c r="AH33" i="26"/>
  <c r="AI33" i="26"/>
  <c r="AJ33" i="26"/>
  <c r="AT33" i="26"/>
  <c r="AV33" i="26"/>
  <c r="AX33" i="26"/>
  <c r="AY33" i="26"/>
  <c r="AZ33" i="26"/>
  <c r="BA33" i="26"/>
  <c r="BB33" i="26"/>
  <c r="BC33" i="26"/>
  <c r="BE33" i="26"/>
  <c r="BD33" i="26"/>
  <c r="BH33" i="26"/>
  <c r="BJ33" i="26"/>
  <c r="BK33" i="26"/>
  <c r="BO33" i="26"/>
  <c r="BQ33" i="26"/>
  <c r="E34" i="26"/>
  <c r="G34" i="26"/>
  <c r="F34" i="26"/>
  <c r="H34" i="26"/>
  <c r="J34" i="26"/>
  <c r="K34" i="26"/>
  <c r="M34" i="26"/>
  <c r="N34" i="26"/>
  <c r="O34" i="26"/>
  <c r="X34" i="26"/>
  <c r="P34" i="26"/>
  <c r="S34" i="26"/>
  <c r="W34" i="26"/>
  <c r="AD34" i="26"/>
  <c r="AH34" i="26"/>
  <c r="AI34" i="26"/>
  <c r="AJ34" i="26"/>
  <c r="AT34" i="26"/>
  <c r="AV34" i="26"/>
  <c r="AW34" i="26"/>
  <c r="AX34" i="26"/>
  <c r="AY34" i="26"/>
  <c r="AZ34" i="26"/>
  <c r="BA34" i="26"/>
  <c r="BB34" i="26"/>
  <c r="BC34" i="26"/>
  <c r="BE34" i="26"/>
  <c r="BD34" i="26"/>
  <c r="BH34" i="26"/>
  <c r="BJ34" i="26"/>
  <c r="BK34" i="26"/>
  <c r="BO34" i="26"/>
  <c r="BQ34" i="26"/>
  <c r="E35" i="26"/>
  <c r="G35" i="26"/>
  <c r="F35" i="26"/>
  <c r="H35" i="26"/>
  <c r="J35" i="26"/>
  <c r="K35" i="26"/>
  <c r="M35" i="26"/>
  <c r="N35" i="26"/>
  <c r="O35" i="26"/>
  <c r="X35" i="26"/>
  <c r="P35" i="26"/>
  <c r="S35" i="26"/>
  <c r="W35" i="26"/>
  <c r="AD35" i="26"/>
  <c r="AH35" i="26"/>
  <c r="AI35" i="26"/>
  <c r="AJ35" i="26"/>
  <c r="AT35" i="26"/>
  <c r="AV35" i="26"/>
  <c r="AW35" i="26"/>
  <c r="AX35" i="26"/>
  <c r="AY35" i="26"/>
  <c r="AZ35" i="26"/>
  <c r="BA35" i="26"/>
  <c r="BB35" i="26"/>
  <c r="BC35" i="26"/>
  <c r="BE35" i="26"/>
  <c r="BD35" i="26"/>
  <c r="BH35" i="26"/>
  <c r="BJ35" i="26"/>
  <c r="BK35" i="26"/>
  <c r="BO35" i="26"/>
  <c r="BQ35" i="26"/>
  <c r="E36" i="26"/>
  <c r="G36" i="26"/>
  <c r="F36" i="26"/>
  <c r="H36" i="26"/>
  <c r="J36" i="26"/>
  <c r="K36" i="26"/>
  <c r="M36" i="26"/>
  <c r="N36" i="26"/>
  <c r="O36" i="26"/>
  <c r="X36" i="26"/>
  <c r="P36" i="26"/>
  <c r="S36" i="26"/>
  <c r="W36" i="26"/>
  <c r="AD36" i="26"/>
  <c r="AH36" i="26"/>
  <c r="AI36" i="26"/>
  <c r="AJ36" i="26"/>
  <c r="AT36" i="26"/>
  <c r="AV36" i="26"/>
  <c r="AW36" i="26"/>
  <c r="AX36" i="26"/>
  <c r="AY36" i="26"/>
  <c r="AZ36" i="26"/>
  <c r="BA36" i="26"/>
  <c r="BB36" i="26"/>
  <c r="BC36" i="26"/>
  <c r="BE36" i="26"/>
  <c r="BD36" i="26"/>
  <c r="BH36" i="26"/>
  <c r="BJ36" i="26"/>
  <c r="BK36" i="26"/>
  <c r="BO36" i="26"/>
  <c r="BQ36" i="26"/>
  <c r="E37" i="26"/>
  <c r="G37" i="26"/>
  <c r="F37" i="26"/>
  <c r="H37" i="26"/>
  <c r="J37" i="26"/>
  <c r="K37" i="26"/>
  <c r="M37" i="26"/>
  <c r="N37" i="26"/>
  <c r="O37" i="26"/>
  <c r="X37" i="26"/>
  <c r="P37" i="26"/>
  <c r="S37" i="26"/>
  <c r="W37" i="26"/>
  <c r="AD37" i="26"/>
  <c r="AH37" i="26"/>
  <c r="AI37" i="26"/>
  <c r="AJ37" i="26"/>
  <c r="AT37" i="26"/>
  <c r="AV37" i="26"/>
  <c r="AW37" i="26"/>
  <c r="AX37" i="26"/>
  <c r="AY37" i="26"/>
  <c r="AZ37" i="26"/>
  <c r="BA37" i="26"/>
  <c r="BB37" i="26"/>
  <c r="BC37" i="26"/>
  <c r="BE37" i="26"/>
  <c r="BD37" i="26"/>
  <c r="BH37" i="26"/>
  <c r="BJ37" i="26"/>
  <c r="BK37" i="26"/>
  <c r="BO37" i="26"/>
  <c r="BQ37" i="26"/>
  <c r="E38" i="26"/>
  <c r="G38" i="26"/>
  <c r="F38" i="26"/>
  <c r="H38" i="26"/>
  <c r="J38" i="26"/>
  <c r="K38" i="26"/>
  <c r="M38" i="26"/>
  <c r="N38" i="26"/>
  <c r="O38" i="26"/>
  <c r="X38" i="26"/>
  <c r="P38" i="26"/>
  <c r="S38" i="26"/>
  <c r="W38" i="26"/>
  <c r="AD38" i="26"/>
  <c r="AH38" i="26"/>
  <c r="AI38" i="26"/>
  <c r="AJ38" i="26"/>
  <c r="AT38" i="26"/>
  <c r="AV38" i="26"/>
  <c r="AW38" i="26"/>
  <c r="AX38" i="26"/>
  <c r="AY38" i="26"/>
  <c r="AZ38" i="26"/>
  <c r="BA38" i="26"/>
  <c r="BB38" i="26"/>
  <c r="BC38" i="26"/>
  <c r="BE38" i="26"/>
  <c r="BD38" i="26"/>
  <c r="BH38" i="26"/>
  <c r="BJ38" i="26"/>
  <c r="BK38" i="26"/>
  <c r="BO38" i="26"/>
  <c r="BQ38" i="26"/>
  <c r="E39" i="26"/>
  <c r="G39" i="26"/>
  <c r="F39" i="26"/>
  <c r="H39" i="26"/>
  <c r="J39" i="26"/>
  <c r="K39" i="26"/>
  <c r="M39" i="26"/>
  <c r="N39" i="26"/>
  <c r="O39" i="26"/>
  <c r="X39" i="26"/>
  <c r="P39" i="26"/>
  <c r="S39" i="26"/>
  <c r="W39" i="26"/>
  <c r="AD39" i="26"/>
  <c r="AH39" i="26"/>
  <c r="AI39" i="26"/>
  <c r="AJ39" i="26"/>
  <c r="AT39" i="26"/>
  <c r="AV39" i="26"/>
  <c r="AW39" i="26"/>
  <c r="AX39" i="26"/>
  <c r="AY39" i="26"/>
  <c r="AZ39" i="26"/>
  <c r="BA39" i="26"/>
  <c r="BB39" i="26"/>
  <c r="BC39" i="26"/>
  <c r="BE39" i="26"/>
  <c r="BD39" i="26"/>
  <c r="BH39" i="26"/>
  <c r="BJ39" i="26"/>
  <c r="BK39" i="26"/>
  <c r="BO39" i="26"/>
  <c r="BQ39" i="26"/>
  <c r="E40" i="26"/>
  <c r="G40" i="26"/>
  <c r="F40" i="26"/>
  <c r="H40" i="26"/>
  <c r="J40" i="26"/>
  <c r="K40" i="26"/>
  <c r="M40" i="26"/>
  <c r="N40" i="26"/>
  <c r="O40" i="26"/>
  <c r="X40" i="26"/>
  <c r="P40" i="26"/>
  <c r="S40" i="26"/>
  <c r="W40" i="26"/>
  <c r="AD40" i="26"/>
  <c r="AH40" i="26"/>
  <c r="AI40" i="26"/>
  <c r="AJ40" i="26"/>
  <c r="AT40" i="26"/>
  <c r="AV40" i="26"/>
  <c r="AW40" i="26"/>
  <c r="AX40" i="26"/>
  <c r="AY40" i="26"/>
  <c r="AZ40" i="26"/>
  <c r="BA40" i="26"/>
  <c r="BB40" i="26"/>
  <c r="BC40" i="26"/>
  <c r="BE40" i="26"/>
  <c r="BD40" i="26"/>
  <c r="BH40" i="26"/>
  <c r="BJ40" i="26"/>
  <c r="BK40" i="26"/>
  <c r="BO40" i="26"/>
  <c r="BQ40" i="26"/>
  <c r="E41" i="26"/>
  <c r="G41" i="26"/>
  <c r="F41" i="26"/>
  <c r="H41" i="26"/>
  <c r="J41" i="26"/>
  <c r="K41" i="26"/>
  <c r="M41" i="26"/>
  <c r="N41" i="26"/>
  <c r="O41" i="26"/>
  <c r="X41" i="26"/>
  <c r="P41" i="26"/>
  <c r="S41" i="26"/>
  <c r="W41" i="26"/>
  <c r="Z86" i="26"/>
  <c r="Z85" i="26"/>
  <c r="Z84" i="26"/>
  <c r="Z83" i="26"/>
  <c r="Z82" i="26"/>
  <c r="Z81" i="26"/>
  <c r="Z80" i="26"/>
  <c r="Z79" i="26"/>
  <c r="Z78" i="26"/>
  <c r="Z77" i="26"/>
  <c r="Z76" i="26"/>
  <c r="Z75" i="26"/>
  <c r="Z74" i="26"/>
  <c r="Z73" i="26"/>
  <c r="Z72" i="26"/>
  <c r="Z71" i="26"/>
  <c r="AC71" i="26"/>
  <c r="AC70" i="26"/>
  <c r="AC69" i="26"/>
  <c r="AC68" i="26"/>
  <c r="AC67" i="26"/>
  <c r="AC66" i="26"/>
  <c r="AC65" i="26"/>
  <c r="AC64" i="26"/>
  <c r="AC63" i="26"/>
  <c r="AC62" i="26"/>
  <c r="AC61" i="26"/>
  <c r="AC60" i="26"/>
  <c r="AC59" i="26"/>
  <c r="AC58" i="26"/>
  <c r="AC57" i="26"/>
  <c r="AC56" i="26"/>
  <c r="AC55" i="26"/>
  <c r="AC54" i="26"/>
  <c r="AC53" i="26"/>
  <c r="AC52" i="26"/>
  <c r="AC51" i="26"/>
  <c r="AC50" i="26"/>
  <c r="AC49" i="26"/>
  <c r="AC48" i="26"/>
  <c r="AC47" i="26"/>
  <c r="AC46" i="26"/>
  <c r="AC45" i="26"/>
  <c r="AF44" i="26"/>
  <c r="AC44" i="26"/>
  <c r="AC43" i="26"/>
  <c r="AC42" i="26"/>
  <c r="AC41" i="26"/>
  <c r="AD41" i="26"/>
  <c r="AH41" i="26"/>
  <c r="AI41" i="26"/>
  <c r="AJ41" i="26"/>
  <c r="AT41" i="26"/>
  <c r="AV41" i="26"/>
  <c r="AW41" i="26"/>
  <c r="AX41" i="26"/>
  <c r="AY41" i="26"/>
  <c r="AZ41" i="26"/>
  <c r="BA41" i="26"/>
  <c r="BB41" i="26"/>
  <c r="BC41" i="26"/>
  <c r="BE41" i="26"/>
  <c r="BD41" i="26"/>
  <c r="BH41" i="26"/>
  <c r="BJ41" i="26"/>
  <c r="BK41" i="26"/>
  <c r="BO41" i="26"/>
  <c r="BQ41" i="26"/>
  <c r="E42" i="26"/>
  <c r="G42" i="26"/>
  <c r="F42" i="26"/>
  <c r="H42" i="26"/>
  <c r="J42" i="26"/>
  <c r="K42" i="26"/>
  <c r="M42" i="26"/>
  <c r="N42" i="26"/>
  <c r="O42" i="26"/>
  <c r="X42" i="26"/>
  <c r="P42" i="26"/>
  <c r="S42" i="26"/>
  <c r="W42" i="26"/>
  <c r="AD42" i="26"/>
  <c r="AH42" i="26"/>
  <c r="AI42" i="26"/>
  <c r="AJ42" i="26"/>
  <c r="AT42" i="26"/>
  <c r="AV42" i="26"/>
  <c r="AW42" i="26"/>
  <c r="AX42" i="26"/>
  <c r="AY42" i="26"/>
  <c r="AZ42" i="26"/>
  <c r="BA42" i="26"/>
  <c r="BB42" i="26"/>
  <c r="BC42" i="26"/>
  <c r="BE42" i="26"/>
  <c r="BD42" i="26"/>
  <c r="BH42" i="26"/>
  <c r="BJ42" i="26"/>
  <c r="BK42" i="26"/>
  <c r="BO42" i="26"/>
  <c r="BQ42" i="26"/>
  <c r="E43" i="26"/>
  <c r="G43" i="26"/>
  <c r="F43" i="26"/>
  <c r="H43" i="26"/>
  <c r="J43" i="26"/>
  <c r="K43" i="26"/>
  <c r="M43" i="26"/>
  <c r="N43" i="26"/>
  <c r="O43" i="26"/>
  <c r="X43" i="26"/>
  <c r="P43" i="26"/>
  <c r="S43" i="26"/>
  <c r="W43" i="26"/>
  <c r="AD43" i="26"/>
  <c r="AH43" i="26"/>
  <c r="AI43" i="26"/>
  <c r="AJ43" i="26"/>
  <c r="AT43" i="26"/>
  <c r="AV43" i="26"/>
  <c r="AW43" i="26"/>
  <c r="AX43" i="26"/>
  <c r="AY43" i="26"/>
  <c r="AZ43" i="26"/>
  <c r="BA43" i="26"/>
  <c r="BB43" i="26"/>
  <c r="BC43" i="26"/>
  <c r="BE43" i="26"/>
  <c r="BD43" i="26"/>
  <c r="BH43" i="26"/>
  <c r="BJ43" i="26"/>
  <c r="BK43" i="26"/>
  <c r="BO43" i="26"/>
  <c r="BQ43" i="26"/>
  <c r="E44" i="26"/>
  <c r="G44" i="26"/>
  <c r="F44" i="26"/>
  <c r="H44" i="26"/>
  <c r="J44" i="26"/>
  <c r="K44" i="26"/>
  <c r="M44" i="26"/>
  <c r="N44" i="26"/>
  <c r="O44" i="26"/>
  <c r="X44" i="26"/>
  <c r="P44" i="26"/>
  <c r="S44" i="26"/>
  <c r="W44" i="26"/>
  <c r="AD44" i="26"/>
  <c r="AH44" i="26"/>
  <c r="AI44" i="26"/>
  <c r="AJ44" i="26"/>
  <c r="AT44" i="26"/>
  <c r="AV44" i="26"/>
  <c r="AW44" i="26"/>
  <c r="AX44" i="26"/>
  <c r="AY44" i="26"/>
  <c r="AZ44" i="26"/>
  <c r="BA44" i="26"/>
  <c r="BB44" i="26"/>
  <c r="BC44" i="26"/>
  <c r="BE44" i="26"/>
  <c r="BD44" i="26"/>
  <c r="BH44" i="26"/>
  <c r="BJ44" i="26"/>
  <c r="BK44" i="26"/>
  <c r="BO44" i="26"/>
  <c r="BQ44" i="26"/>
  <c r="E45" i="26"/>
  <c r="G45" i="26"/>
  <c r="F45" i="26"/>
  <c r="H45" i="26"/>
  <c r="J45" i="26"/>
  <c r="K45" i="26"/>
  <c r="M45" i="26"/>
  <c r="N45" i="26"/>
  <c r="O45" i="26"/>
  <c r="X45" i="26"/>
  <c r="P45" i="26"/>
  <c r="S45" i="26"/>
  <c r="W45" i="26"/>
  <c r="AD45" i="26"/>
  <c r="AH45" i="26"/>
  <c r="AI45" i="26"/>
  <c r="AJ45" i="26"/>
  <c r="AT45" i="26"/>
  <c r="AV45" i="26"/>
  <c r="AW45" i="26"/>
  <c r="AX45" i="26"/>
  <c r="AY45" i="26"/>
  <c r="AZ45" i="26"/>
  <c r="BA45" i="26"/>
  <c r="BB45" i="26"/>
  <c r="BC45" i="26"/>
  <c r="BE45" i="26"/>
  <c r="BD45" i="26"/>
  <c r="BH45" i="26"/>
  <c r="BJ45" i="26"/>
  <c r="BK45" i="26"/>
  <c r="BO45" i="26"/>
  <c r="BQ45" i="26"/>
  <c r="E46" i="26"/>
  <c r="G46" i="26"/>
  <c r="F46" i="26"/>
  <c r="H46" i="26"/>
  <c r="J46" i="26"/>
  <c r="K46" i="26"/>
  <c r="M46" i="26"/>
  <c r="N46" i="26"/>
  <c r="O46" i="26"/>
  <c r="X46" i="26"/>
  <c r="P46" i="26"/>
  <c r="S46" i="26"/>
  <c r="W46" i="26"/>
  <c r="AD46" i="26"/>
  <c r="AH46" i="26"/>
  <c r="AI46" i="26"/>
  <c r="AJ46" i="26"/>
  <c r="AT46" i="26"/>
  <c r="AV46" i="26"/>
  <c r="AW46" i="26"/>
  <c r="AX46" i="26"/>
  <c r="AY46" i="26"/>
  <c r="AZ46" i="26"/>
  <c r="BA46" i="26"/>
  <c r="BB46" i="26"/>
  <c r="BC46" i="26"/>
  <c r="BE46" i="26"/>
  <c r="BD46" i="26"/>
  <c r="BH46" i="26"/>
  <c r="BJ46" i="26"/>
  <c r="BK46" i="26"/>
  <c r="BO46" i="26"/>
  <c r="BQ46" i="26"/>
  <c r="E47" i="26"/>
  <c r="G47" i="26"/>
  <c r="F47" i="26"/>
  <c r="H47" i="26"/>
  <c r="J47" i="26"/>
  <c r="K47" i="26"/>
  <c r="M47" i="26"/>
  <c r="N47" i="26"/>
  <c r="O47" i="26"/>
  <c r="X47" i="26"/>
  <c r="P47" i="26"/>
  <c r="S47" i="26"/>
  <c r="W47" i="26"/>
  <c r="AD47" i="26"/>
  <c r="AH47" i="26"/>
  <c r="AI47" i="26"/>
  <c r="AJ47" i="26"/>
  <c r="AT47" i="26"/>
  <c r="AV47" i="26"/>
  <c r="AW47" i="26"/>
  <c r="AX47" i="26"/>
  <c r="AY47" i="26"/>
  <c r="AZ47" i="26"/>
  <c r="BA47" i="26"/>
  <c r="BB47" i="26"/>
  <c r="BC47" i="26"/>
  <c r="BE47" i="26"/>
  <c r="BD47" i="26"/>
  <c r="BH47" i="26"/>
  <c r="BJ47" i="26"/>
  <c r="BK47" i="26"/>
  <c r="BO47" i="26"/>
  <c r="BQ47" i="26"/>
  <c r="E48" i="26"/>
  <c r="G48" i="26"/>
  <c r="F48" i="26"/>
  <c r="H48" i="26"/>
  <c r="J48" i="26"/>
  <c r="K48" i="26"/>
  <c r="M48" i="26"/>
  <c r="N48" i="26"/>
  <c r="O48" i="26"/>
  <c r="X48" i="26"/>
  <c r="P48" i="26"/>
  <c r="S48" i="26"/>
  <c r="W48" i="26"/>
  <c r="AD48" i="26"/>
  <c r="AH48" i="26"/>
  <c r="AI48" i="26"/>
  <c r="AJ48" i="26"/>
  <c r="AT48" i="26"/>
  <c r="AV48" i="26"/>
  <c r="AW48" i="26"/>
  <c r="AX48" i="26"/>
  <c r="AY48" i="26"/>
  <c r="AZ48" i="26"/>
  <c r="BA48" i="26"/>
  <c r="BB48" i="26"/>
  <c r="BC48" i="26"/>
  <c r="BE48" i="26"/>
  <c r="BD48" i="26"/>
  <c r="BH48" i="26"/>
  <c r="BJ48" i="26"/>
  <c r="BK48" i="26"/>
  <c r="BO48" i="26"/>
  <c r="BQ48" i="26"/>
  <c r="E49" i="26"/>
  <c r="G49" i="26"/>
  <c r="F49" i="26"/>
  <c r="H49" i="26"/>
  <c r="J49" i="26"/>
  <c r="K49" i="26"/>
  <c r="M49" i="26"/>
  <c r="N49" i="26"/>
  <c r="O49" i="26"/>
  <c r="X49" i="26"/>
  <c r="P49" i="26"/>
  <c r="S49" i="26"/>
  <c r="W49" i="26"/>
  <c r="AD49" i="26"/>
  <c r="AH49" i="26"/>
  <c r="AI49" i="26"/>
  <c r="AJ49" i="26"/>
  <c r="AT49" i="26"/>
  <c r="AV49" i="26"/>
  <c r="AW49" i="26"/>
  <c r="AX49" i="26"/>
  <c r="AY49" i="26"/>
  <c r="AZ49" i="26"/>
  <c r="BA49" i="26"/>
  <c r="BB49" i="26"/>
  <c r="BC49" i="26"/>
  <c r="BE49" i="26"/>
  <c r="BD49" i="26"/>
  <c r="BH49" i="26"/>
  <c r="BJ49" i="26"/>
  <c r="BK49" i="26"/>
  <c r="BO49" i="26"/>
  <c r="BQ49" i="26"/>
  <c r="E50" i="26"/>
  <c r="G50" i="26"/>
  <c r="F50" i="26"/>
  <c r="H50" i="26"/>
  <c r="J50" i="26"/>
  <c r="K50" i="26"/>
  <c r="M50" i="26"/>
  <c r="N50" i="26"/>
  <c r="O50" i="26"/>
  <c r="X50" i="26"/>
  <c r="P50" i="26"/>
  <c r="S50" i="26"/>
  <c r="W50" i="26"/>
  <c r="AD50" i="26"/>
  <c r="AH50" i="26"/>
  <c r="AI50" i="26"/>
  <c r="AJ50" i="26"/>
  <c r="AT50" i="26"/>
  <c r="AV50" i="26"/>
  <c r="AW50" i="26"/>
  <c r="AX50" i="26"/>
  <c r="AY50" i="26"/>
  <c r="AZ50" i="26"/>
  <c r="BA50" i="26"/>
  <c r="BB50" i="26"/>
  <c r="BC50" i="26"/>
  <c r="BE50" i="26"/>
  <c r="BD50" i="26"/>
  <c r="BH50" i="26"/>
  <c r="BJ50" i="26"/>
  <c r="BK50" i="26"/>
  <c r="BO50" i="26"/>
  <c r="BQ50" i="26"/>
  <c r="E51" i="26"/>
  <c r="G51" i="26"/>
  <c r="F51" i="26"/>
  <c r="H51" i="26"/>
  <c r="J51" i="26"/>
  <c r="K51" i="26"/>
  <c r="M51" i="26"/>
  <c r="N51" i="26"/>
  <c r="O51" i="26"/>
  <c r="X51" i="26"/>
  <c r="P51" i="26"/>
  <c r="S51" i="26"/>
  <c r="W51" i="26"/>
  <c r="AD51" i="26"/>
  <c r="AH51" i="26"/>
  <c r="AI51" i="26"/>
  <c r="AJ51" i="26"/>
  <c r="AT51" i="26"/>
  <c r="AV51" i="26"/>
  <c r="AW51" i="26"/>
  <c r="AX51" i="26"/>
  <c r="AY51" i="26"/>
  <c r="AZ51" i="26"/>
  <c r="BA51" i="26"/>
  <c r="BB51" i="26"/>
  <c r="BC51" i="26"/>
  <c r="BE51" i="26"/>
  <c r="BD51" i="26"/>
  <c r="BH51" i="26"/>
  <c r="BJ51" i="26"/>
  <c r="BK51" i="26"/>
  <c r="BO51" i="26"/>
  <c r="BQ51" i="26"/>
  <c r="E52" i="26"/>
  <c r="G52" i="26"/>
  <c r="F52" i="26"/>
  <c r="H52" i="26"/>
  <c r="J52" i="26"/>
  <c r="K52" i="26"/>
  <c r="M52" i="26"/>
  <c r="N52" i="26"/>
  <c r="O52" i="26"/>
  <c r="X52" i="26"/>
  <c r="P52" i="26"/>
  <c r="S52" i="26"/>
  <c r="W52" i="26"/>
  <c r="AD52" i="26"/>
  <c r="AH52" i="26"/>
  <c r="AI52" i="26"/>
  <c r="AJ52" i="26"/>
  <c r="AP52" i="26"/>
  <c r="AT52" i="26"/>
  <c r="AV52" i="26"/>
  <c r="AW52" i="26"/>
  <c r="AX52" i="26"/>
  <c r="AY52" i="26"/>
  <c r="AZ52" i="26"/>
  <c r="BA52" i="26"/>
  <c r="BB52" i="26"/>
  <c r="BC52" i="26"/>
  <c r="BE52" i="26"/>
  <c r="BD52" i="26"/>
  <c r="BH52" i="26"/>
  <c r="BJ52" i="26"/>
  <c r="BK52" i="26"/>
  <c r="BO52" i="26"/>
  <c r="BQ52" i="26"/>
  <c r="E53" i="26"/>
  <c r="G53" i="26"/>
  <c r="F53" i="26"/>
  <c r="H53" i="26"/>
  <c r="J53" i="26"/>
  <c r="K53" i="26"/>
  <c r="M53" i="26"/>
  <c r="N53" i="26"/>
  <c r="O53" i="26"/>
  <c r="X53" i="26"/>
  <c r="P53" i="26"/>
  <c r="S53" i="26"/>
  <c r="W53" i="26"/>
  <c r="AD53" i="26"/>
  <c r="AH53" i="26"/>
  <c r="AI53" i="26"/>
  <c r="AJ53" i="26"/>
  <c r="AP53" i="26"/>
  <c r="AT53" i="26"/>
  <c r="AV53" i="26"/>
  <c r="AW53" i="26"/>
  <c r="AX53" i="26"/>
  <c r="AY53" i="26"/>
  <c r="AZ53" i="26"/>
  <c r="BA53" i="26"/>
  <c r="BB53" i="26"/>
  <c r="BC53" i="26"/>
  <c r="BE53" i="26"/>
  <c r="BD53" i="26"/>
  <c r="BH53" i="26"/>
  <c r="BJ53" i="26"/>
  <c r="BK53" i="26"/>
  <c r="BO53" i="26"/>
  <c r="BQ53" i="26"/>
  <c r="E54" i="26"/>
  <c r="G54" i="26"/>
  <c r="F54" i="26"/>
  <c r="H54" i="26"/>
  <c r="J54" i="26"/>
  <c r="K54" i="26"/>
  <c r="M54" i="26"/>
  <c r="N54" i="26"/>
  <c r="O54" i="26"/>
  <c r="X54" i="26"/>
  <c r="P54" i="26"/>
  <c r="S54" i="26"/>
  <c r="W54" i="26"/>
  <c r="AD54" i="26"/>
  <c r="AH54" i="26"/>
  <c r="AI54" i="26"/>
  <c r="AJ54" i="26"/>
  <c r="AT54" i="26"/>
  <c r="AV54" i="26"/>
  <c r="AW54" i="26"/>
  <c r="AX54" i="26"/>
  <c r="AY54" i="26"/>
  <c r="AZ54" i="26"/>
  <c r="BA54" i="26"/>
  <c r="BB54" i="26"/>
  <c r="BC54" i="26"/>
  <c r="BE54" i="26"/>
  <c r="BD54" i="26"/>
  <c r="BH54" i="26"/>
  <c r="BJ54" i="26"/>
  <c r="BK54" i="26"/>
  <c r="BO54" i="26"/>
  <c r="BQ54" i="26"/>
  <c r="E55" i="26"/>
  <c r="G55" i="26"/>
  <c r="F55" i="26"/>
  <c r="H55" i="26"/>
  <c r="J55" i="26"/>
  <c r="K55" i="26"/>
  <c r="M55" i="26"/>
  <c r="N55" i="26"/>
  <c r="O55" i="26"/>
  <c r="X55" i="26"/>
  <c r="P55" i="26"/>
  <c r="S55" i="26"/>
  <c r="W55" i="26"/>
  <c r="AD55" i="26"/>
  <c r="AH55" i="26"/>
  <c r="AI55" i="26"/>
  <c r="AJ55" i="26"/>
  <c r="AT55" i="26"/>
  <c r="AV55" i="26"/>
  <c r="AW55" i="26"/>
  <c r="AX55" i="26"/>
  <c r="AY55" i="26"/>
  <c r="AZ55" i="26"/>
  <c r="BA55" i="26"/>
  <c r="BB55" i="26"/>
  <c r="BC55" i="26"/>
  <c r="BE55" i="26"/>
  <c r="BD55" i="26"/>
  <c r="BH55" i="26"/>
  <c r="BJ55" i="26"/>
  <c r="BK55" i="26"/>
  <c r="BO55" i="26"/>
  <c r="BQ55" i="26"/>
  <c r="E56" i="26"/>
  <c r="G56" i="26"/>
  <c r="F56" i="26"/>
  <c r="H56" i="26"/>
  <c r="J56" i="26"/>
  <c r="K56" i="26"/>
  <c r="M56" i="26"/>
  <c r="N56" i="26"/>
  <c r="O56" i="26"/>
  <c r="X56" i="26"/>
  <c r="P56" i="26"/>
  <c r="S56" i="26"/>
  <c r="W56" i="26"/>
  <c r="AD56" i="26"/>
  <c r="AH56" i="26"/>
  <c r="AI56" i="26"/>
  <c r="AJ56" i="26"/>
  <c r="AT56" i="26"/>
  <c r="AV56" i="26"/>
  <c r="AW56" i="26"/>
  <c r="AX56" i="26"/>
  <c r="AY56" i="26"/>
  <c r="AZ56" i="26"/>
  <c r="BA56" i="26"/>
  <c r="BB56" i="26"/>
  <c r="BC56" i="26"/>
  <c r="BE56" i="26"/>
  <c r="BD56" i="26"/>
  <c r="BH56" i="26"/>
  <c r="BJ56" i="26"/>
  <c r="BK56" i="26"/>
  <c r="BO56" i="26"/>
  <c r="BQ56" i="26"/>
  <c r="E57" i="26"/>
  <c r="G57" i="26"/>
  <c r="F57" i="26"/>
  <c r="H57" i="26"/>
  <c r="J57" i="26"/>
  <c r="K57" i="26"/>
  <c r="M57" i="26"/>
  <c r="N57" i="26"/>
  <c r="O57" i="26"/>
  <c r="X57" i="26"/>
  <c r="P57" i="26"/>
  <c r="S57" i="26"/>
  <c r="W57" i="26"/>
  <c r="AD57" i="26"/>
  <c r="AH57" i="26"/>
  <c r="AI57" i="26"/>
  <c r="AJ57" i="26"/>
  <c r="AT57" i="26"/>
  <c r="AV57" i="26"/>
  <c r="AW57" i="26"/>
  <c r="AX57" i="26"/>
  <c r="AY57" i="26"/>
  <c r="AZ57" i="26"/>
  <c r="BA57" i="26"/>
  <c r="BB57" i="26"/>
  <c r="BC57" i="26"/>
  <c r="BE57" i="26"/>
  <c r="BD57" i="26"/>
  <c r="BH57" i="26"/>
  <c r="BJ57" i="26"/>
  <c r="BK57" i="26"/>
  <c r="BO57" i="26"/>
  <c r="BQ57" i="26"/>
  <c r="E58" i="26"/>
  <c r="G58" i="26"/>
  <c r="F58" i="26"/>
  <c r="H58" i="26"/>
  <c r="J58" i="26"/>
  <c r="K58" i="26"/>
  <c r="M58" i="26"/>
  <c r="N58" i="26"/>
  <c r="O58" i="26"/>
  <c r="X58" i="26"/>
  <c r="P58" i="26"/>
  <c r="S58" i="26"/>
  <c r="W58" i="26"/>
  <c r="AD58" i="26"/>
  <c r="AH58" i="26"/>
  <c r="AI58" i="26"/>
  <c r="AJ58" i="26"/>
  <c r="AT58" i="26"/>
  <c r="AV58" i="26"/>
  <c r="AW58" i="26"/>
  <c r="AX58" i="26"/>
  <c r="AY58" i="26"/>
  <c r="AZ58" i="26"/>
  <c r="BA58" i="26"/>
  <c r="BB58" i="26"/>
  <c r="BC58" i="26"/>
  <c r="BE58" i="26"/>
  <c r="BD58" i="26"/>
  <c r="BH58" i="26"/>
  <c r="BJ58" i="26"/>
  <c r="BK58" i="26"/>
  <c r="DD58" i="26"/>
  <c r="BL58" i="26"/>
  <c r="BM58" i="26"/>
  <c r="CG58" i="26"/>
  <c r="CQ58" i="26"/>
  <c r="DF58" i="26"/>
  <c r="BN58" i="26"/>
  <c r="BO58" i="26"/>
  <c r="BQ58" i="26"/>
  <c r="CC58" i="26"/>
  <c r="CH58" i="26"/>
  <c r="CI58" i="26"/>
  <c r="CJ58" i="26"/>
  <c r="CK58" i="26"/>
  <c r="CL58" i="26"/>
  <c r="CN58" i="26"/>
  <c r="CO58" i="26"/>
  <c r="CM58" i="26"/>
  <c r="CP58" i="26"/>
  <c r="CR58" i="26"/>
  <c r="CS58" i="26"/>
  <c r="CT58" i="26"/>
  <c r="CU58" i="26"/>
  <c r="DG58" i="26"/>
  <c r="DH58" i="26"/>
  <c r="DI58" i="26"/>
  <c r="DR58" i="26"/>
  <c r="DS58" i="26"/>
  <c r="DT58" i="26"/>
  <c r="DU58" i="26"/>
  <c r="DW58" i="26"/>
  <c r="DX58" i="26"/>
  <c r="DY58" i="26"/>
  <c r="DZ58" i="26"/>
  <c r="EA58" i="26"/>
  <c r="EB58" i="26"/>
  <c r="EC58" i="26"/>
  <c r="ED58" i="26"/>
  <c r="EE58" i="26"/>
  <c r="EM58" i="26"/>
  <c r="EN58" i="26"/>
  <c r="EO58" i="26"/>
  <c r="EX58" i="26"/>
  <c r="EY58" i="26"/>
  <c r="EZ58" i="26"/>
  <c r="E59" i="26"/>
  <c r="G59" i="26"/>
  <c r="F59" i="26"/>
  <c r="H59" i="26"/>
  <c r="J59" i="26"/>
  <c r="K59" i="26"/>
  <c r="M59" i="26"/>
  <c r="N59" i="26"/>
  <c r="O59" i="26"/>
  <c r="X59" i="26"/>
  <c r="P59" i="26"/>
  <c r="S59" i="26"/>
  <c r="W59" i="26"/>
  <c r="AD59" i="26"/>
  <c r="AH59" i="26"/>
  <c r="AI59" i="26"/>
  <c r="AJ59" i="26"/>
  <c r="AT59" i="26"/>
  <c r="AV59" i="26"/>
  <c r="AW59" i="26"/>
  <c r="AX59" i="26"/>
  <c r="AY59" i="26"/>
  <c r="AZ59" i="26"/>
  <c r="BA59" i="26"/>
  <c r="BB59" i="26"/>
  <c r="BC59" i="26"/>
  <c r="BE59" i="26"/>
  <c r="BD59" i="26"/>
  <c r="BH59" i="26"/>
  <c r="BJ59" i="26"/>
  <c r="BK59" i="26"/>
  <c r="DD59" i="26"/>
  <c r="BL59" i="26"/>
  <c r="BM59" i="26"/>
  <c r="CG59" i="26"/>
  <c r="CQ59" i="26"/>
  <c r="DF59" i="26"/>
  <c r="BN59" i="26"/>
  <c r="BO59" i="26"/>
  <c r="BQ59" i="26"/>
  <c r="CC59" i="26"/>
  <c r="CH59" i="26"/>
  <c r="CI59" i="26"/>
  <c r="CJ59" i="26"/>
  <c r="CK59" i="26"/>
  <c r="CL59" i="26"/>
  <c r="CN59" i="26"/>
  <c r="CO59" i="26"/>
  <c r="CM59" i="26"/>
  <c r="CP59" i="26"/>
  <c r="CR59" i="26"/>
  <c r="CS59" i="26"/>
  <c r="CT59" i="26"/>
  <c r="CU59" i="26"/>
  <c r="DG59" i="26"/>
  <c r="DH59" i="26"/>
  <c r="DI59" i="26"/>
  <c r="DR59" i="26"/>
  <c r="DS59" i="26"/>
  <c r="DT59" i="26"/>
  <c r="DU59" i="26"/>
  <c r="DW59" i="26"/>
  <c r="DX59" i="26"/>
  <c r="DY59" i="26"/>
  <c r="DZ59" i="26"/>
  <c r="EA59" i="26"/>
  <c r="EB59" i="26"/>
  <c r="EC59" i="26"/>
  <c r="ED59" i="26"/>
  <c r="EE59" i="26"/>
  <c r="EI59" i="26"/>
  <c r="EM59" i="26"/>
  <c r="EN59" i="26"/>
  <c r="EO59" i="26"/>
  <c r="EX59" i="26"/>
  <c r="EY59" i="26"/>
  <c r="EZ59" i="26"/>
  <c r="FA59" i="26"/>
  <c r="FB59" i="26"/>
  <c r="FC59" i="26"/>
  <c r="FD59" i="26"/>
  <c r="FE59" i="26"/>
  <c r="FF59" i="26"/>
  <c r="FG59" i="26"/>
  <c r="FH59" i="26"/>
  <c r="FI59" i="26"/>
  <c r="FJ59" i="26"/>
  <c r="FK59" i="26"/>
  <c r="FL59" i="26"/>
  <c r="FM59" i="26"/>
  <c r="FN59" i="26"/>
  <c r="FO59" i="26"/>
  <c r="FP59" i="26"/>
  <c r="FQ59" i="26"/>
  <c r="FR59" i="26"/>
  <c r="FS59" i="26"/>
  <c r="FT59" i="26"/>
  <c r="FU59" i="26"/>
  <c r="E60" i="26"/>
  <c r="G60" i="26"/>
  <c r="F60" i="26"/>
  <c r="H60" i="26"/>
  <c r="J60" i="26"/>
  <c r="K60" i="26"/>
  <c r="M60" i="26"/>
  <c r="N60" i="26"/>
  <c r="O60" i="26"/>
  <c r="X60" i="26"/>
  <c r="P60" i="26"/>
  <c r="S60" i="26"/>
  <c r="W60" i="26"/>
  <c r="AD60" i="26"/>
  <c r="AH60" i="26"/>
  <c r="AI60" i="26"/>
  <c r="AJ60" i="26"/>
  <c r="AT60" i="26"/>
  <c r="AV60" i="26"/>
  <c r="AW60" i="26"/>
  <c r="AX60" i="26"/>
  <c r="AY60" i="26"/>
  <c r="AZ60" i="26"/>
  <c r="BA60" i="26"/>
  <c r="BB60" i="26"/>
  <c r="BC60" i="26"/>
  <c r="BE60" i="26"/>
  <c r="BD60" i="26"/>
  <c r="BH60" i="26"/>
  <c r="BJ60" i="26"/>
  <c r="BK60" i="26"/>
  <c r="DD60" i="26"/>
  <c r="BL60" i="26"/>
  <c r="BM60" i="26"/>
  <c r="CG60" i="26"/>
  <c r="CQ60" i="26"/>
  <c r="DF60" i="26"/>
  <c r="BN60" i="26"/>
  <c r="BO60" i="26"/>
  <c r="BQ60" i="26"/>
  <c r="CC60" i="26"/>
  <c r="CH60" i="26"/>
  <c r="CI60" i="26"/>
  <c r="CJ60" i="26"/>
  <c r="CK60" i="26"/>
  <c r="CL60" i="26"/>
  <c r="CN60" i="26"/>
  <c r="CO60" i="26"/>
  <c r="CM60" i="26"/>
  <c r="CP60" i="26"/>
  <c r="CR60" i="26"/>
  <c r="CS60" i="26"/>
  <c r="CT60" i="26"/>
  <c r="CU60" i="26"/>
  <c r="DG60" i="26"/>
  <c r="DH60" i="26"/>
  <c r="DI60" i="26"/>
  <c r="DR60" i="26"/>
  <c r="DS60" i="26"/>
  <c r="DT60" i="26"/>
  <c r="DU60" i="26"/>
  <c r="DW60" i="26"/>
  <c r="DX60" i="26"/>
  <c r="DY60" i="26"/>
  <c r="DZ60" i="26"/>
  <c r="EA60" i="26"/>
  <c r="EB60" i="26"/>
  <c r="EC60" i="26"/>
  <c r="ED60" i="26"/>
  <c r="EE60" i="26"/>
  <c r="EM60" i="26"/>
  <c r="EN60" i="26"/>
  <c r="EO60" i="26"/>
  <c r="EX60" i="26"/>
  <c r="EY60" i="26"/>
  <c r="EZ60" i="26"/>
  <c r="FA60" i="26"/>
  <c r="FB60" i="26"/>
  <c r="FC60" i="26"/>
  <c r="FD60" i="26"/>
  <c r="FE60" i="26"/>
  <c r="FF60" i="26"/>
  <c r="FG60" i="26"/>
  <c r="FH60" i="26"/>
  <c r="FI60" i="26"/>
  <c r="FJ60" i="26"/>
  <c r="FK60" i="26"/>
  <c r="FL60" i="26"/>
  <c r="FM60" i="26"/>
  <c r="FN60" i="26"/>
  <c r="FO60" i="26"/>
  <c r="FP60" i="26"/>
  <c r="FQ60" i="26"/>
  <c r="FR60" i="26"/>
  <c r="FS60" i="26"/>
  <c r="FT60" i="26"/>
  <c r="FU60" i="26"/>
  <c r="E61" i="26"/>
  <c r="G61" i="26"/>
  <c r="F61" i="26"/>
  <c r="H61" i="26"/>
  <c r="J61" i="26"/>
  <c r="K61" i="26"/>
  <c r="M61" i="26"/>
  <c r="N61" i="26"/>
  <c r="O61" i="26"/>
  <c r="X61" i="26"/>
  <c r="P61" i="26"/>
  <c r="S61" i="26"/>
  <c r="W61" i="26"/>
  <c r="AD61" i="26"/>
  <c r="AH61" i="26"/>
  <c r="AI61" i="26"/>
  <c r="AJ61" i="26"/>
  <c r="AT61" i="26"/>
  <c r="AV61" i="26"/>
  <c r="AW61" i="26"/>
  <c r="AX61" i="26"/>
  <c r="AY61" i="26"/>
  <c r="AZ61" i="26"/>
  <c r="BA61" i="26"/>
  <c r="BB61" i="26"/>
  <c r="BC61" i="26"/>
  <c r="BE61" i="26"/>
  <c r="BD61" i="26"/>
  <c r="BH61" i="26"/>
  <c r="BJ61" i="26"/>
  <c r="BK61" i="26"/>
  <c r="DD61" i="26"/>
  <c r="BL61" i="26"/>
  <c r="BM61" i="26"/>
  <c r="CG61" i="26"/>
  <c r="CQ61" i="26"/>
  <c r="DF61" i="26"/>
  <c r="BN61" i="26"/>
  <c r="BO61" i="26"/>
  <c r="BQ61" i="26"/>
  <c r="CC61" i="26"/>
  <c r="CH61" i="26"/>
  <c r="CI61" i="26"/>
  <c r="CJ61" i="26"/>
  <c r="CK61" i="26"/>
  <c r="CL61" i="26"/>
  <c r="CN61" i="26"/>
  <c r="CO61" i="26"/>
  <c r="CM61" i="26"/>
  <c r="CP61" i="26"/>
  <c r="CR61" i="26"/>
  <c r="CS61" i="26"/>
  <c r="CT61" i="26"/>
  <c r="CU61" i="26"/>
  <c r="DG61" i="26"/>
  <c r="DH61" i="26"/>
  <c r="DI61" i="26"/>
  <c r="DR61" i="26"/>
  <c r="DS61" i="26"/>
  <c r="DT61" i="26"/>
  <c r="DU61" i="26"/>
  <c r="DW61" i="26"/>
  <c r="DX61" i="26"/>
  <c r="DY61" i="26"/>
  <c r="DZ61" i="26"/>
  <c r="EA61" i="26"/>
  <c r="EB61" i="26"/>
  <c r="EC61" i="26"/>
  <c r="ED61" i="26"/>
  <c r="EE61" i="26"/>
  <c r="EM61" i="26"/>
  <c r="EN61" i="26"/>
  <c r="EO61" i="26"/>
  <c r="EX61" i="26"/>
  <c r="EY61" i="26"/>
  <c r="EZ61" i="26"/>
  <c r="FA61" i="26"/>
  <c r="FB61" i="26"/>
  <c r="FC61" i="26"/>
  <c r="FD61" i="26"/>
  <c r="FE61" i="26"/>
  <c r="FF61" i="26"/>
  <c r="FG61" i="26"/>
  <c r="FH61" i="26"/>
  <c r="FI61" i="26"/>
  <c r="FJ61" i="26"/>
  <c r="FK61" i="26"/>
  <c r="FL61" i="26"/>
  <c r="FM61" i="26"/>
  <c r="FN61" i="26"/>
  <c r="FO61" i="26"/>
  <c r="FP61" i="26"/>
  <c r="FQ61" i="26"/>
  <c r="FR61" i="26"/>
  <c r="FS61" i="26"/>
  <c r="FT61" i="26"/>
  <c r="FU61" i="26"/>
  <c r="E62" i="26"/>
  <c r="G62" i="26"/>
  <c r="F62" i="26"/>
  <c r="H62" i="26"/>
  <c r="J62" i="26"/>
  <c r="K62" i="26"/>
  <c r="M62" i="26"/>
  <c r="N62" i="26"/>
  <c r="O62" i="26"/>
  <c r="X62" i="26"/>
  <c r="P62" i="26"/>
  <c r="S62" i="26"/>
  <c r="W62" i="26"/>
  <c r="AD62" i="26"/>
  <c r="AH62" i="26"/>
  <c r="AI62" i="26"/>
  <c r="AJ62" i="26"/>
  <c r="AT62" i="26"/>
  <c r="AV62" i="26"/>
  <c r="AW62" i="26"/>
  <c r="AX62" i="26"/>
  <c r="AY62" i="26"/>
  <c r="AZ62" i="26"/>
  <c r="BA62" i="26"/>
  <c r="BB62" i="26"/>
  <c r="BC62" i="26"/>
  <c r="BE62" i="26"/>
  <c r="BD62" i="26"/>
  <c r="BH62" i="26"/>
  <c r="BJ62" i="26"/>
  <c r="BK62" i="26"/>
  <c r="DD62" i="26"/>
  <c r="BL62" i="26"/>
  <c r="BM62" i="26"/>
  <c r="CG62" i="26"/>
  <c r="CQ62" i="26"/>
  <c r="DF62" i="26"/>
  <c r="BN62" i="26"/>
  <c r="BO62" i="26"/>
  <c r="BQ62" i="26"/>
  <c r="CC62" i="26"/>
  <c r="CH62" i="26"/>
  <c r="CI62" i="26"/>
  <c r="CJ62" i="26"/>
  <c r="CK62" i="26"/>
  <c r="CL62" i="26"/>
  <c r="CN62" i="26"/>
  <c r="CO62" i="26"/>
  <c r="CM62" i="26"/>
  <c r="CP62" i="26"/>
  <c r="CR62" i="26"/>
  <c r="CS62" i="26"/>
  <c r="CT62" i="26"/>
  <c r="CU62" i="26"/>
  <c r="DG62" i="26"/>
  <c r="DH62" i="26"/>
  <c r="DI62" i="26"/>
  <c r="DR62" i="26"/>
  <c r="DS62" i="26"/>
  <c r="DT62" i="26"/>
  <c r="DU62" i="26"/>
  <c r="DW62" i="26"/>
  <c r="DX62" i="26"/>
  <c r="DY62" i="26"/>
  <c r="DZ62" i="26"/>
  <c r="EA62" i="26"/>
  <c r="EB62" i="26"/>
  <c r="EC62" i="26"/>
  <c r="ED62" i="26"/>
  <c r="EE62" i="26"/>
  <c r="EH62" i="26"/>
  <c r="EM62" i="26"/>
  <c r="EN62" i="26"/>
  <c r="EO62" i="26"/>
  <c r="EX62" i="26"/>
  <c r="EY62" i="26"/>
  <c r="EZ62" i="26"/>
  <c r="FA62" i="26"/>
  <c r="FB62" i="26"/>
  <c r="FC62" i="26"/>
  <c r="FD62" i="26"/>
  <c r="FE62" i="26"/>
  <c r="FF62" i="26"/>
  <c r="FG62" i="26"/>
  <c r="FH62" i="26"/>
  <c r="FI62" i="26"/>
  <c r="FJ62" i="26"/>
  <c r="FK62" i="26"/>
  <c r="FL62" i="26"/>
  <c r="FM62" i="26"/>
  <c r="FN62" i="26"/>
  <c r="FO62" i="26"/>
  <c r="FP62" i="26"/>
  <c r="FQ62" i="26"/>
  <c r="FR62" i="26"/>
  <c r="FS62" i="26"/>
  <c r="FT62" i="26"/>
  <c r="FU62" i="26"/>
  <c r="E63" i="26"/>
  <c r="G63" i="26"/>
  <c r="F63" i="26"/>
  <c r="H63" i="26"/>
  <c r="J63" i="26"/>
  <c r="K63" i="26"/>
  <c r="M63" i="26"/>
  <c r="N63" i="26"/>
  <c r="O63" i="26"/>
  <c r="X63" i="26"/>
  <c r="P63" i="26"/>
  <c r="S63" i="26"/>
  <c r="W63" i="26"/>
  <c r="AD63" i="26"/>
  <c r="AH63" i="26"/>
  <c r="AI63" i="26"/>
  <c r="AJ63" i="26"/>
  <c r="AT63" i="26"/>
  <c r="AV63" i="26"/>
  <c r="AW63" i="26"/>
  <c r="AX63" i="26"/>
  <c r="AY63" i="26"/>
  <c r="AZ63" i="26"/>
  <c r="BA63" i="26"/>
  <c r="BB63" i="26"/>
  <c r="BC63" i="26"/>
  <c r="BE63" i="26"/>
  <c r="BD63" i="26"/>
  <c r="BH63" i="26"/>
  <c r="BJ63" i="26"/>
  <c r="BK63" i="26"/>
  <c r="DD63" i="26"/>
  <c r="BL63" i="26"/>
  <c r="BM63" i="26"/>
  <c r="CG63" i="26"/>
  <c r="CQ63" i="26"/>
  <c r="DF63" i="26"/>
  <c r="BN63" i="26"/>
  <c r="BO63" i="26"/>
  <c r="BQ63" i="26"/>
  <c r="CC63" i="26"/>
  <c r="CH63" i="26"/>
  <c r="CI63" i="26"/>
  <c r="CJ63" i="26"/>
  <c r="CK63" i="26"/>
  <c r="CL63" i="26"/>
  <c r="CN63" i="26"/>
  <c r="CO63" i="26"/>
  <c r="CM63" i="26"/>
  <c r="CP63" i="26"/>
  <c r="CR63" i="26"/>
  <c r="CS63" i="26"/>
  <c r="CT63" i="26"/>
  <c r="CU63" i="26"/>
  <c r="DG63" i="26"/>
  <c r="DH63" i="26"/>
  <c r="DI63" i="26"/>
  <c r="DR63" i="26"/>
  <c r="DS63" i="26"/>
  <c r="DT63" i="26"/>
  <c r="DU63" i="26"/>
  <c r="DW63" i="26"/>
  <c r="DX63" i="26"/>
  <c r="DY63" i="26"/>
  <c r="DZ63" i="26"/>
  <c r="EA63" i="26"/>
  <c r="EB63" i="26"/>
  <c r="EC63" i="26"/>
  <c r="ED63" i="26"/>
  <c r="EE63" i="26"/>
  <c r="EG63" i="26"/>
  <c r="EM63" i="26"/>
  <c r="EN63" i="26"/>
  <c r="EO63" i="26"/>
  <c r="EX63" i="26"/>
  <c r="EY63" i="26"/>
  <c r="EZ63" i="26"/>
  <c r="FA63" i="26"/>
  <c r="FB63" i="26"/>
  <c r="FC63" i="26"/>
  <c r="FD63" i="26"/>
  <c r="FE63" i="26"/>
  <c r="FF63" i="26"/>
  <c r="FG63" i="26"/>
  <c r="FH63" i="26"/>
  <c r="FI63" i="26"/>
  <c r="FJ63" i="26"/>
  <c r="FK63" i="26"/>
  <c r="FL63" i="26"/>
  <c r="FM63" i="26"/>
  <c r="FN63" i="26"/>
  <c r="FO63" i="26"/>
  <c r="FP63" i="26"/>
  <c r="FQ63" i="26"/>
  <c r="FR63" i="26"/>
  <c r="FS63" i="26"/>
  <c r="FT63" i="26"/>
  <c r="FU63" i="26"/>
  <c r="E64" i="26"/>
  <c r="G64" i="26"/>
  <c r="F64" i="26"/>
  <c r="H64" i="26"/>
  <c r="J64" i="26"/>
  <c r="K64" i="26"/>
  <c r="M64" i="26"/>
  <c r="N64" i="26"/>
  <c r="O64" i="26"/>
  <c r="X64" i="26"/>
  <c r="P64" i="26"/>
  <c r="S64" i="26"/>
  <c r="W64" i="26"/>
  <c r="AD64" i="26"/>
  <c r="AH64" i="26"/>
  <c r="AI64" i="26"/>
  <c r="AJ64" i="26"/>
  <c r="AT64" i="26"/>
  <c r="AV64" i="26"/>
  <c r="AW64" i="26"/>
  <c r="AX64" i="26"/>
  <c r="AY64" i="26"/>
  <c r="AZ64" i="26"/>
  <c r="BA64" i="26"/>
  <c r="BB64" i="26"/>
  <c r="BC64" i="26"/>
  <c r="BE64" i="26"/>
  <c r="BD64" i="26"/>
  <c r="BH64" i="26"/>
  <c r="BJ64" i="26"/>
  <c r="BK64" i="26"/>
  <c r="DD64" i="26"/>
  <c r="BL64" i="26"/>
  <c r="BM64" i="26"/>
  <c r="CG64" i="26"/>
  <c r="CQ64" i="26"/>
  <c r="DF64" i="26"/>
  <c r="BN64" i="26"/>
  <c r="BO64" i="26"/>
  <c r="BQ64" i="26"/>
  <c r="CC64" i="26"/>
  <c r="CH64" i="26"/>
  <c r="CI64" i="26"/>
  <c r="CJ64" i="26"/>
  <c r="CK64" i="26"/>
  <c r="CL64" i="26"/>
  <c r="CN64" i="26"/>
  <c r="CO64" i="26"/>
  <c r="CM64" i="26"/>
  <c r="CP64" i="26"/>
  <c r="CR64" i="26"/>
  <c r="CS64" i="26"/>
  <c r="CT64" i="26"/>
  <c r="CU64" i="26"/>
  <c r="DG64" i="26"/>
  <c r="DH64" i="26"/>
  <c r="DI64" i="26"/>
  <c r="DR64" i="26"/>
  <c r="DS64" i="26"/>
  <c r="DT64" i="26"/>
  <c r="DU64" i="26"/>
  <c r="DW64" i="26"/>
  <c r="DX64" i="26"/>
  <c r="DY64" i="26"/>
  <c r="DZ64" i="26"/>
  <c r="EA64" i="26"/>
  <c r="EB64" i="26"/>
  <c r="EC64" i="26"/>
  <c r="ED64" i="26"/>
  <c r="EE64" i="26"/>
  <c r="EM64" i="26"/>
  <c r="EN64" i="26"/>
  <c r="EO64" i="26"/>
  <c r="EX64" i="26"/>
  <c r="EY64" i="26"/>
  <c r="EZ64" i="26"/>
  <c r="FA64" i="26"/>
  <c r="FB64" i="26"/>
  <c r="FC64" i="26"/>
  <c r="FD64" i="26"/>
  <c r="FE64" i="26"/>
  <c r="FF64" i="26"/>
  <c r="FG64" i="26"/>
  <c r="FH64" i="26"/>
  <c r="FI64" i="26"/>
  <c r="FJ64" i="26"/>
  <c r="FK64" i="26"/>
  <c r="FL64" i="26"/>
  <c r="FM64" i="26"/>
  <c r="FN64" i="26"/>
  <c r="FO64" i="26"/>
  <c r="FP64" i="26"/>
  <c r="FQ64" i="26"/>
  <c r="FR64" i="26"/>
  <c r="FS64" i="26"/>
  <c r="FT64" i="26"/>
  <c r="FU64" i="26"/>
  <c r="E65" i="26"/>
  <c r="G65" i="26"/>
  <c r="F65" i="26"/>
  <c r="H65" i="26"/>
  <c r="J65" i="26"/>
  <c r="K65" i="26"/>
  <c r="M65" i="26"/>
  <c r="N65" i="26"/>
  <c r="O65" i="26"/>
  <c r="X65" i="26"/>
  <c r="P65" i="26"/>
  <c r="S65" i="26"/>
  <c r="W65" i="26"/>
  <c r="AD65" i="26"/>
  <c r="AH65" i="26"/>
  <c r="AI65" i="26"/>
  <c r="AJ65" i="26"/>
  <c r="AT65" i="26"/>
  <c r="AV65" i="26"/>
  <c r="AW65" i="26"/>
  <c r="AX65" i="26"/>
  <c r="AY65" i="26"/>
  <c r="AZ65" i="26"/>
  <c r="BA65" i="26"/>
  <c r="BB65" i="26"/>
  <c r="BC65" i="26"/>
  <c r="BE65" i="26"/>
  <c r="BD65" i="26"/>
  <c r="BH65" i="26"/>
  <c r="BJ65" i="26"/>
  <c r="BK65" i="26"/>
  <c r="DD65" i="26"/>
  <c r="BL65" i="26"/>
  <c r="BM65" i="26"/>
  <c r="CG65" i="26"/>
  <c r="CQ65" i="26"/>
  <c r="DF65" i="26"/>
  <c r="BN65" i="26"/>
  <c r="BO65" i="26"/>
  <c r="BQ65" i="26"/>
  <c r="CC65" i="26"/>
  <c r="CH65" i="26"/>
  <c r="CI65" i="26"/>
  <c r="CJ65" i="26"/>
  <c r="CK65" i="26"/>
  <c r="CL65" i="26"/>
  <c r="CN65" i="26"/>
  <c r="CO65" i="26"/>
  <c r="CM65" i="26"/>
  <c r="CP65" i="26"/>
  <c r="CR65" i="26"/>
  <c r="CS65" i="26"/>
  <c r="CT65" i="26"/>
  <c r="CU65" i="26"/>
  <c r="DG65" i="26"/>
  <c r="DH65" i="26"/>
  <c r="DI65" i="26"/>
  <c r="DR65" i="26"/>
  <c r="DS65" i="26"/>
  <c r="DT65" i="26"/>
  <c r="DU65" i="26"/>
  <c r="DW65" i="26"/>
  <c r="DX65" i="26"/>
  <c r="DY65" i="26"/>
  <c r="DZ65" i="26"/>
  <c r="EA65" i="26"/>
  <c r="EB65" i="26"/>
  <c r="EC65" i="26"/>
  <c r="ED65" i="26"/>
  <c r="EE65" i="26"/>
  <c r="EM65" i="26"/>
  <c r="EN65" i="26"/>
  <c r="EO65" i="26"/>
  <c r="EX65" i="26"/>
  <c r="EY65" i="26"/>
  <c r="EZ65" i="26"/>
  <c r="FA65" i="26"/>
  <c r="FB65" i="26"/>
  <c r="FC65" i="26"/>
  <c r="FD65" i="26"/>
  <c r="FE65" i="26"/>
  <c r="FF65" i="26"/>
  <c r="FG65" i="26"/>
  <c r="FH65" i="26"/>
  <c r="FI65" i="26"/>
  <c r="FJ65" i="26"/>
  <c r="FK65" i="26"/>
  <c r="FL65" i="26"/>
  <c r="FM65" i="26"/>
  <c r="FN65" i="26"/>
  <c r="FO65" i="26"/>
  <c r="FP65" i="26"/>
  <c r="FQ65" i="26"/>
  <c r="FR65" i="26"/>
  <c r="FS65" i="26"/>
  <c r="FT65" i="26"/>
  <c r="FU65" i="26"/>
  <c r="E66" i="26"/>
  <c r="G66" i="26"/>
  <c r="F66" i="26"/>
  <c r="H66" i="26"/>
  <c r="J66" i="26"/>
  <c r="K66" i="26"/>
  <c r="M66" i="26"/>
  <c r="N66" i="26"/>
  <c r="O66" i="26"/>
  <c r="X66" i="26"/>
  <c r="P66" i="26"/>
  <c r="S66" i="26"/>
  <c r="W66" i="26"/>
  <c r="AD66" i="26"/>
  <c r="AH66" i="26"/>
  <c r="AI66" i="26"/>
  <c r="AJ66" i="26"/>
  <c r="AT66" i="26"/>
  <c r="AV66" i="26"/>
  <c r="AW66" i="26"/>
  <c r="AX66" i="26"/>
  <c r="AY66" i="26"/>
  <c r="AZ66" i="26"/>
  <c r="BA66" i="26"/>
  <c r="BB66" i="26"/>
  <c r="BC66" i="26"/>
  <c r="BE66" i="26"/>
  <c r="BD66" i="26"/>
  <c r="BH66" i="26"/>
  <c r="BJ66" i="26"/>
  <c r="BK66" i="26"/>
  <c r="DD66" i="26"/>
  <c r="BL66" i="26"/>
  <c r="BM66" i="26"/>
  <c r="CG66" i="26"/>
  <c r="CQ66" i="26"/>
  <c r="DF66" i="26"/>
  <c r="BN66" i="26"/>
  <c r="BO66" i="26"/>
  <c r="BQ66" i="26"/>
  <c r="CC66" i="26"/>
  <c r="CH66" i="26"/>
  <c r="CI66" i="26"/>
  <c r="CJ66" i="26"/>
  <c r="CK66" i="26"/>
  <c r="CL66" i="26"/>
  <c r="CN66" i="26"/>
  <c r="CO66" i="26"/>
  <c r="CM66" i="26"/>
  <c r="CP66" i="26"/>
  <c r="CR66" i="26"/>
  <c r="CS66" i="26"/>
  <c r="CT66" i="26"/>
  <c r="CU66" i="26"/>
  <c r="DG66" i="26"/>
  <c r="DH66" i="26"/>
  <c r="DI66" i="26"/>
  <c r="DR66" i="26"/>
  <c r="DS66" i="26"/>
  <c r="DT66" i="26"/>
  <c r="DU66" i="26"/>
  <c r="DW66" i="26"/>
  <c r="DX66" i="26"/>
  <c r="DY66" i="26"/>
  <c r="DZ66" i="26"/>
  <c r="EA66" i="26"/>
  <c r="EB66" i="26"/>
  <c r="EC66" i="26"/>
  <c r="ED66" i="26"/>
  <c r="EE66" i="26"/>
  <c r="EM66" i="26"/>
  <c r="EN66" i="26"/>
  <c r="EO66" i="26"/>
  <c r="EX66" i="26"/>
  <c r="EY66" i="26"/>
  <c r="EZ66" i="26"/>
  <c r="FA66" i="26"/>
  <c r="FB66" i="26"/>
  <c r="FC66" i="26"/>
  <c r="FD66" i="26"/>
  <c r="FE66" i="26"/>
  <c r="FF66" i="26"/>
  <c r="FG66" i="26"/>
  <c r="FH66" i="26"/>
  <c r="FI66" i="26"/>
  <c r="FJ66" i="26"/>
  <c r="FK66" i="26"/>
  <c r="FL66" i="26"/>
  <c r="FM66" i="26"/>
  <c r="FN66" i="26"/>
  <c r="FO66" i="26"/>
  <c r="FP66" i="26"/>
  <c r="FQ66" i="26"/>
  <c r="FR66" i="26"/>
  <c r="FS66" i="26"/>
  <c r="FT66" i="26"/>
  <c r="FU66" i="26"/>
  <c r="E67" i="26"/>
  <c r="G67" i="26"/>
  <c r="F67" i="26"/>
  <c r="H67" i="26"/>
  <c r="J67" i="26"/>
  <c r="K67" i="26"/>
  <c r="M67" i="26"/>
  <c r="N67" i="26"/>
  <c r="O67" i="26"/>
  <c r="X67" i="26"/>
  <c r="P67" i="26"/>
  <c r="S67" i="26"/>
  <c r="W67" i="26"/>
  <c r="AD67" i="26"/>
  <c r="AH67" i="26"/>
  <c r="AI67" i="26"/>
  <c r="AJ67" i="26"/>
  <c r="AT67" i="26"/>
  <c r="AV67" i="26"/>
  <c r="AW67" i="26"/>
  <c r="AX67" i="26"/>
  <c r="AY67" i="26"/>
  <c r="AZ67" i="26"/>
  <c r="BA67" i="26"/>
  <c r="BB67" i="26"/>
  <c r="BC67" i="26"/>
  <c r="BE67" i="26"/>
  <c r="BD67" i="26"/>
  <c r="BH67" i="26"/>
  <c r="BJ67" i="26"/>
  <c r="BK67" i="26"/>
  <c r="DD67" i="26"/>
  <c r="BL67" i="26"/>
  <c r="BM67" i="26"/>
  <c r="CG67" i="26"/>
  <c r="CQ67" i="26"/>
  <c r="DF67" i="26"/>
  <c r="BN67" i="26"/>
  <c r="BO67" i="26"/>
  <c r="BQ67" i="26"/>
  <c r="CC67" i="26"/>
  <c r="CH67" i="26"/>
  <c r="CI67" i="26"/>
  <c r="CJ67" i="26"/>
  <c r="CK67" i="26"/>
  <c r="CL67" i="26"/>
  <c r="CN67" i="26"/>
  <c r="CO67" i="26"/>
  <c r="CM67" i="26"/>
  <c r="CP67" i="26"/>
  <c r="CR67" i="26"/>
  <c r="CS67" i="26"/>
  <c r="CT67" i="26"/>
  <c r="CU67" i="26"/>
  <c r="DG67" i="26"/>
  <c r="DH67" i="26"/>
  <c r="DI67" i="26"/>
  <c r="DR67" i="26"/>
  <c r="DS67" i="26"/>
  <c r="DT67" i="26"/>
  <c r="DU67" i="26"/>
  <c r="DW67" i="26"/>
  <c r="DX67" i="26"/>
  <c r="DY67" i="26"/>
  <c r="DZ67" i="26"/>
  <c r="EA67" i="26"/>
  <c r="EB67" i="26"/>
  <c r="EC67" i="26"/>
  <c r="ED67" i="26"/>
  <c r="EE67" i="26"/>
  <c r="EM67" i="26"/>
  <c r="EN67" i="26"/>
  <c r="EO67" i="26"/>
  <c r="EX67" i="26"/>
  <c r="EY67" i="26"/>
  <c r="EZ67" i="26"/>
  <c r="FA67" i="26"/>
  <c r="FB67" i="26"/>
  <c r="FC67" i="26"/>
  <c r="FD67" i="26"/>
  <c r="FE67" i="26"/>
  <c r="FF67" i="26"/>
  <c r="FG67" i="26"/>
  <c r="FH67" i="26"/>
  <c r="FI67" i="26"/>
  <c r="FJ67" i="26"/>
  <c r="FK67" i="26"/>
  <c r="FL67" i="26"/>
  <c r="FM67" i="26"/>
  <c r="FN67" i="26"/>
  <c r="FO67" i="26"/>
  <c r="FP67" i="26"/>
  <c r="FQ67" i="26"/>
  <c r="FR67" i="26"/>
  <c r="FS67" i="26"/>
  <c r="FT67" i="26"/>
  <c r="FU67" i="26"/>
  <c r="E68" i="26"/>
  <c r="G68" i="26"/>
  <c r="F68" i="26"/>
  <c r="H68" i="26"/>
  <c r="J68" i="26"/>
  <c r="K68" i="26"/>
  <c r="M68" i="26"/>
  <c r="N68" i="26"/>
  <c r="O68" i="26"/>
  <c r="X68" i="26"/>
  <c r="P68" i="26"/>
  <c r="S68" i="26"/>
  <c r="W68" i="26"/>
  <c r="AD68" i="26"/>
  <c r="AH68" i="26"/>
  <c r="AI68" i="26"/>
  <c r="AJ68" i="26"/>
  <c r="AT68" i="26"/>
  <c r="AV68" i="26"/>
  <c r="AW68" i="26"/>
  <c r="AX68" i="26"/>
  <c r="AY68" i="26"/>
  <c r="AZ68" i="26"/>
  <c r="BA68" i="26"/>
  <c r="BB68" i="26"/>
  <c r="BC68" i="26"/>
  <c r="BE68" i="26"/>
  <c r="BD68" i="26"/>
  <c r="BH68" i="26"/>
  <c r="BJ68" i="26"/>
  <c r="BK68" i="26"/>
  <c r="DD68" i="26"/>
  <c r="BL68" i="26"/>
  <c r="BM68" i="26"/>
  <c r="CG68" i="26"/>
  <c r="CQ68" i="26"/>
  <c r="DF68" i="26"/>
  <c r="BN68" i="26"/>
  <c r="BO68" i="26"/>
  <c r="BQ68" i="26"/>
  <c r="CC68" i="26"/>
  <c r="CH68" i="26"/>
  <c r="CI68" i="26"/>
  <c r="CJ68" i="26"/>
  <c r="CK68" i="26"/>
  <c r="CL68" i="26"/>
  <c r="CN68" i="26"/>
  <c r="CO68" i="26"/>
  <c r="CM68" i="26"/>
  <c r="CP68" i="26"/>
  <c r="CR68" i="26"/>
  <c r="CS68" i="26"/>
  <c r="CT68" i="26"/>
  <c r="CU68" i="26"/>
  <c r="DG68" i="26"/>
  <c r="DH68" i="26"/>
  <c r="DI68" i="26"/>
  <c r="DR68" i="26"/>
  <c r="DS68" i="26"/>
  <c r="DT68" i="26"/>
  <c r="DU68" i="26"/>
  <c r="DW68" i="26"/>
  <c r="DX68" i="26"/>
  <c r="DY68" i="26"/>
  <c r="DZ68" i="26"/>
  <c r="EA68" i="26"/>
  <c r="EB68" i="26"/>
  <c r="EC68" i="26"/>
  <c r="ED68" i="26"/>
  <c r="EE68" i="26"/>
  <c r="EH68" i="26"/>
  <c r="EM68" i="26"/>
  <c r="EN68" i="26"/>
  <c r="EO68" i="26"/>
  <c r="EX68" i="26"/>
  <c r="EY68" i="26"/>
  <c r="EZ68" i="26"/>
  <c r="FA68" i="26"/>
  <c r="FB68" i="26"/>
  <c r="FC68" i="26"/>
  <c r="FD68" i="26"/>
  <c r="FE68" i="26"/>
  <c r="FF68" i="26"/>
  <c r="FG68" i="26"/>
  <c r="FH68" i="26"/>
  <c r="FI68" i="26"/>
  <c r="FJ68" i="26"/>
  <c r="FK68" i="26"/>
  <c r="FL68" i="26"/>
  <c r="FM68" i="26"/>
  <c r="FN68" i="26"/>
  <c r="FO68" i="26"/>
  <c r="FP68" i="26"/>
  <c r="FQ68" i="26"/>
  <c r="FR68" i="26"/>
  <c r="FS68" i="26"/>
  <c r="FT68" i="26"/>
  <c r="FU68" i="26"/>
  <c r="E69" i="26"/>
  <c r="G69" i="26"/>
  <c r="F69" i="26"/>
  <c r="H69" i="26"/>
  <c r="J69" i="26"/>
  <c r="K69" i="26"/>
  <c r="M69" i="26"/>
  <c r="N69" i="26"/>
  <c r="O69" i="26"/>
  <c r="X69" i="26"/>
  <c r="P69" i="26"/>
  <c r="S69" i="26"/>
  <c r="W69" i="26"/>
  <c r="AD69" i="26"/>
  <c r="AH69" i="26"/>
  <c r="AI69" i="26"/>
  <c r="AJ69" i="26"/>
  <c r="AT69" i="26"/>
  <c r="AV69" i="26"/>
  <c r="AW69" i="26"/>
  <c r="AX69" i="26"/>
  <c r="AY69" i="26"/>
  <c r="AZ69" i="26"/>
  <c r="BA69" i="26"/>
  <c r="BB69" i="26"/>
  <c r="BC69" i="26"/>
  <c r="BE69" i="26"/>
  <c r="BD69" i="26"/>
  <c r="BH69" i="26"/>
  <c r="BJ69" i="26"/>
  <c r="BK69" i="26"/>
  <c r="DD69" i="26"/>
  <c r="BL69" i="26"/>
  <c r="BM69" i="26"/>
  <c r="CG69" i="26"/>
  <c r="CQ69" i="26"/>
  <c r="DF69" i="26"/>
  <c r="BN69" i="26"/>
  <c r="BO69" i="26"/>
  <c r="BQ69" i="26"/>
  <c r="CC69" i="26"/>
  <c r="CH69" i="26"/>
  <c r="CI69" i="26"/>
  <c r="CJ69" i="26"/>
  <c r="CK69" i="26"/>
  <c r="CL69" i="26"/>
  <c r="CN69" i="26"/>
  <c r="CO69" i="26"/>
  <c r="CM69" i="26"/>
  <c r="CP69" i="26"/>
  <c r="CR69" i="26"/>
  <c r="CS69" i="26"/>
  <c r="CT69" i="26"/>
  <c r="CU69" i="26"/>
  <c r="DG69" i="26"/>
  <c r="DH69" i="26"/>
  <c r="DI69" i="26"/>
  <c r="DR69" i="26"/>
  <c r="DS69" i="26"/>
  <c r="DT69" i="26"/>
  <c r="DU69" i="26"/>
  <c r="DW69" i="26"/>
  <c r="DX69" i="26"/>
  <c r="DY69" i="26"/>
  <c r="DZ69" i="26"/>
  <c r="EA69" i="26"/>
  <c r="EB69" i="26"/>
  <c r="EC69" i="26"/>
  <c r="ED69" i="26"/>
  <c r="EE69" i="26"/>
  <c r="EI69" i="26"/>
  <c r="EM69" i="26"/>
  <c r="EN69" i="26"/>
  <c r="EO69" i="26"/>
  <c r="EX69" i="26"/>
  <c r="EY69" i="26"/>
  <c r="EZ69" i="26"/>
  <c r="FA69" i="26"/>
  <c r="FB69" i="26"/>
  <c r="FC69" i="26"/>
  <c r="FD69" i="26"/>
  <c r="FE69" i="26"/>
  <c r="FF69" i="26"/>
  <c r="FG69" i="26"/>
  <c r="FH69" i="26"/>
  <c r="FI69" i="26"/>
  <c r="FJ69" i="26"/>
  <c r="FK69" i="26"/>
  <c r="FL69" i="26"/>
  <c r="FM69" i="26"/>
  <c r="FN69" i="26"/>
  <c r="FO69" i="26"/>
  <c r="FP69" i="26"/>
  <c r="FQ69" i="26"/>
  <c r="FR69" i="26"/>
  <c r="FS69" i="26"/>
  <c r="FT69" i="26"/>
  <c r="FU69" i="26"/>
  <c r="E70" i="26"/>
  <c r="G70" i="26"/>
  <c r="F70" i="26"/>
  <c r="H70" i="26"/>
  <c r="J70" i="26"/>
  <c r="K70" i="26"/>
  <c r="M70" i="26"/>
  <c r="N70" i="26"/>
  <c r="O70" i="26"/>
  <c r="X70" i="26"/>
  <c r="P70" i="26"/>
  <c r="S70" i="26"/>
  <c r="W70" i="26"/>
  <c r="AD70" i="26"/>
  <c r="AH70" i="26"/>
  <c r="AI70" i="26"/>
  <c r="AJ70" i="26"/>
  <c r="AT70" i="26"/>
  <c r="AV70" i="26"/>
  <c r="AW70" i="26"/>
  <c r="AX70" i="26"/>
  <c r="AY70" i="26"/>
  <c r="AZ70" i="26"/>
  <c r="BA70" i="26"/>
  <c r="BB70" i="26"/>
  <c r="BC70" i="26"/>
  <c r="BE70" i="26"/>
  <c r="BD70" i="26"/>
  <c r="BH70" i="26"/>
  <c r="BJ70" i="26"/>
  <c r="BK70" i="26"/>
  <c r="DD70" i="26"/>
  <c r="BL70" i="26"/>
  <c r="BM70" i="26"/>
  <c r="CG70" i="26"/>
  <c r="CQ70" i="26"/>
  <c r="DF70" i="26"/>
  <c r="BN70" i="26"/>
  <c r="BO70" i="26"/>
  <c r="BQ70" i="26"/>
  <c r="CC70" i="26"/>
  <c r="CH70" i="26"/>
  <c r="CI70" i="26"/>
  <c r="CJ70" i="26"/>
  <c r="CK70" i="26"/>
  <c r="CL70" i="26"/>
  <c r="CN70" i="26"/>
  <c r="CO70" i="26"/>
  <c r="CM70" i="26"/>
  <c r="CP70" i="26"/>
  <c r="CR70" i="26"/>
  <c r="CS70" i="26"/>
  <c r="CT70" i="26"/>
  <c r="CU70" i="26"/>
  <c r="DG70" i="26"/>
  <c r="DH70" i="26"/>
  <c r="DI70" i="26"/>
  <c r="DR70" i="26"/>
  <c r="DS70" i="26"/>
  <c r="DT70" i="26"/>
  <c r="DU70" i="26"/>
  <c r="DW70" i="26"/>
  <c r="DX70" i="26"/>
  <c r="DY70" i="26"/>
  <c r="DZ70" i="26"/>
  <c r="EA70" i="26"/>
  <c r="EB70" i="26"/>
  <c r="EC70" i="26"/>
  <c r="ED70" i="26"/>
  <c r="EE70" i="26"/>
  <c r="EJ70" i="26"/>
  <c r="EM70" i="26"/>
  <c r="EN70" i="26"/>
  <c r="EO70" i="26"/>
  <c r="EX70" i="26"/>
  <c r="EY70" i="26"/>
  <c r="EZ70" i="26"/>
  <c r="FA70" i="26"/>
  <c r="FB70" i="26"/>
  <c r="FC70" i="26"/>
  <c r="FD70" i="26"/>
  <c r="FE70" i="26"/>
  <c r="FF70" i="26"/>
  <c r="FG70" i="26"/>
  <c r="FH70" i="26"/>
  <c r="FI70" i="26"/>
  <c r="FJ70" i="26"/>
  <c r="FK70" i="26"/>
  <c r="FL70" i="26"/>
  <c r="FM70" i="26"/>
  <c r="FN70" i="26"/>
  <c r="FO70" i="26"/>
  <c r="FP70" i="26"/>
  <c r="FQ70" i="26"/>
  <c r="FR70" i="26"/>
  <c r="FS70" i="26"/>
  <c r="FT70" i="26"/>
  <c r="FU70" i="26"/>
  <c r="E71" i="26"/>
  <c r="G71" i="26"/>
  <c r="F71" i="26"/>
  <c r="H71" i="26"/>
  <c r="J71" i="26"/>
  <c r="K71" i="26"/>
  <c r="M71" i="26"/>
  <c r="N71" i="26"/>
  <c r="O71" i="26"/>
  <c r="X71" i="26"/>
  <c r="P71" i="26"/>
  <c r="S71" i="26"/>
  <c r="W71" i="26"/>
  <c r="AB71" i="26"/>
  <c r="AD71" i="26"/>
  <c r="AH71" i="26"/>
  <c r="AI71" i="26"/>
  <c r="AJ71" i="26"/>
  <c r="AT71" i="26"/>
  <c r="AV71" i="26"/>
  <c r="AW71" i="26"/>
  <c r="AX71" i="26"/>
  <c r="AY71" i="26"/>
  <c r="AZ71" i="26"/>
  <c r="BA71" i="26"/>
  <c r="BB71" i="26"/>
  <c r="BC71" i="26"/>
  <c r="BE71" i="26"/>
  <c r="BD71" i="26"/>
  <c r="BH71" i="26"/>
  <c r="BJ71" i="26"/>
  <c r="BK71" i="26"/>
  <c r="DD71" i="26"/>
  <c r="BL71" i="26"/>
  <c r="BM71" i="26"/>
  <c r="CG71" i="26"/>
  <c r="CQ71" i="26"/>
  <c r="DF71" i="26"/>
  <c r="BN71" i="26"/>
  <c r="BO71" i="26"/>
  <c r="BQ71" i="26"/>
  <c r="CC71" i="26"/>
  <c r="CH71" i="26"/>
  <c r="CI71" i="26"/>
  <c r="CJ71" i="26"/>
  <c r="CK71" i="26"/>
  <c r="CL71" i="26"/>
  <c r="CN71" i="26"/>
  <c r="CO71" i="26"/>
  <c r="CM71" i="26"/>
  <c r="CP71" i="26"/>
  <c r="CR71" i="26"/>
  <c r="CS71" i="26"/>
  <c r="CT71" i="26"/>
  <c r="CU71" i="26"/>
  <c r="DG71" i="26"/>
  <c r="DH71" i="26"/>
  <c r="DI71" i="26"/>
  <c r="DR71" i="26"/>
  <c r="DS71" i="26"/>
  <c r="DT71" i="26"/>
  <c r="DU71" i="26"/>
  <c r="DW71" i="26"/>
  <c r="DX71" i="26"/>
  <c r="DY71" i="26"/>
  <c r="DZ71" i="26"/>
  <c r="EA71" i="26"/>
  <c r="EB71" i="26"/>
  <c r="EC71" i="26"/>
  <c r="ED71" i="26"/>
  <c r="EE71" i="26"/>
  <c r="EM71" i="26"/>
  <c r="EN71" i="26"/>
  <c r="EO71" i="26"/>
  <c r="EX71" i="26"/>
  <c r="EY71" i="26"/>
  <c r="EZ71" i="26"/>
  <c r="FA71" i="26"/>
  <c r="FB71" i="26"/>
  <c r="FC71" i="26"/>
  <c r="FD71" i="26"/>
  <c r="FE71" i="26"/>
  <c r="FF71" i="26"/>
  <c r="FG71" i="26"/>
  <c r="FH71" i="26"/>
  <c r="FI71" i="26"/>
  <c r="FJ71" i="26"/>
  <c r="FK71" i="26"/>
  <c r="FL71" i="26"/>
  <c r="FM71" i="26"/>
  <c r="FN71" i="26"/>
  <c r="FO71" i="26"/>
  <c r="FP71" i="26"/>
  <c r="FQ71" i="26"/>
  <c r="FR71" i="26"/>
  <c r="FS71" i="26"/>
  <c r="FT71" i="26"/>
  <c r="FU71" i="26"/>
  <c r="E72" i="26"/>
  <c r="G72" i="26"/>
  <c r="F72" i="26"/>
  <c r="H72" i="26"/>
  <c r="J72" i="26"/>
  <c r="K72" i="26"/>
  <c r="M72" i="26"/>
  <c r="N72" i="26"/>
  <c r="O72" i="26"/>
  <c r="X72" i="26"/>
  <c r="P72" i="26"/>
  <c r="S72" i="26"/>
  <c r="W72" i="26"/>
  <c r="AC72" i="26"/>
  <c r="AD72" i="26"/>
  <c r="AH72" i="26"/>
  <c r="AI72" i="26"/>
  <c r="AJ72" i="26"/>
  <c r="AT72" i="26"/>
  <c r="AV72" i="26"/>
  <c r="AW72" i="26"/>
  <c r="AX72" i="26"/>
  <c r="AY72" i="26"/>
  <c r="AZ72" i="26"/>
  <c r="BA72" i="26"/>
  <c r="BB72" i="26"/>
  <c r="BC72" i="26"/>
  <c r="BE72" i="26"/>
  <c r="BD72" i="26"/>
  <c r="BH72" i="26"/>
  <c r="BJ72" i="26"/>
  <c r="BK72" i="26"/>
  <c r="DD72" i="26"/>
  <c r="BL72" i="26"/>
  <c r="BM72" i="26"/>
  <c r="CG72" i="26"/>
  <c r="CQ72" i="26"/>
  <c r="DF72" i="26"/>
  <c r="BN72" i="26"/>
  <c r="BO72" i="26"/>
  <c r="BQ72" i="26"/>
  <c r="CC72" i="26"/>
  <c r="CH72" i="26"/>
  <c r="CI72" i="26"/>
  <c r="CJ72" i="26"/>
  <c r="CK72" i="26"/>
  <c r="CL72" i="26"/>
  <c r="CN72" i="26"/>
  <c r="CO72" i="26"/>
  <c r="CM72" i="26"/>
  <c r="CP72" i="26"/>
  <c r="CR72" i="26"/>
  <c r="CS72" i="26"/>
  <c r="CT72" i="26"/>
  <c r="CU72" i="26"/>
  <c r="DG72" i="26"/>
  <c r="DH72" i="26"/>
  <c r="DI72" i="26"/>
  <c r="DR72" i="26"/>
  <c r="DS72" i="26"/>
  <c r="DT72" i="26"/>
  <c r="DU72" i="26"/>
  <c r="DW72" i="26"/>
  <c r="DX72" i="26"/>
  <c r="DY72" i="26"/>
  <c r="DZ72" i="26"/>
  <c r="EA72" i="26"/>
  <c r="EB72" i="26"/>
  <c r="EC72" i="26"/>
  <c r="ED72" i="26"/>
  <c r="EE72" i="26"/>
  <c r="EM72" i="26"/>
  <c r="EN72" i="26"/>
  <c r="EO72" i="26"/>
  <c r="EX72" i="26"/>
  <c r="EY72" i="26"/>
  <c r="EZ72" i="26"/>
  <c r="FA72" i="26"/>
  <c r="FB72" i="26"/>
  <c r="FC72" i="26"/>
  <c r="FD72" i="26"/>
  <c r="FE72" i="26"/>
  <c r="FF72" i="26"/>
  <c r="FG72" i="26"/>
  <c r="FH72" i="26"/>
  <c r="FI72" i="26"/>
  <c r="FJ72" i="26"/>
  <c r="FK72" i="26"/>
  <c r="FL72" i="26"/>
  <c r="FM72" i="26"/>
  <c r="FN72" i="26"/>
  <c r="FO72" i="26"/>
  <c r="FP72" i="26"/>
  <c r="FQ72" i="26"/>
  <c r="FR72" i="26"/>
  <c r="FS72" i="26"/>
  <c r="FT72" i="26"/>
  <c r="FU72" i="26"/>
  <c r="E73" i="26"/>
  <c r="G73" i="26"/>
  <c r="F73" i="26"/>
  <c r="H73" i="26"/>
  <c r="J73" i="26"/>
  <c r="K73" i="26"/>
  <c r="M73" i="26"/>
  <c r="N73" i="26"/>
  <c r="O73" i="26"/>
  <c r="X73" i="26"/>
  <c r="P73" i="26"/>
  <c r="S73" i="26"/>
  <c r="W73" i="26"/>
  <c r="AC73" i="26"/>
  <c r="AD73" i="26"/>
  <c r="AH73" i="26"/>
  <c r="AI73" i="26"/>
  <c r="AJ73" i="26"/>
  <c r="AT73" i="26"/>
  <c r="AV73" i="26"/>
  <c r="AW73" i="26"/>
  <c r="AX73" i="26"/>
  <c r="AY73" i="26"/>
  <c r="AZ73" i="26"/>
  <c r="BA73" i="26"/>
  <c r="BB73" i="26"/>
  <c r="BC73" i="26"/>
  <c r="BE73" i="26"/>
  <c r="BD73" i="26"/>
  <c r="BH73" i="26"/>
  <c r="BJ73" i="26"/>
  <c r="BK73" i="26"/>
  <c r="DD73" i="26"/>
  <c r="BL73" i="26"/>
  <c r="BM73" i="26"/>
  <c r="CG73" i="26"/>
  <c r="CQ73" i="26"/>
  <c r="DF73" i="26"/>
  <c r="BN73" i="26"/>
  <c r="BO73" i="26"/>
  <c r="BQ73" i="26"/>
  <c r="CC73" i="26"/>
  <c r="CH73" i="26"/>
  <c r="CI73" i="26"/>
  <c r="CJ73" i="26"/>
  <c r="CK73" i="26"/>
  <c r="CL73" i="26"/>
  <c r="CN73" i="26"/>
  <c r="CO73" i="26"/>
  <c r="CM73" i="26"/>
  <c r="CP73" i="26"/>
  <c r="CR73" i="26"/>
  <c r="CS73" i="26"/>
  <c r="CT73" i="26"/>
  <c r="CU73" i="26"/>
  <c r="DG73" i="26"/>
  <c r="DH73" i="26"/>
  <c r="DI73" i="26"/>
  <c r="DR73" i="26"/>
  <c r="DS73" i="26"/>
  <c r="DT73" i="26"/>
  <c r="DU73" i="26"/>
  <c r="DW73" i="26"/>
  <c r="DX73" i="26"/>
  <c r="DY73" i="26"/>
  <c r="DZ73" i="26"/>
  <c r="EA73" i="26"/>
  <c r="EB73" i="26"/>
  <c r="EC73" i="26"/>
  <c r="ED73" i="26"/>
  <c r="EE73" i="26"/>
  <c r="EM73" i="26"/>
  <c r="EN73" i="26"/>
  <c r="EO73" i="26"/>
  <c r="EX73" i="26"/>
  <c r="EY73" i="26"/>
  <c r="EZ73" i="26"/>
  <c r="FA73" i="26"/>
  <c r="FB73" i="26"/>
  <c r="FC73" i="26"/>
  <c r="FD73" i="26"/>
  <c r="FE73" i="26"/>
  <c r="FF73" i="26"/>
  <c r="FG73" i="26"/>
  <c r="FH73" i="26"/>
  <c r="FI73" i="26"/>
  <c r="FJ73" i="26"/>
  <c r="FK73" i="26"/>
  <c r="FL73" i="26"/>
  <c r="FM73" i="26"/>
  <c r="FN73" i="26"/>
  <c r="FO73" i="26"/>
  <c r="FP73" i="26"/>
  <c r="FQ73" i="26"/>
  <c r="FR73" i="26"/>
  <c r="FS73" i="26"/>
  <c r="FT73" i="26"/>
  <c r="FU73" i="26"/>
  <c r="E74" i="26"/>
  <c r="G74" i="26"/>
  <c r="F74" i="26"/>
  <c r="H74" i="26"/>
  <c r="J74" i="26"/>
  <c r="K74" i="26"/>
  <c r="M74" i="26"/>
  <c r="N74" i="26"/>
  <c r="O74" i="26"/>
  <c r="X74" i="26"/>
  <c r="P74" i="26"/>
  <c r="S74" i="26"/>
  <c r="W74" i="26"/>
  <c r="AC74" i="26"/>
  <c r="AD74" i="26"/>
  <c r="AH74" i="26"/>
  <c r="AI74" i="26"/>
  <c r="AJ74" i="26"/>
  <c r="AT74" i="26"/>
  <c r="AV74" i="26"/>
  <c r="AW74" i="26"/>
  <c r="AX74" i="26"/>
  <c r="AY74" i="26"/>
  <c r="AZ74" i="26"/>
  <c r="BA74" i="26"/>
  <c r="BB74" i="26"/>
  <c r="BC74" i="26"/>
  <c r="BE74" i="26"/>
  <c r="BD74" i="26"/>
  <c r="BH74" i="26"/>
  <c r="BJ74" i="26"/>
  <c r="BK74" i="26"/>
  <c r="DD74" i="26"/>
  <c r="BL74" i="26"/>
  <c r="BM74" i="26"/>
  <c r="CG74" i="26"/>
  <c r="CQ74" i="26"/>
  <c r="DF74" i="26"/>
  <c r="BN74" i="26"/>
  <c r="BO74" i="26"/>
  <c r="BQ74" i="26"/>
  <c r="CC74" i="26"/>
  <c r="CH74" i="26"/>
  <c r="CI74" i="26"/>
  <c r="CJ74" i="26"/>
  <c r="CK74" i="26"/>
  <c r="CL74" i="26"/>
  <c r="CN74" i="26"/>
  <c r="CO74" i="26"/>
  <c r="CM74" i="26"/>
  <c r="CP74" i="26"/>
  <c r="CR74" i="26"/>
  <c r="CS74" i="26"/>
  <c r="CT74" i="26"/>
  <c r="CU74" i="26"/>
  <c r="DG74" i="26"/>
  <c r="DH74" i="26"/>
  <c r="DI74" i="26"/>
  <c r="DR74" i="26"/>
  <c r="DS74" i="26"/>
  <c r="DT74" i="26"/>
  <c r="DU74" i="26"/>
  <c r="DW74" i="26"/>
  <c r="DX74" i="26"/>
  <c r="DY74" i="26"/>
  <c r="DZ74" i="26"/>
  <c r="EA74" i="26"/>
  <c r="EB74" i="26"/>
  <c r="EC74" i="26"/>
  <c r="ED74" i="26"/>
  <c r="EE74" i="26"/>
  <c r="EM74" i="26"/>
  <c r="EN74" i="26"/>
  <c r="EO74" i="26"/>
  <c r="EX74" i="26"/>
  <c r="EY74" i="26"/>
  <c r="EZ74" i="26"/>
  <c r="FA74" i="26"/>
  <c r="FB74" i="26"/>
  <c r="FC74" i="26"/>
  <c r="FD74" i="26"/>
  <c r="FE74" i="26"/>
  <c r="FF74" i="26"/>
  <c r="FG74" i="26"/>
  <c r="FH74" i="26"/>
  <c r="FI74" i="26"/>
  <c r="FJ74" i="26"/>
  <c r="FK74" i="26"/>
  <c r="FL74" i="26"/>
  <c r="FM74" i="26"/>
  <c r="FN74" i="26"/>
  <c r="FO74" i="26"/>
  <c r="FP74" i="26"/>
  <c r="FQ74" i="26"/>
  <c r="FR74" i="26"/>
  <c r="FS74" i="26"/>
  <c r="FT74" i="26"/>
  <c r="FU74" i="26"/>
  <c r="E75" i="26"/>
  <c r="G75" i="26"/>
  <c r="F75" i="26"/>
  <c r="H75" i="26"/>
  <c r="J75" i="26"/>
  <c r="K75" i="26"/>
  <c r="M75" i="26"/>
  <c r="N75" i="26"/>
  <c r="O75" i="26"/>
  <c r="X75" i="26"/>
  <c r="P75" i="26"/>
  <c r="S75" i="26"/>
  <c r="W75" i="26"/>
  <c r="AC75" i="26"/>
  <c r="AD75" i="26"/>
  <c r="AH75" i="26"/>
  <c r="AI75" i="26"/>
  <c r="AJ75" i="26"/>
  <c r="AT75" i="26"/>
  <c r="AV75" i="26"/>
  <c r="AW75" i="26"/>
  <c r="AX75" i="26"/>
  <c r="AY75" i="26"/>
  <c r="AZ75" i="26"/>
  <c r="BA75" i="26"/>
  <c r="BB75" i="26"/>
  <c r="BC75" i="26"/>
  <c r="BE75" i="26"/>
  <c r="BD75" i="26"/>
  <c r="BH75" i="26"/>
  <c r="BJ75" i="26"/>
  <c r="BK75" i="26"/>
  <c r="DD75" i="26"/>
  <c r="BL75" i="26"/>
  <c r="BM75" i="26"/>
  <c r="CG75" i="26"/>
  <c r="CQ75" i="26"/>
  <c r="DF75" i="26"/>
  <c r="BN75" i="26"/>
  <c r="BO75" i="26"/>
  <c r="BQ75" i="26"/>
  <c r="BS75" i="26"/>
  <c r="BR75" i="26"/>
  <c r="BW75" i="26"/>
  <c r="CC75" i="26"/>
  <c r="CH75" i="26"/>
  <c r="CI75" i="26"/>
  <c r="CJ75" i="26"/>
  <c r="CK75" i="26"/>
  <c r="CL75" i="26"/>
  <c r="CN75" i="26"/>
  <c r="CO75" i="26"/>
  <c r="CM75" i="26"/>
  <c r="CP75" i="26"/>
  <c r="CR75" i="26"/>
  <c r="CS75" i="26"/>
  <c r="CT75" i="26"/>
  <c r="CU75" i="26"/>
  <c r="DG75" i="26"/>
  <c r="DH75" i="26"/>
  <c r="DI75" i="26"/>
  <c r="DR75" i="26"/>
  <c r="DS75" i="26"/>
  <c r="DT75" i="26"/>
  <c r="DU75" i="26"/>
  <c r="DW75" i="26"/>
  <c r="DX75" i="26"/>
  <c r="DY75" i="26"/>
  <c r="DZ75" i="26"/>
  <c r="EA75" i="26"/>
  <c r="EB75" i="26"/>
  <c r="EC75" i="26"/>
  <c r="ED75" i="26"/>
  <c r="EE75" i="26"/>
  <c r="EM75" i="26"/>
  <c r="EN75" i="26"/>
  <c r="EO75" i="26"/>
  <c r="EX75" i="26"/>
  <c r="EY75" i="26"/>
  <c r="EZ75" i="26"/>
  <c r="FA75" i="26"/>
  <c r="FB75" i="26"/>
  <c r="FC75" i="26"/>
  <c r="FD75" i="26"/>
  <c r="FE75" i="26"/>
  <c r="FF75" i="26"/>
  <c r="FG75" i="26"/>
  <c r="FH75" i="26"/>
  <c r="FI75" i="26"/>
  <c r="FJ75" i="26"/>
  <c r="FK75" i="26"/>
  <c r="FL75" i="26"/>
  <c r="FM75" i="26"/>
  <c r="FN75" i="26"/>
  <c r="FO75" i="26"/>
  <c r="FP75" i="26"/>
  <c r="FQ75" i="26"/>
  <c r="FR75" i="26"/>
  <c r="FS75" i="26"/>
  <c r="FT75" i="26"/>
  <c r="FU75" i="26"/>
  <c r="E76" i="26"/>
  <c r="G76" i="26"/>
  <c r="F76" i="26"/>
  <c r="H76" i="26"/>
  <c r="J76" i="26"/>
  <c r="K76" i="26"/>
  <c r="M76" i="26"/>
  <c r="N76" i="26"/>
  <c r="O76" i="26"/>
  <c r="X76" i="26"/>
  <c r="P76" i="26"/>
  <c r="S76" i="26"/>
  <c r="W76" i="26"/>
  <c r="AB76" i="26"/>
  <c r="AC76" i="26"/>
  <c r="AD76" i="26"/>
  <c r="AH76" i="26"/>
  <c r="AI76" i="26"/>
  <c r="AJ76" i="26"/>
  <c r="AT76" i="26"/>
  <c r="AV76" i="26"/>
  <c r="AW76" i="26"/>
  <c r="AX76" i="26"/>
  <c r="AY76" i="26"/>
  <c r="AZ76" i="26"/>
  <c r="BA76" i="26"/>
  <c r="BB76" i="26"/>
  <c r="BC76" i="26"/>
  <c r="BE76" i="26"/>
  <c r="BD76" i="26"/>
  <c r="BH76" i="26"/>
  <c r="BJ76" i="26"/>
  <c r="BK76" i="26"/>
  <c r="DD76" i="26"/>
  <c r="BL76" i="26"/>
  <c r="BM76" i="26"/>
  <c r="CG76" i="26"/>
  <c r="CQ76" i="26"/>
  <c r="DF76" i="26"/>
  <c r="BN76" i="26"/>
  <c r="BO76" i="26"/>
  <c r="BQ76" i="26"/>
  <c r="BS76" i="26"/>
  <c r="BR76" i="26"/>
  <c r="BW76" i="26"/>
  <c r="CC76" i="26"/>
  <c r="CH76" i="26"/>
  <c r="CI76" i="26"/>
  <c r="CJ76" i="26"/>
  <c r="CK76" i="26"/>
  <c r="CL76" i="26"/>
  <c r="CN76" i="26"/>
  <c r="CO76" i="26"/>
  <c r="CM76" i="26"/>
  <c r="CP76" i="26"/>
  <c r="CR76" i="26"/>
  <c r="CS76" i="26"/>
  <c r="CT76" i="26"/>
  <c r="CU76" i="26"/>
  <c r="DG76" i="26"/>
  <c r="DH76" i="26"/>
  <c r="DI76" i="26"/>
  <c r="DR76" i="26"/>
  <c r="DS76" i="26"/>
  <c r="DT76" i="26"/>
  <c r="DU76" i="26"/>
  <c r="DW76" i="26"/>
  <c r="DX76" i="26"/>
  <c r="DY76" i="26"/>
  <c r="DZ76" i="26"/>
  <c r="EA76" i="26"/>
  <c r="EB76" i="26"/>
  <c r="EC76" i="26"/>
  <c r="ED76" i="26"/>
  <c r="EE76" i="26"/>
  <c r="EI76" i="26"/>
  <c r="EM76" i="26"/>
  <c r="EN76" i="26"/>
  <c r="EO76" i="26"/>
  <c r="EX76" i="26"/>
  <c r="EY76" i="26"/>
  <c r="EZ76" i="26"/>
  <c r="FA76" i="26"/>
  <c r="FB76" i="26"/>
  <c r="FC76" i="26"/>
  <c r="FD76" i="26"/>
  <c r="FE76" i="26"/>
  <c r="FF76" i="26"/>
  <c r="FG76" i="26"/>
  <c r="FH76" i="26"/>
  <c r="FI76" i="26"/>
  <c r="FJ76" i="26"/>
  <c r="FK76" i="26"/>
  <c r="FL76" i="26"/>
  <c r="FM76" i="26"/>
  <c r="FN76" i="26"/>
  <c r="FO76" i="26"/>
  <c r="FP76" i="26"/>
  <c r="FQ76" i="26"/>
  <c r="FR76" i="26"/>
  <c r="FS76" i="26"/>
  <c r="FT76" i="26"/>
  <c r="FU76" i="26"/>
  <c r="E77" i="26"/>
  <c r="G77" i="26"/>
  <c r="F77" i="26"/>
  <c r="H77" i="26"/>
  <c r="J77" i="26"/>
  <c r="K77" i="26"/>
  <c r="M77" i="26"/>
  <c r="N77" i="26"/>
  <c r="O77" i="26"/>
  <c r="X77" i="26"/>
  <c r="P77" i="26"/>
  <c r="S77" i="26"/>
  <c r="W77" i="26"/>
  <c r="AC77" i="26"/>
  <c r="AD77" i="26"/>
  <c r="AH77" i="26"/>
  <c r="AI77" i="26"/>
  <c r="AJ77" i="26"/>
  <c r="AT77" i="26"/>
  <c r="AV77" i="26"/>
  <c r="AW77" i="26"/>
  <c r="AX77" i="26"/>
  <c r="AY77" i="26"/>
  <c r="AZ77" i="26"/>
  <c r="BA77" i="26"/>
  <c r="BB77" i="26"/>
  <c r="BC77" i="26"/>
  <c r="BE77" i="26"/>
  <c r="BD77" i="26"/>
  <c r="BH77" i="26"/>
  <c r="BJ77" i="26"/>
  <c r="BK77" i="26"/>
  <c r="DD77" i="26"/>
  <c r="BL77" i="26"/>
  <c r="BM77" i="26"/>
  <c r="CG77" i="26"/>
  <c r="CQ77" i="26"/>
  <c r="DF77" i="26"/>
  <c r="BN77" i="26"/>
  <c r="BO77" i="26"/>
  <c r="BQ77" i="26"/>
  <c r="BS77" i="26"/>
  <c r="BR77" i="26"/>
  <c r="BW77" i="26"/>
  <c r="CC77" i="26"/>
  <c r="CH77" i="26"/>
  <c r="CI77" i="26"/>
  <c r="CJ77" i="26"/>
  <c r="CK77" i="26"/>
  <c r="CL77" i="26"/>
  <c r="CN77" i="26"/>
  <c r="CO77" i="26"/>
  <c r="CM77" i="26"/>
  <c r="CP77" i="26"/>
  <c r="CR77" i="26"/>
  <c r="CS77" i="26"/>
  <c r="CT77" i="26"/>
  <c r="CU77" i="26"/>
  <c r="DG77" i="26"/>
  <c r="DH77" i="26"/>
  <c r="DI77" i="26"/>
  <c r="DR77" i="26"/>
  <c r="DS77" i="26"/>
  <c r="DT77" i="26"/>
  <c r="DU77" i="26"/>
  <c r="DW77" i="26"/>
  <c r="DX77" i="26"/>
  <c r="DY77" i="26"/>
  <c r="DZ77" i="26"/>
  <c r="EA77" i="26"/>
  <c r="EB77" i="26"/>
  <c r="EC77" i="26"/>
  <c r="ED77" i="26"/>
  <c r="EE77" i="26"/>
  <c r="EK77" i="26"/>
  <c r="EM77" i="26"/>
  <c r="EN77" i="26"/>
  <c r="EO77" i="26"/>
  <c r="EX77" i="26"/>
  <c r="EY77" i="26"/>
  <c r="EZ77" i="26"/>
  <c r="FA77" i="26"/>
  <c r="FB77" i="26"/>
  <c r="FC77" i="26"/>
  <c r="FD77" i="26"/>
  <c r="FE77" i="26"/>
  <c r="FF77" i="26"/>
  <c r="FG77" i="26"/>
  <c r="FH77" i="26"/>
  <c r="FI77" i="26"/>
  <c r="FJ77" i="26"/>
  <c r="FK77" i="26"/>
  <c r="FL77" i="26"/>
  <c r="FM77" i="26"/>
  <c r="FN77" i="26"/>
  <c r="FO77" i="26"/>
  <c r="FP77" i="26"/>
  <c r="FQ77" i="26"/>
  <c r="FR77" i="26"/>
  <c r="FS77" i="26"/>
  <c r="FT77" i="26"/>
  <c r="FU77" i="26"/>
  <c r="E78" i="26"/>
  <c r="G78" i="26"/>
  <c r="F78" i="26"/>
  <c r="H78" i="26"/>
  <c r="J78" i="26"/>
  <c r="K78" i="26"/>
  <c r="M78" i="26"/>
  <c r="N78" i="26"/>
  <c r="O78" i="26"/>
  <c r="X78" i="26"/>
  <c r="P78" i="26"/>
  <c r="S78" i="26"/>
  <c r="W78" i="26"/>
  <c r="AC78" i="26"/>
  <c r="AD78" i="26"/>
  <c r="AH78" i="26"/>
  <c r="AI78" i="26"/>
  <c r="AJ78" i="26"/>
  <c r="AT78" i="26"/>
  <c r="AV78" i="26"/>
  <c r="AW78" i="26"/>
  <c r="AX78" i="26"/>
  <c r="AY78" i="26"/>
  <c r="AZ78" i="26"/>
  <c r="BA78" i="26"/>
  <c r="BB78" i="26"/>
  <c r="BC78" i="26"/>
  <c r="BE78" i="26"/>
  <c r="BD78" i="26"/>
  <c r="BH78" i="26"/>
  <c r="BJ78" i="26"/>
  <c r="BK78" i="26"/>
  <c r="DD78" i="26"/>
  <c r="BL78" i="26"/>
  <c r="BM78" i="26"/>
  <c r="CG78" i="26"/>
  <c r="CQ78" i="26"/>
  <c r="DF78" i="26"/>
  <c r="BN78" i="26"/>
  <c r="BO78" i="26"/>
  <c r="BQ78" i="26"/>
  <c r="BS78" i="26"/>
  <c r="BR78" i="26"/>
  <c r="BW78" i="26"/>
  <c r="CC78" i="26"/>
  <c r="CH78" i="26"/>
  <c r="CI78" i="26"/>
  <c r="CJ78" i="26"/>
  <c r="CK78" i="26"/>
  <c r="CL78" i="26"/>
  <c r="CN78" i="26"/>
  <c r="CO78" i="26"/>
  <c r="CM78" i="26"/>
  <c r="CP78" i="26"/>
  <c r="CR78" i="26"/>
  <c r="CS78" i="26"/>
  <c r="CT78" i="26"/>
  <c r="CU78" i="26"/>
  <c r="DG78" i="26"/>
  <c r="DH78" i="26"/>
  <c r="DI78" i="26"/>
  <c r="DR78" i="26"/>
  <c r="DS78" i="26"/>
  <c r="DT78" i="26"/>
  <c r="DU78" i="26"/>
  <c r="DW78" i="26"/>
  <c r="DX78" i="26"/>
  <c r="DY78" i="26"/>
  <c r="DZ78" i="26"/>
  <c r="EA78" i="26"/>
  <c r="EB78" i="26"/>
  <c r="EC78" i="26"/>
  <c r="ED78" i="26"/>
  <c r="EE78" i="26"/>
  <c r="EM78" i="26"/>
  <c r="EN78" i="26"/>
  <c r="EO78" i="26"/>
  <c r="EX78" i="26"/>
  <c r="EY78" i="26"/>
  <c r="EZ78" i="26"/>
  <c r="FA78" i="26"/>
  <c r="FB78" i="26"/>
  <c r="FC78" i="26"/>
  <c r="FD78" i="26"/>
  <c r="FE78" i="26"/>
  <c r="FF78" i="26"/>
  <c r="FG78" i="26"/>
  <c r="FH78" i="26"/>
  <c r="FI78" i="26"/>
  <c r="FJ78" i="26"/>
  <c r="FK78" i="26"/>
  <c r="FL78" i="26"/>
  <c r="FM78" i="26"/>
  <c r="FN78" i="26"/>
  <c r="FO78" i="26"/>
  <c r="FP78" i="26"/>
  <c r="FQ78" i="26"/>
  <c r="FR78" i="26"/>
  <c r="FS78" i="26"/>
  <c r="FT78" i="26"/>
  <c r="FU78" i="26"/>
  <c r="E79" i="26"/>
  <c r="G79" i="26"/>
  <c r="F79" i="26"/>
  <c r="H79" i="26"/>
  <c r="J79" i="26"/>
  <c r="K79" i="26"/>
  <c r="M79" i="26"/>
  <c r="N79" i="26"/>
  <c r="O79" i="26"/>
  <c r="X79" i="26"/>
  <c r="P79" i="26"/>
  <c r="S79" i="26"/>
  <c r="W79" i="26"/>
  <c r="AC79" i="26"/>
  <c r="AD79" i="26"/>
  <c r="AH79" i="26"/>
  <c r="AI79" i="26"/>
  <c r="AJ79" i="26"/>
  <c r="AT79" i="26"/>
  <c r="AV79" i="26"/>
  <c r="AW79" i="26"/>
  <c r="AX79" i="26"/>
  <c r="AY79" i="26"/>
  <c r="AZ79" i="26"/>
  <c r="BA79" i="26"/>
  <c r="BB79" i="26"/>
  <c r="BC79" i="26"/>
  <c r="BE79" i="26"/>
  <c r="BD79" i="26"/>
  <c r="BH79" i="26"/>
  <c r="BJ79" i="26"/>
  <c r="BK79" i="26"/>
  <c r="DD79" i="26"/>
  <c r="BL79" i="26"/>
  <c r="BM79" i="26"/>
  <c r="CG79" i="26"/>
  <c r="CQ79" i="26"/>
  <c r="DF79" i="26"/>
  <c r="BN79" i="26"/>
  <c r="BO79" i="26"/>
  <c r="BQ79" i="26"/>
  <c r="BS79" i="26"/>
  <c r="BR79" i="26"/>
  <c r="BW79" i="26"/>
  <c r="CC79" i="26"/>
  <c r="CH79" i="26"/>
  <c r="CI79" i="26"/>
  <c r="CJ79" i="26"/>
  <c r="CK79" i="26"/>
  <c r="CL79" i="26"/>
  <c r="CN79" i="26"/>
  <c r="CO79" i="26"/>
  <c r="CM79" i="26"/>
  <c r="CP79" i="26"/>
  <c r="CR79" i="26"/>
  <c r="CS79" i="26"/>
  <c r="CT79" i="26"/>
  <c r="CU79" i="26"/>
  <c r="DG79" i="26"/>
  <c r="DH79" i="26"/>
  <c r="DI79" i="26"/>
  <c r="DR79" i="26"/>
  <c r="DS79" i="26"/>
  <c r="DT79" i="26"/>
  <c r="DU79" i="26"/>
  <c r="DW79" i="26"/>
  <c r="DX79" i="26"/>
  <c r="DY79" i="26"/>
  <c r="DZ79" i="26"/>
  <c r="EA79" i="26"/>
  <c r="EB79" i="26"/>
  <c r="EC79" i="26"/>
  <c r="ED79" i="26"/>
  <c r="EE79" i="26"/>
  <c r="EJ79" i="26"/>
  <c r="EM79" i="26"/>
  <c r="EN79" i="26"/>
  <c r="EO79" i="26"/>
  <c r="EX79" i="26"/>
  <c r="EY79" i="26"/>
  <c r="EZ79" i="26"/>
  <c r="FA79" i="26"/>
  <c r="FB79" i="26"/>
  <c r="FC79" i="26"/>
  <c r="FD79" i="26"/>
  <c r="FE79" i="26"/>
  <c r="FF79" i="26"/>
  <c r="FG79" i="26"/>
  <c r="FH79" i="26"/>
  <c r="FI79" i="26"/>
  <c r="FJ79" i="26"/>
  <c r="FK79" i="26"/>
  <c r="FL79" i="26"/>
  <c r="FM79" i="26"/>
  <c r="FN79" i="26"/>
  <c r="FO79" i="26"/>
  <c r="FP79" i="26"/>
  <c r="FQ79" i="26"/>
  <c r="FR79" i="26"/>
  <c r="FS79" i="26"/>
  <c r="FT79" i="26"/>
  <c r="FU79" i="26"/>
  <c r="E80" i="26"/>
  <c r="G80" i="26"/>
  <c r="F80" i="26"/>
  <c r="H80" i="26"/>
  <c r="J80" i="26"/>
  <c r="K80" i="26"/>
  <c r="M80" i="26"/>
  <c r="N80" i="26"/>
  <c r="O80" i="26"/>
  <c r="X80" i="26"/>
  <c r="P80" i="26"/>
  <c r="S80" i="26"/>
  <c r="W80" i="26"/>
  <c r="AC80" i="26"/>
  <c r="AD80" i="26"/>
  <c r="AH80" i="26"/>
  <c r="AI80" i="26"/>
  <c r="AJ80" i="26"/>
  <c r="AT80" i="26"/>
  <c r="AV80" i="26"/>
  <c r="AW80" i="26"/>
  <c r="AX80" i="26"/>
  <c r="AY80" i="26"/>
  <c r="AZ80" i="26"/>
  <c r="BA80" i="26"/>
  <c r="BB80" i="26"/>
  <c r="BC80" i="26"/>
  <c r="BE80" i="26"/>
  <c r="BD80" i="26"/>
  <c r="BH80" i="26"/>
  <c r="BJ80" i="26"/>
  <c r="BK80" i="26"/>
  <c r="DD80" i="26"/>
  <c r="BL80" i="26"/>
  <c r="BM80" i="26"/>
  <c r="CG80" i="26"/>
  <c r="CQ80" i="26"/>
  <c r="DF80" i="26"/>
  <c r="BN80" i="26"/>
  <c r="BO80" i="26"/>
  <c r="BQ80" i="26"/>
  <c r="BS80" i="26"/>
  <c r="BR80" i="26"/>
  <c r="BW80" i="26"/>
  <c r="CC80" i="26"/>
  <c r="CH80" i="26"/>
  <c r="CI80" i="26"/>
  <c r="CJ80" i="26"/>
  <c r="CK80" i="26"/>
  <c r="CL80" i="26"/>
  <c r="CN80" i="26"/>
  <c r="CO80" i="26"/>
  <c r="CM80" i="26"/>
  <c r="CP80" i="26"/>
  <c r="CR80" i="26"/>
  <c r="CS80" i="26"/>
  <c r="CT80" i="26"/>
  <c r="CU80" i="26"/>
  <c r="DG80" i="26"/>
  <c r="DH80" i="26"/>
  <c r="DI80" i="26"/>
  <c r="DQ80" i="26"/>
  <c r="DR80" i="26"/>
  <c r="DS80" i="26"/>
  <c r="DT80" i="26"/>
  <c r="DU80" i="26"/>
  <c r="DW80" i="26"/>
  <c r="DX80" i="26"/>
  <c r="DY80" i="26"/>
  <c r="DZ80" i="26"/>
  <c r="EA80" i="26"/>
  <c r="EB80" i="26"/>
  <c r="EC80" i="26"/>
  <c r="ED80" i="26"/>
  <c r="EE80" i="26"/>
  <c r="EL80" i="26"/>
  <c r="EM80" i="26"/>
  <c r="EN80" i="26"/>
  <c r="EO80" i="26"/>
  <c r="EX80" i="26"/>
  <c r="EY80" i="26"/>
  <c r="EZ80" i="26"/>
  <c r="FA80" i="26"/>
  <c r="FB80" i="26"/>
  <c r="FC80" i="26"/>
  <c r="FD80" i="26"/>
  <c r="FE80" i="26"/>
  <c r="FF80" i="26"/>
  <c r="FG80" i="26"/>
  <c r="FH80" i="26"/>
  <c r="FI80" i="26"/>
  <c r="FJ80" i="26"/>
  <c r="FK80" i="26"/>
  <c r="FL80" i="26"/>
  <c r="FM80" i="26"/>
  <c r="FN80" i="26"/>
  <c r="FO80" i="26"/>
  <c r="FP80" i="26"/>
  <c r="FQ80" i="26"/>
  <c r="FR80" i="26"/>
  <c r="FS80" i="26"/>
  <c r="FT80" i="26"/>
  <c r="FU80" i="26"/>
  <c r="E81" i="26"/>
  <c r="G81" i="26"/>
  <c r="F81" i="26"/>
  <c r="H81" i="26"/>
  <c r="J81" i="26"/>
  <c r="K81" i="26"/>
  <c r="M81" i="26"/>
  <c r="N81" i="26"/>
  <c r="O81" i="26"/>
  <c r="X81" i="26"/>
  <c r="P81" i="26"/>
  <c r="S81" i="26"/>
  <c r="W81" i="26"/>
  <c r="AC81" i="26"/>
  <c r="AD81" i="26"/>
  <c r="AH81" i="26"/>
  <c r="AI81" i="26"/>
  <c r="AJ81" i="26"/>
  <c r="AT81" i="26"/>
  <c r="AV81" i="26"/>
  <c r="AW81" i="26"/>
  <c r="AX81" i="26"/>
  <c r="AY81" i="26"/>
  <c r="AZ81" i="26"/>
  <c r="BA81" i="26"/>
  <c r="BB81" i="26"/>
  <c r="BC81" i="26"/>
  <c r="BE81" i="26"/>
  <c r="BD81" i="26"/>
  <c r="BH81" i="26"/>
  <c r="BJ81" i="26"/>
  <c r="BK81" i="26"/>
  <c r="DD81" i="26"/>
  <c r="BL81" i="26"/>
  <c r="BM81" i="26"/>
  <c r="CG81" i="26"/>
  <c r="CQ81" i="26"/>
  <c r="DF81" i="26"/>
  <c r="BN81" i="26"/>
  <c r="BO81" i="26"/>
  <c r="BQ81" i="26"/>
  <c r="BS81" i="26"/>
  <c r="BR81" i="26"/>
  <c r="BW81" i="26"/>
  <c r="CC81" i="26"/>
  <c r="CH81" i="26"/>
  <c r="CI81" i="26"/>
  <c r="CJ81" i="26"/>
  <c r="CK81" i="26"/>
  <c r="CL81" i="26"/>
  <c r="CN81" i="26"/>
  <c r="CO81" i="26"/>
  <c r="CM81" i="26"/>
  <c r="CP81" i="26"/>
  <c r="CR81" i="26"/>
  <c r="CS81" i="26"/>
  <c r="CT81" i="26"/>
  <c r="CU81" i="26"/>
  <c r="DG81" i="26"/>
  <c r="DH81" i="26"/>
  <c r="DI81" i="26"/>
  <c r="DR81" i="26"/>
  <c r="DS81" i="26"/>
  <c r="DT81" i="26"/>
  <c r="DU81" i="26"/>
  <c r="DW81" i="26"/>
  <c r="DX81" i="26"/>
  <c r="DY81" i="26"/>
  <c r="DZ81" i="26"/>
  <c r="EA81" i="26"/>
  <c r="EB81" i="26"/>
  <c r="EC81" i="26"/>
  <c r="ED81" i="26"/>
  <c r="EE81" i="26"/>
  <c r="EM81" i="26"/>
  <c r="EN81" i="26"/>
  <c r="EO81" i="26"/>
  <c r="EX81" i="26"/>
  <c r="EY81" i="26"/>
  <c r="EZ81" i="26"/>
  <c r="FA81" i="26"/>
  <c r="FB81" i="26"/>
  <c r="FC81" i="26"/>
  <c r="FD81" i="26"/>
  <c r="FE81" i="26"/>
  <c r="FF81" i="26"/>
  <c r="FG81" i="26"/>
  <c r="FH81" i="26"/>
  <c r="FI81" i="26"/>
  <c r="FJ81" i="26"/>
  <c r="FK81" i="26"/>
  <c r="FL81" i="26"/>
  <c r="FM81" i="26"/>
  <c r="FN81" i="26"/>
  <c r="FO81" i="26"/>
  <c r="FP81" i="26"/>
  <c r="FQ81" i="26"/>
  <c r="FR81" i="26"/>
  <c r="FS81" i="26"/>
  <c r="FT81" i="26"/>
  <c r="FU81" i="26"/>
  <c r="E82" i="26"/>
  <c r="G82" i="26"/>
  <c r="F82" i="26"/>
  <c r="H82" i="26"/>
  <c r="J82" i="26"/>
  <c r="K82" i="26"/>
  <c r="M82" i="26"/>
  <c r="N82" i="26"/>
  <c r="O82" i="26"/>
  <c r="X82" i="26"/>
  <c r="P82" i="26"/>
  <c r="S82" i="26"/>
  <c r="W82" i="26"/>
  <c r="AC82" i="26"/>
  <c r="AD82" i="26"/>
  <c r="AH82" i="26"/>
  <c r="AI82" i="26"/>
  <c r="AJ82" i="26"/>
  <c r="AT82" i="26"/>
  <c r="AV82" i="26"/>
  <c r="AW82" i="26"/>
  <c r="AX82" i="26"/>
  <c r="AY82" i="26"/>
  <c r="AZ82" i="26"/>
  <c r="BA82" i="26"/>
  <c r="BB82" i="26"/>
  <c r="BC82" i="26"/>
  <c r="BE82" i="26"/>
  <c r="BD82" i="26"/>
  <c r="BH82" i="26"/>
  <c r="BJ82" i="26"/>
  <c r="BK82" i="26"/>
  <c r="DD82" i="26"/>
  <c r="BL82" i="26"/>
  <c r="BM82" i="26"/>
  <c r="CG82" i="26"/>
  <c r="CQ82" i="26"/>
  <c r="DF82" i="26"/>
  <c r="BN82" i="26"/>
  <c r="BO82" i="26"/>
  <c r="BQ82" i="26"/>
  <c r="BS82" i="26"/>
  <c r="BR82" i="26"/>
  <c r="BW82" i="26"/>
  <c r="CC82" i="26"/>
  <c r="CH82" i="26"/>
  <c r="CI82" i="26"/>
  <c r="CJ82" i="26"/>
  <c r="CK82" i="26"/>
  <c r="CL82" i="26"/>
  <c r="CN82" i="26"/>
  <c r="CO82" i="26"/>
  <c r="CM82" i="26"/>
  <c r="CP82" i="26"/>
  <c r="CR82" i="26"/>
  <c r="CS82" i="26"/>
  <c r="CT82" i="26"/>
  <c r="CU82" i="26"/>
  <c r="DG82" i="26"/>
  <c r="DH82" i="26"/>
  <c r="DI82" i="26"/>
  <c r="DR82" i="26"/>
  <c r="DS82" i="26"/>
  <c r="DT82" i="26"/>
  <c r="DU82" i="26"/>
  <c r="DW82" i="26"/>
  <c r="DX82" i="26"/>
  <c r="DY82" i="26"/>
  <c r="DZ82" i="26"/>
  <c r="EA82" i="26"/>
  <c r="EB82" i="26"/>
  <c r="EC82" i="26"/>
  <c r="ED82" i="26"/>
  <c r="EE82" i="26"/>
  <c r="EL82" i="26"/>
  <c r="EM82" i="26"/>
  <c r="EN82" i="26"/>
  <c r="EO82" i="26"/>
  <c r="EX82" i="26"/>
  <c r="EY82" i="26"/>
  <c r="EZ82" i="26"/>
  <c r="FA82" i="26"/>
  <c r="FB82" i="26"/>
  <c r="FC82" i="26"/>
  <c r="FD82" i="26"/>
  <c r="FE82" i="26"/>
  <c r="FF82" i="26"/>
  <c r="FG82" i="26"/>
  <c r="FH82" i="26"/>
  <c r="FI82" i="26"/>
  <c r="FJ82" i="26"/>
  <c r="FK82" i="26"/>
  <c r="FL82" i="26"/>
  <c r="FM82" i="26"/>
  <c r="FN82" i="26"/>
  <c r="FO82" i="26"/>
  <c r="FP82" i="26"/>
  <c r="FQ82" i="26"/>
  <c r="FR82" i="26"/>
  <c r="FS82" i="26"/>
  <c r="FT82" i="26"/>
  <c r="FU82" i="26"/>
  <c r="E83" i="26"/>
  <c r="G83" i="26"/>
  <c r="F83" i="26"/>
  <c r="H83" i="26"/>
  <c r="J83" i="26"/>
  <c r="K83" i="26"/>
  <c r="M83" i="26"/>
  <c r="N83" i="26"/>
  <c r="O83" i="26"/>
  <c r="X83" i="26"/>
  <c r="P83" i="26"/>
  <c r="S83" i="26"/>
  <c r="W83" i="26"/>
  <c r="AC83" i="26"/>
  <c r="AD83" i="26"/>
  <c r="AH83" i="26"/>
  <c r="AI83" i="26"/>
  <c r="AJ83" i="26"/>
  <c r="AT83" i="26"/>
  <c r="AV83" i="26"/>
  <c r="AW83" i="26"/>
  <c r="AX83" i="26"/>
  <c r="AY83" i="26"/>
  <c r="AZ83" i="26"/>
  <c r="BA83" i="26"/>
  <c r="BB83" i="26"/>
  <c r="BC83" i="26"/>
  <c r="BE83" i="26"/>
  <c r="BD83" i="26"/>
  <c r="BH83" i="26"/>
  <c r="BJ83" i="26"/>
  <c r="BK83" i="26"/>
  <c r="DD83" i="26"/>
  <c r="BL83" i="26"/>
  <c r="BM83" i="26"/>
  <c r="CG83" i="26"/>
  <c r="CQ83" i="26"/>
  <c r="DF83" i="26"/>
  <c r="BN83" i="26"/>
  <c r="BO83" i="26"/>
  <c r="BQ83" i="26"/>
  <c r="BS83" i="26"/>
  <c r="BR83" i="26"/>
  <c r="BW83" i="26"/>
  <c r="CC83" i="26"/>
  <c r="CH83" i="26"/>
  <c r="CI83" i="26"/>
  <c r="CJ83" i="26"/>
  <c r="CK83" i="26"/>
  <c r="CL83" i="26"/>
  <c r="CN83" i="26"/>
  <c r="CO83" i="26"/>
  <c r="CM83" i="26"/>
  <c r="CP83" i="26"/>
  <c r="CR83" i="26"/>
  <c r="CS83" i="26"/>
  <c r="CT83" i="26"/>
  <c r="CU83" i="26"/>
  <c r="DG83" i="26"/>
  <c r="DH83" i="26"/>
  <c r="DI83" i="26"/>
  <c r="DR83" i="26"/>
  <c r="DS83" i="26"/>
  <c r="DT83" i="26"/>
  <c r="DU83" i="26"/>
  <c r="DW83" i="26"/>
  <c r="DX83" i="26"/>
  <c r="DY83" i="26"/>
  <c r="DZ83" i="26"/>
  <c r="EA83" i="26"/>
  <c r="EB83" i="26"/>
  <c r="EC83" i="26"/>
  <c r="ED83" i="26"/>
  <c r="EE83" i="26"/>
  <c r="EM83" i="26"/>
  <c r="EN83" i="26"/>
  <c r="EO83" i="26"/>
  <c r="EX83" i="26"/>
  <c r="EY83" i="26"/>
  <c r="EZ83" i="26"/>
  <c r="FA83" i="26"/>
  <c r="FB83" i="26"/>
  <c r="FC83" i="26"/>
  <c r="FD83" i="26"/>
  <c r="FE83" i="26"/>
  <c r="FF83" i="26"/>
  <c r="FG83" i="26"/>
  <c r="FH83" i="26"/>
  <c r="FI83" i="26"/>
  <c r="FJ83" i="26"/>
  <c r="FK83" i="26"/>
  <c r="FL83" i="26"/>
  <c r="FM83" i="26"/>
  <c r="FN83" i="26"/>
  <c r="FO83" i="26"/>
  <c r="FP83" i="26"/>
  <c r="FQ83" i="26"/>
  <c r="FR83" i="26"/>
  <c r="FS83" i="26"/>
  <c r="FT83" i="26"/>
  <c r="FU83" i="26"/>
  <c r="E84" i="26"/>
  <c r="G84" i="26"/>
  <c r="F84" i="26"/>
  <c r="H84" i="26"/>
  <c r="J84" i="26"/>
  <c r="K84" i="26"/>
  <c r="M84" i="26"/>
  <c r="N84" i="26"/>
  <c r="O84" i="26"/>
  <c r="X84" i="26"/>
  <c r="P84" i="26"/>
  <c r="S84" i="26"/>
  <c r="W84" i="26"/>
  <c r="AC84" i="26"/>
  <c r="AD84" i="26"/>
  <c r="AH84" i="26"/>
  <c r="AI84" i="26"/>
  <c r="AJ84" i="26"/>
  <c r="AT84" i="26"/>
  <c r="AV84" i="26"/>
  <c r="AW84" i="26"/>
  <c r="AX84" i="26"/>
  <c r="AY84" i="26"/>
  <c r="AZ84" i="26"/>
  <c r="BA84" i="26"/>
  <c r="BB84" i="26"/>
  <c r="BC84" i="26"/>
  <c r="BE84" i="26"/>
  <c r="BD84" i="26"/>
  <c r="BH84" i="26"/>
  <c r="BJ84" i="26"/>
  <c r="BK84" i="26"/>
  <c r="DD84" i="26"/>
  <c r="BL84" i="26"/>
  <c r="BM84" i="26"/>
  <c r="CG84" i="26"/>
  <c r="CQ84" i="26"/>
  <c r="DF84" i="26"/>
  <c r="BN84" i="26"/>
  <c r="BO84" i="26"/>
  <c r="BQ84" i="26"/>
  <c r="BS84" i="26"/>
  <c r="BR84" i="26"/>
  <c r="BW84" i="26"/>
  <c r="CC84" i="26"/>
  <c r="CH84" i="26"/>
  <c r="CI84" i="26"/>
  <c r="CJ84" i="26"/>
  <c r="CK84" i="26"/>
  <c r="CL84" i="26"/>
  <c r="CN84" i="26"/>
  <c r="CO84" i="26"/>
  <c r="CM84" i="26"/>
  <c r="CP84" i="26"/>
  <c r="CR84" i="26"/>
  <c r="CS84" i="26"/>
  <c r="CT84" i="26"/>
  <c r="CU84" i="26"/>
  <c r="DG84" i="26"/>
  <c r="DH84" i="26"/>
  <c r="DI84" i="26"/>
  <c r="DR84" i="26"/>
  <c r="DS84" i="26"/>
  <c r="DT84" i="26"/>
  <c r="DU84" i="26"/>
  <c r="DW84" i="26"/>
  <c r="DX84" i="26"/>
  <c r="DY84" i="26"/>
  <c r="DZ84" i="26"/>
  <c r="EA84" i="26"/>
  <c r="EB84" i="26"/>
  <c r="EC84" i="26"/>
  <c r="ED84" i="26"/>
  <c r="EE84" i="26"/>
  <c r="EM84" i="26"/>
  <c r="EN84" i="26"/>
  <c r="EO84" i="26"/>
  <c r="EX84" i="26"/>
  <c r="EY84" i="26"/>
  <c r="EZ84" i="26"/>
  <c r="FA84" i="26"/>
  <c r="FB84" i="26"/>
  <c r="FC84" i="26"/>
  <c r="FD84" i="26"/>
  <c r="FE84" i="26"/>
  <c r="FF84" i="26"/>
  <c r="FG84" i="26"/>
  <c r="FH84" i="26"/>
  <c r="FI84" i="26"/>
  <c r="FJ84" i="26"/>
  <c r="FK84" i="26"/>
  <c r="FL84" i="26"/>
  <c r="FM84" i="26"/>
  <c r="FN84" i="26"/>
  <c r="FO84" i="26"/>
  <c r="FP84" i="26"/>
  <c r="FQ84" i="26"/>
  <c r="FR84" i="26"/>
  <c r="FS84" i="26"/>
  <c r="FT84" i="26"/>
  <c r="FU84" i="26"/>
  <c r="E85" i="26"/>
  <c r="G85" i="26"/>
  <c r="F85" i="26"/>
  <c r="H85" i="26"/>
  <c r="J85" i="26"/>
  <c r="K85" i="26"/>
  <c r="M85" i="26"/>
  <c r="N85" i="26"/>
  <c r="O85" i="26"/>
  <c r="X85" i="26"/>
  <c r="P85" i="26"/>
  <c r="S85" i="26"/>
  <c r="W85" i="26"/>
  <c r="AC85" i="26"/>
  <c r="AD85" i="26"/>
  <c r="AH85" i="26"/>
  <c r="AI85" i="26"/>
  <c r="AJ85" i="26"/>
  <c r="AT85" i="26"/>
  <c r="AV85" i="26"/>
  <c r="AW85" i="26"/>
  <c r="AX85" i="26"/>
  <c r="AY85" i="26"/>
  <c r="AZ85" i="26"/>
  <c r="BA85" i="26"/>
  <c r="BB85" i="26"/>
  <c r="BC85" i="26"/>
  <c r="BE85" i="26"/>
  <c r="BD85" i="26"/>
  <c r="BH85" i="26"/>
  <c r="BJ85" i="26"/>
  <c r="BK85" i="26"/>
  <c r="DD85" i="26"/>
  <c r="BL85" i="26"/>
  <c r="BM85" i="26"/>
  <c r="CG85" i="26"/>
  <c r="CQ85" i="26"/>
  <c r="DF85" i="26"/>
  <c r="BN85" i="26"/>
  <c r="BO85" i="26"/>
  <c r="BQ85" i="26"/>
  <c r="BS85" i="26"/>
  <c r="BR85" i="26"/>
  <c r="BW85" i="26"/>
  <c r="CC85" i="26"/>
  <c r="CH85" i="26"/>
  <c r="CI85" i="26"/>
  <c r="CJ85" i="26"/>
  <c r="CK85" i="26"/>
  <c r="CL85" i="26"/>
  <c r="CN85" i="26"/>
  <c r="CO85" i="26"/>
  <c r="CM85" i="26"/>
  <c r="CP85" i="26"/>
  <c r="CR85" i="26"/>
  <c r="CS85" i="26"/>
  <c r="CT85" i="26"/>
  <c r="CU85" i="26"/>
  <c r="DG85" i="26"/>
  <c r="DH85" i="26"/>
  <c r="DI85" i="26"/>
  <c r="DR85" i="26"/>
  <c r="DS85" i="26"/>
  <c r="DT85" i="26"/>
  <c r="DU85" i="26"/>
  <c r="DW85" i="26"/>
  <c r="DX85" i="26"/>
  <c r="DY85" i="26"/>
  <c r="DZ85" i="26"/>
  <c r="EA85" i="26"/>
  <c r="EB85" i="26"/>
  <c r="EC85" i="26"/>
  <c r="ED85" i="26"/>
  <c r="EE85" i="26"/>
  <c r="EM85" i="26"/>
  <c r="EN85" i="26"/>
  <c r="EO85" i="26"/>
  <c r="EX85" i="26"/>
  <c r="EY85" i="26"/>
  <c r="EZ85" i="26"/>
  <c r="FA85" i="26"/>
  <c r="FB85" i="26"/>
  <c r="FC85" i="26"/>
  <c r="FD85" i="26"/>
  <c r="FE85" i="26"/>
  <c r="FF85" i="26"/>
  <c r="FG85" i="26"/>
  <c r="FH85" i="26"/>
  <c r="FI85" i="26"/>
  <c r="FJ85" i="26"/>
  <c r="FK85" i="26"/>
  <c r="FL85" i="26"/>
  <c r="FM85" i="26"/>
  <c r="FN85" i="26"/>
  <c r="FO85" i="26"/>
  <c r="FP85" i="26"/>
  <c r="FQ85" i="26"/>
  <c r="FR85" i="26"/>
  <c r="FS85" i="26"/>
  <c r="FT85" i="26"/>
  <c r="FU85" i="26"/>
  <c r="E86" i="26"/>
  <c r="G86" i="26"/>
  <c r="F86" i="26"/>
  <c r="H86" i="26"/>
  <c r="J86" i="26"/>
  <c r="K86" i="26"/>
  <c r="M86" i="26"/>
  <c r="N86" i="26"/>
  <c r="O86" i="26"/>
  <c r="X86" i="26"/>
  <c r="P86" i="26"/>
  <c r="S86" i="26"/>
  <c r="W86" i="26"/>
  <c r="AB86" i="26"/>
  <c r="AC86" i="26"/>
  <c r="AD86" i="26"/>
  <c r="AH86" i="26"/>
  <c r="AI86" i="26"/>
  <c r="AJ86" i="26"/>
  <c r="AT86" i="26"/>
  <c r="AV86" i="26"/>
  <c r="AW86" i="26"/>
  <c r="AX86" i="26"/>
  <c r="AY86" i="26"/>
  <c r="AZ86" i="26"/>
  <c r="BA86" i="26"/>
  <c r="BB86" i="26"/>
  <c r="BC86" i="26"/>
  <c r="BE86" i="26"/>
  <c r="BD86" i="26"/>
  <c r="BH86" i="26"/>
  <c r="BJ86" i="26"/>
  <c r="BK86" i="26"/>
  <c r="DD86" i="26"/>
  <c r="BL86" i="26"/>
  <c r="BM86" i="26"/>
  <c r="CG86" i="26"/>
  <c r="CQ86" i="26"/>
  <c r="DF86" i="26"/>
  <c r="BN86" i="26"/>
  <c r="BO86" i="26"/>
  <c r="BQ86" i="26"/>
  <c r="BR86" i="26"/>
  <c r="BW86" i="26"/>
  <c r="CC86" i="26"/>
  <c r="CH86" i="26"/>
  <c r="CI86" i="26"/>
  <c r="CJ86" i="26"/>
  <c r="CK86" i="26"/>
  <c r="CL86" i="26"/>
  <c r="CN86" i="26"/>
  <c r="CO86" i="26"/>
  <c r="CM86" i="26"/>
  <c r="CP86" i="26"/>
  <c r="CR86" i="26"/>
  <c r="CS86" i="26"/>
  <c r="CT86" i="26"/>
  <c r="CU86" i="26"/>
  <c r="DG86" i="26"/>
  <c r="DH86" i="26"/>
  <c r="DI86" i="26"/>
  <c r="DR86" i="26"/>
  <c r="DS86" i="26"/>
  <c r="DT86" i="26"/>
  <c r="DU86" i="26"/>
  <c r="DW86" i="26"/>
  <c r="DX86" i="26"/>
  <c r="DY86" i="26"/>
  <c r="DZ86" i="26"/>
  <c r="EA86" i="26"/>
  <c r="EB86" i="26"/>
  <c r="EC86" i="26"/>
  <c r="ED86" i="26"/>
  <c r="EE86" i="26"/>
  <c r="EJ86" i="26"/>
  <c r="EM86" i="26"/>
  <c r="EN86" i="26"/>
  <c r="EO86" i="26"/>
  <c r="EX86" i="26"/>
  <c r="EY86" i="26"/>
  <c r="EZ86" i="26"/>
  <c r="FA86" i="26"/>
  <c r="FB86" i="26"/>
  <c r="FC86" i="26"/>
  <c r="FD86" i="26"/>
  <c r="FE86" i="26"/>
  <c r="FF86" i="26"/>
  <c r="FG86" i="26"/>
  <c r="FH86" i="26"/>
  <c r="FI86" i="26"/>
  <c r="FJ86" i="26"/>
  <c r="FK86" i="26"/>
  <c r="FL86" i="26"/>
  <c r="FM86" i="26"/>
  <c r="FN86" i="26"/>
  <c r="FO86" i="26"/>
  <c r="FP86" i="26"/>
  <c r="FQ86" i="26"/>
  <c r="FR86" i="26"/>
  <c r="FS86" i="26"/>
  <c r="FT86" i="26"/>
  <c r="FU86" i="26"/>
  <c r="E87" i="26"/>
  <c r="G87" i="26"/>
  <c r="F87" i="26"/>
  <c r="H87" i="26"/>
  <c r="J87" i="26"/>
  <c r="K87" i="26"/>
  <c r="M87" i="26"/>
  <c r="N87" i="26"/>
  <c r="O87" i="26"/>
  <c r="X87" i="26"/>
  <c r="P87" i="26"/>
  <c r="S87" i="26"/>
  <c r="W87" i="26"/>
  <c r="Z87" i="26"/>
  <c r="AC87" i="26"/>
  <c r="AD87" i="26"/>
  <c r="AH87" i="26"/>
  <c r="AI87" i="26"/>
  <c r="AK87" i="26"/>
  <c r="AJ87" i="26"/>
  <c r="AT87" i="26"/>
  <c r="AV87" i="26"/>
  <c r="AW87" i="26"/>
  <c r="AX87" i="26"/>
  <c r="AY87" i="26"/>
  <c r="AZ87" i="26"/>
  <c r="BA87" i="26"/>
  <c r="BB87" i="26"/>
  <c r="BC87" i="26"/>
  <c r="BE87" i="26"/>
  <c r="BD87" i="26"/>
  <c r="BH87" i="26"/>
  <c r="BJ87" i="26"/>
  <c r="BK87" i="26"/>
  <c r="DD87" i="26"/>
  <c r="BL87" i="26"/>
  <c r="BM87" i="26"/>
  <c r="CG87" i="26"/>
  <c r="CQ87" i="26"/>
  <c r="DF87" i="26"/>
  <c r="BN87" i="26"/>
  <c r="BO87" i="26"/>
  <c r="BQ87" i="26"/>
  <c r="BS87" i="26"/>
  <c r="BR87" i="26"/>
  <c r="BW87" i="26"/>
  <c r="CC87" i="26"/>
  <c r="CH87" i="26"/>
  <c r="CI87" i="26"/>
  <c r="CJ87" i="26"/>
  <c r="CK87" i="26"/>
  <c r="CL87" i="26"/>
  <c r="CN87" i="26"/>
  <c r="CO87" i="26"/>
  <c r="CM87" i="26"/>
  <c r="CP87" i="26"/>
  <c r="CR87" i="26"/>
  <c r="CS87" i="26"/>
  <c r="CT87" i="26"/>
  <c r="CU87" i="26"/>
  <c r="DG87" i="26"/>
  <c r="DH87" i="26"/>
  <c r="DI87" i="26"/>
  <c r="DR87" i="26"/>
  <c r="DS87" i="26"/>
  <c r="DT87" i="26"/>
  <c r="DU87" i="26"/>
  <c r="DW87" i="26"/>
  <c r="DX87" i="26"/>
  <c r="DY87" i="26"/>
  <c r="DZ87" i="26"/>
  <c r="EA87" i="26"/>
  <c r="EB87" i="26"/>
  <c r="EC87" i="26"/>
  <c r="ED87" i="26"/>
  <c r="EE87" i="26"/>
  <c r="EM87" i="26"/>
  <c r="EN87" i="26"/>
  <c r="EO87" i="26"/>
  <c r="EX87" i="26"/>
  <c r="EY87" i="26"/>
  <c r="EZ87" i="26"/>
  <c r="FA87" i="26"/>
  <c r="FB87" i="26"/>
  <c r="FC87" i="26"/>
  <c r="FD87" i="26"/>
  <c r="FE87" i="26"/>
  <c r="FF87" i="26"/>
  <c r="FG87" i="26"/>
  <c r="FH87" i="26"/>
  <c r="FI87" i="26"/>
  <c r="FJ87" i="26"/>
  <c r="FK87" i="26"/>
  <c r="FL87" i="26"/>
  <c r="FM87" i="26"/>
  <c r="FN87" i="26"/>
  <c r="FO87" i="26"/>
  <c r="FP87" i="26"/>
  <c r="FQ87" i="26"/>
  <c r="FR87" i="26"/>
  <c r="FS87" i="26"/>
  <c r="FT87" i="26"/>
  <c r="FU87" i="26"/>
  <c r="E88" i="26"/>
  <c r="G88" i="26"/>
  <c r="F88" i="26"/>
  <c r="H88" i="26"/>
  <c r="J88" i="26"/>
  <c r="K88" i="26"/>
  <c r="M88" i="26"/>
  <c r="N88" i="26"/>
  <c r="O88" i="26"/>
  <c r="Q88" i="26"/>
  <c r="S88" i="26"/>
  <c r="R88" i="26"/>
  <c r="W88" i="26"/>
  <c r="V88" i="26"/>
  <c r="X88" i="26"/>
  <c r="P88" i="26"/>
  <c r="AC88" i="26"/>
  <c r="AD88" i="26"/>
  <c r="AH88" i="26"/>
  <c r="AI88" i="26"/>
  <c r="AM88" i="26"/>
  <c r="AK88" i="26"/>
  <c r="AJ88" i="26"/>
  <c r="AO88" i="26"/>
  <c r="AT88" i="26"/>
  <c r="AV88" i="26"/>
  <c r="AW88" i="26"/>
  <c r="AX88" i="26"/>
  <c r="AY88" i="26"/>
  <c r="AZ88" i="26"/>
  <c r="BA88" i="26"/>
  <c r="BB88" i="26"/>
  <c r="BC88" i="26"/>
  <c r="BE88" i="26"/>
  <c r="BD88" i="26"/>
  <c r="BH88" i="26"/>
  <c r="BJ88" i="26"/>
  <c r="BK88" i="26"/>
  <c r="DD88" i="26"/>
  <c r="BL88" i="26"/>
  <c r="BM88" i="26"/>
  <c r="CG88" i="26"/>
  <c r="CQ88" i="26"/>
  <c r="DF88" i="26"/>
  <c r="BN88" i="26"/>
  <c r="BO88" i="26"/>
  <c r="BQ88" i="26"/>
  <c r="BS88" i="26"/>
  <c r="BR88" i="26"/>
  <c r="BW88" i="26"/>
  <c r="CC88" i="26"/>
  <c r="CH88" i="26"/>
  <c r="CI88" i="26"/>
  <c r="CJ88" i="26"/>
  <c r="CK88" i="26"/>
  <c r="CL88" i="26"/>
  <c r="CN88" i="26"/>
  <c r="CO88" i="26"/>
  <c r="CM88" i="26"/>
  <c r="CP88" i="26"/>
  <c r="CR88" i="26"/>
  <c r="CS88" i="26"/>
  <c r="CT88" i="26"/>
  <c r="CU88" i="26"/>
  <c r="DG88" i="26"/>
  <c r="DH88" i="26"/>
  <c r="DI88" i="26"/>
  <c r="DR88" i="26"/>
  <c r="DS88" i="26"/>
  <c r="DT88" i="26"/>
  <c r="DU88" i="26"/>
  <c r="DW88" i="26"/>
  <c r="DX88" i="26"/>
  <c r="DY88" i="26"/>
  <c r="DZ88" i="26"/>
  <c r="EA88" i="26"/>
  <c r="EB88" i="26"/>
  <c r="EC88" i="26"/>
  <c r="ED88" i="26"/>
  <c r="EE88" i="26"/>
  <c r="EL88" i="26"/>
  <c r="EM88" i="26"/>
  <c r="EN88" i="26"/>
  <c r="EO88" i="26"/>
  <c r="EX88" i="26"/>
  <c r="EY88" i="26"/>
  <c r="EZ88" i="26"/>
  <c r="FA88" i="26"/>
  <c r="FB88" i="26"/>
  <c r="FC88" i="26"/>
  <c r="FD88" i="26"/>
  <c r="FE88" i="26"/>
  <c r="FF88" i="26"/>
  <c r="FG88" i="26"/>
  <c r="FH88" i="26"/>
  <c r="FI88" i="26"/>
  <c r="FJ88" i="26"/>
  <c r="FK88" i="26"/>
  <c r="FL88" i="26"/>
  <c r="FM88" i="26"/>
  <c r="FN88" i="26"/>
  <c r="FO88" i="26"/>
  <c r="FP88" i="26"/>
  <c r="FQ88" i="26"/>
  <c r="FR88" i="26"/>
  <c r="FS88" i="26"/>
  <c r="FT88" i="26"/>
  <c r="FU88" i="26"/>
  <c r="E89" i="26"/>
  <c r="G89" i="26"/>
  <c r="F89" i="26"/>
  <c r="H89" i="26"/>
  <c r="J89" i="26"/>
  <c r="K89" i="26"/>
  <c r="M89" i="26"/>
  <c r="N89" i="26"/>
  <c r="O89" i="26"/>
  <c r="Q89" i="26"/>
  <c r="S89" i="26"/>
  <c r="R89" i="26"/>
  <c r="W89" i="26"/>
  <c r="V89" i="26"/>
  <c r="X89" i="26"/>
  <c r="P89" i="26"/>
  <c r="AD89" i="26"/>
  <c r="AC89" i="26"/>
  <c r="AH89" i="26"/>
  <c r="AI89" i="26"/>
  <c r="AM89" i="26"/>
  <c r="AK89" i="26"/>
  <c r="AJ89" i="26"/>
  <c r="AO89" i="26"/>
  <c r="AT89" i="26"/>
  <c r="AV89" i="26"/>
  <c r="AW89" i="26"/>
  <c r="AX89" i="26"/>
  <c r="AY89" i="26"/>
  <c r="AZ89" i="26"/>
  <c r="BA89" i="26"/>
  <c r="BB89" i="26"/>
  <c r="BC89" i="26"/>
  <c r="BE89" i="26"/>
  <c r="BD89" i="26"/>
  <c r="BH89" i="26"/>
  <c r="BJ89" i="26"/>
  <c r="BK89" i="26"/>
  <c r="DD89" i="26"/>
  <c r="BL89" i="26"/>
  <c r="BM89" i="26"/>
  <c r="CG89" i="26"/>
  <c r="CQ89" i="26"/>
  <c r="DF89" i="26"/>
  <c r="BN89" i="26"/>
  <c r="BO89" i="26"/>
  <c r="BQ89" i="26"/>
  <c r="BS89" i="26"/>
  <c r="BR89" i="26"/>
  <c r="BW89" i="26"/>
  <c r="CC89" i="26"/>
  <c r="CH89" i="26"/>
  <c r="CI89" i="26"/>
  <c r="CJ89" i="26"/>
  <c r="CK89" i="26"/>
  <c r="CL89" i="26"/>
  <c r="CN89" i="26"/>
  <c r="CO89" i="26"/>
  <c r="CM89" i="26"/>
  <c r="CP89" i="26"/>
  <c r="CR89" i="26"/>
  <c r="CS89" i="26"/>
  <c r="CT89" i="26"/>
  <c r="CU89" i="26"/>
  <c r="DG89" i="26"/>
  <c r="DH89" i="26"/>
  <c r="DI89" i="26"/>
  <c r="DR89" i="26"/>
  <c r="EC89" i="26"/>
  <c r="EM89" i="26"/>
  <c r="EX89" i="26"/>
  <c r="CW92" i="26"/>
  <c r="CX92" i="26"/>
  <c r="CY92" i="26"/>
  <c r="CZ92" i="26"/>
  <c r="DA92" i="26"/>
  <c r="DB92" i="26"/>
  <c r="DC92" i="26"/>
  <c r="DD92" i="26"/>
  <c r="DF92" i="26"/>
  <c r="CW93" i="26"/>
  <c r="CX93" i="26"/>
  <c r="CY93" i="26"/>
  <c r="CZ93" i="26"/>
  <c r="DA93" i="26"/>
  <c r="DB93" i="26"/>
  <c r="DC93" i="26"/>
  <c r="DD93" i="26"/>
  <c r="DF93" i="26"/>
  <c r="DV93" i="26"/>
  <c r="DW93" i="26"/>
  <c r="DX93" i="26"/>
  <c r="DY93" i="26"/>
  <c r="DZ93" i="26"/>
  <c r="EA93" i="26"/>
  <c r="EB93" i="26"/>
  <c r="EC93" i="26"/>
  <c r="ED93" i="26"/>
  <c r="EE93" i="26"/>
  <c r="EF93" i="26"/>
  <c r="EG93" i="26"/>
  <c r="EH93" i="26"/>
  <c r="EI93" i="26"/>
  <c r="EJ93" i="26"/>
  <c r="EK93" i="26"/>
  <c r="EL93" i="26"/>
  <c r="EM93" i="26"/>
  <c r="EN93" i="26"/>
  <c r="EO93" i="26"/>
  <c r="E94" i="26"/>
  <c r="N94" i="26"/>
  <c r="AT94" i="26"/>
  <c r="AU94" i="26"/>
  <c r="FA94" i="26" a="1"/>
  <c r="FA94" i="26"/>
  <c r="FB94" i="26" a="1"/>
  <c r="FB94" i="26"/>
  <c r="FC94" i="26" a="1"/>
  <c r="FC94" i="26"/>
  <c r="FD94" i="26" a="1"/>
  <c r="FD94" i="26"/>
  <c r="FE94" i="26" a="1"/>
  <c r="FE94" i="26"/>
  <c r="FF94" i="26" a="1"/>
  <c r="FF94" i="26"/>
  <c r="FG94" i="26" a="1"/>
  <c r="FG94" i="26"/>
  <c r="FH94" i="26" a="1"/>
  <c r="FH94" i="26"/>
  <c r="FI94" i="26" a="1"/>
  <c r="FI94" i="26"/>
  <c r="FJ94" i="26" a="1"/>
  <c r="FJ94" i="26"/>
  <c r="FK94" i="26" a="1"/>
  <c r="FK94" i="26"/>
  <c r="FL94" i="26"/>
  <c r="FM94" i="26"/>
  <c r="FN94" i="26"/>
  <c r="FO94" i="26"/>
  <c r="FP94" i="26"/>
  <c r="FQ94" i="26"/>
  <c r="FR94" i="26"/>
  <c r="FS94" i="26"/>
  <c r="FT94" i="26"/>
  <c r="FU94" i="26"/>
  <c r="E95" i="26"/>
  <c r="N95" i="26"/>
  <c r="AJ95" i="26"/>
  <c r="AT95" i="26"/>
  <c r="AU95" i="26"/>
  <c r="FA95" i="26" a="1"/>
  <c r="FA95" i="26"/>
  <c r="FB95" i="26" a="1"/>
  <c r="FB95" i="26"/>
  <c r="FC95" i="26" a="1"/>
  <c r="FC95" i="26"/>
  <c r="FD95" i="26" a="1"/>
  <c r="FD95" i="26"/>
  <c r="FE95" i="26" a="1"/>
  <c r="FE95" i="26"/>
  <c r="FF95" i="26" a="1"/>
  <c r="FF95" i="26"/>
  <c r="FG95" i="26" a="1"/>
  <c r="FG95" i="26"/>
  <c r="FH95" i="26" a="1"/>
  <c r="FH95" i="26"/>
  <c r="FI95" i="26" a="1"/>
  <c r="FI95" i="26"/>
  <c r="FJ95" i="26" a="1"/>
  <c r="FJ95" i="26"/>
  <c r="FK95" i="26" a="1"/>
  <c r="FK95" i="26"/>
  <c r="FL95" i="26"/>
  <c r="FM95" i="26"/>
  <c r="FN95" i="26"/>
  <c r="FO95" i="26"/>
  <c r="FP95" i="26"/>
  <c r="FQ95" i="26"/>
  <c r="FR95" i="26"/>
  <c r="FS95" i="26"/>
  <c r="FT95" i="26"/>
  <c r="FU95" i="26"/>
  <c r="E96" i="26"/>
  <c r="N96" i="26"/>
  <c r="AI96" i="26"/>
  <c r="AJ96" i="26"/>
  <c r="AT96" i="26"/>
  <c r="AU96" i="26"/>
  <c r="AV96" i="26"/>
  <c r="AW96" i="26"/>
  <c r="AX96" i="26"/>
  <c r="AY96" i="26"/>
  <c r="AZ96" i="26"/>
  <c r="BA96" i="26"/>
  <c r="BB96" i="26"/>
  <c r="FA96" i="26" a="1"/>
  <c r="FA96" i="26"/>
  <c r="FB96" i="26" a="1"/>
  <c r="FB96" i="26"/>
  <c r="FC96" i="26" a="1"/>
  <c r="FC96" i="26"/>
  <c r="FD96" i="26" a="1"/>
  <c r="FD96" i="26"/>
  <c r="FE96" i="26" a="1"/>
  <c r="FE96" i="26"/>
  <c r="FF96" i="26" a="1"/>
  <c r="FF96" i="26"/>
  <c r="FG96" i="26" a="1"/>
  <c r="FG96" i="26"/>
  <c r="FH96" i="26" a="1"/>
  <c r="FH96" i="26"/>
  <c r="FI96" i="26" a="1"/>
  <c r="FI96" i="26"/>
  <c r="FJ96" i="26" a="1"/>
  <c r="FJ96" i="26"/>
  <c r="FK96" i="26" a="1"/>
  <c r="FK96" i="26"/>
  <c r="E106" i="26"/>
  <c r="N106" i="26"/>
  <c r="AI106" i="26"/>
  <c r="AT106" i="26"/>
  <c r="AU106" i="26"/>
  <c r="AV106" i="26"/>
  <c r="AW106" i="26"/>
  <c r="AX106" i="26"/>
  <c r="AY106" i="26"/>
  <c r="AZ106" i="26"/>
  <c r="BA106" i="26"/>
  <c r="BB106" i="26"/>
  <c r="FA106" i="26" a="1"/>
  <c r="FA106" i="26"/>
  <c r="FB106" i="26" a="1"/>
  <c r="FB106" i="26"/>
  <c r="FC106" i="26" a="1"/>
  <c r="FC106" i="26"/>
  <c r="FD106" i="26" a="1"/>
  <c r="FD106" i="26"/>
  <c r="FE106" i="26" a="1"/>
  <c r="FE106" i="26"/>
  <c r="FF106" i="26" a="1"/>
  <c r="FF106" i="26"/>
  <c r="FG106" i="26" a="1"/>
  <c r="FG106" i="26"/>
  <c r="FH106" i="26" a="1"/>
  <c r="FH106" i="26"/>
  <c r="FI106" i="26" a="1"/>
  <c r="FI106" i="26"/>
  <c r="FJ106" i="26" a="1"/>
  <c r="FJ106" i="26"/>
  <c r="FK106" i="26" a="1"/>
  <c r="FK106" i="26"/>
  <c r="FL106" i="26"/>
  <c r="FM106" i="26"/>
  <c r="FN106" i="26"/>
  <c r="FO106" i="26"/>
  <c r="FP106" i="26"/>
  <c r="FQ106" i="26"/>
  <c r="FR106" i="26"/>
  <c r="FS106" i="26"/>
  <c r="FT106" i="26"/>
  <c r="FU106" i="26"/>
  <c r="E116" i="26"/>
  <c r="N116" i="26"/>
  <c r="AI116" i="26"/>
  <c r="AT116" i="26"/>
  <c r="AU116" i="26"/>
  <c r="AV116" i="26"/>
  <c r="AW116" i="26"/>
  <c r="AX116" i="26"/>
  <c r="AY116" i="26"/>
  <c r="AZ116" i="26"/>
  <c r="BA116" i="26"/>
  <c r="BB116" i="26"/>
  <c r="FA116" i="26" a="1"/>
  <c r="FA116" i="26"/>
  <c r="FB116" i="26" a="1"/>
  <c r="FB116" i="26"/>
  <c r="FC116" i="26" a="1"/>
  <c r="FC116" i="26"/>
  <c r="FD116" i="26" a="1"/>
  <c r="FD116" i="26"/>
  <c r="FE116" i="26" a="1"/>
  <c r="FE116" i="26"/>
  <c r="FF116" i="26" a="1"/>
  <c r="FF116" i="26"/>
  <c r="FG116" i="26" a="1"/>
  <c r="FG116" i="26"/>
  <c r="FH116" i="26" a="1"/>
  <c r="FH116" i="26"/>
  <c r="FI116" i="26" a="1"/>
  <c r="FI116" i="26"/>
  <c r="FJ116" i="26" a="1"/>
  <c r="FJ116" i="26"/>
  <c r="FK116" i="26" a="1"/>
  <c r="FK116" i="26"/>
  <c r="FL116" i="26"/>
  <c r="FM116" i="26"/>
  <c r="FN116" i="26"/>
  <c r="FO116" i="26"/>
  <c r="FP116" i="26"/>
  <c r="FQ116" i="26"/>
  <c r="FR116" i="26"/>
  <c r="FS116" i="26"/>
  <c r="FT116" i="26"/>
  <c r="FU116" i="26"/>
  <c r="E126" i="26"/>
  <c r="N126" i="26"/>
  <c r="AI126" i="26"/>
  <c r="AJ126" i="26"/>
  <c r="AT126" i="26"/>
  <c r="AU126" i="26"/>
  <c r="AV126" i="26"/>
  <c r="AW126" i="26"/>
  <c r="AX126" i="26"/>
  <c r="AY126" i="26"/>
  <c r="AZ126" i="26"/>
  <c r="BA126" i="26"/>
  <c r="BB126" i="26"/>
  <c r="E136" i="26"/>
  <c r="N136" i="26"/>
  <c r="AI136" i="26"/>
  <c r="AT136" i="26"/>
  <c r="AU136" i="26"/>
  <c r="AV136" i="26"/>
  <c r="AW136" i="26"/>
  <c r="AX136" i="26"/>
  <c r="AY136" i="26"/>
  <c r="AZ136" i="26"/>
  <c r="BA136" i="26"/>
  <c r="BB136" i="26"/>
  <c r="E146" i="26"/>
  <c r="N146" i="26"/>
  <c r="AI146" i="26"/>
  <c r="AJ146" i="26"/>
  <c r="AT146" i="26"/>
  <c r="AU146" i="26"/>
  <c r="AV146" i="26"/>
  <c r="AW146" i="26"/>
  <c r="AX146" i="26"/>
  <c r="AY146" i="26"/>
  <c r="AZ146" i="26"/>
  <c r="BA146" i="26"/>
  <c r="BB146" i="26"/>
  <c r="E156" i="26"/>
  <c r="N156" i="26"/>
  <c r="AT156" i="26"/>
  <c r="AU156" i="26"/>
  <c r="AV156" i="26"/>
  <c r="AW156" i="26"/>
  <c r="AX156" i="26"/>
  <c r="AY156" i="26"/>
  <c r="AZ156" i="26"/>
  <c r="BA156" i="26"/>
  <c r="BB156" i="26"/>
  <c r="L14" i="6"/>
  <c r="H14" i="6"/>
  <c r="J14" i="6"/>
  <c r="P14" i="6"/>
  <c r="K14" i="6"/>
  <c r="H3" i="6"/>
  <c r="J3" i="6"/>
  <c r="M9" i="6"/>
  <c r="M8" i="6"/>
  <c r="M7" i="6"/>
  <c r="M6" i="6"/>
  <c r="M5" i="6"/>
  <c r="M4" i="6"/>
  <c r="M3" i="6"/>
  <c r="P3" i="6"/>
  <c r="K3" i="6"/>
  <c r="H4" i="6"/>
  <c r="J4" i="6"/>
  <c r="P4" i="6"/>
  <c r="K4" i="6"/>
  <c r="H5" i="6"/>
  <c r="J5" i="6"/>
  <c r="P5" i="6"/>
  <c r="K5" i="6"/>
  <c r="H6" i="6"/>
  <c r="J6" i="6"/>
  <c r="P6" i="6"/>
  <c r="K6" i="6"/>
  <c r="F14" i="6"/>
  <c r="F7" i="6"/>
  <c r="H7" i="6"/>
  <c r="J7" i="6"/>
  <c r="P7" i="6"/>
  <c r="K7" i="6"/>
  <c r="F8" i="6"/>
  <c r="H8" i="6"/>
  <c r="J8" i="6"/>
  <c r="P8" i="6"/>
  <c r="K8" i="6"/>
  <c r="F9" i="6"/>
  <c r="H9" i="6"/>
  <c r="J9" i="6"/>
  <c r="P9" i="6"/>
  <c r="K9" i="6"/>
  <c r="F10" i="6"/>
  <c r="H10" i="6"/>
  <c r="J10" i="6"/>
  <c r="P10" i="6"/>
  <c r="K10" i="6"/>
  <c r="H11" i="6"/>
  <c r="J11" i="6"/>
  <c r="P11" i="6"/>
  <c r="K11" i="6"/>
  <c r="F12" i="6"/>
  <c r="H12" i="6"/>
  <c r="J12" i="6"/>
  <c r="P12" i="6"/>
  <c r="K12" i="6"/>
  <c r="F13" i="6"/>
  <c r="H13" i="6"/>
  <c r="J13" i="6"/>
  <c r="P13" i="6"/>
  <c r="K13" i="6"/>
  <c r="L9" i="6"/>
  <c r="L10" i="6"/>
  <c r="L11" i="6"/>
  <c r="L12" i="6"/>
  <c r="L13" i="6"/>
  <c r="J13" i="25"/>
  <c r="J14" i="25"/>
  <c r="J26" i="25"/>
  <c r="J37" i="25"/>
  <c r="J38" i="25"/>
  <c r="J39" i="25"/>
  <c r="K27" i="9"/>
  <c r="K30" i="9"/>
  <c r="M27" i="9"/>
  <c r="M30" i="9"/>
  <c r="N27" i="9"/>
  <c r="N30" i="9"/>
  <c r="C35" i="18"/>
  <c r="L27" i="9"/>
  <c r="L30" i="9"/>
  <c r="C36" i="18"/>
  <c r="C37" i="18"/>
  <c r="J27" i="9"/>
  <c r="J30" i="9"/>
  <c r="C38" i="18"/>
  <c r="I27" i="9"/>
  <c r="I30" i="9"/>
  <c r="C39" i="18"/>
  <c r="I28" i="9"/>
  <c r="I29" i="9"/>
  <c r="B39" i="18"/>
  <c r="J28" i="9"/>
  <c r="J29" i="9"/>
  <c r="B38" i="18"/>
  <c r="K28" i="9"/>
  <c r="K29" i="9"/>
  <c r="B37" i="18"/>
  <c r="L28" i="9"/>
  <c r="L29" i="9"/>
  <c r="B36" i="18"/>
  <c r="M28" i="9"/>
  <c r="M29" i="9"/>
  <c r="B35" i="18"/>
  <c r="H27" i="9"/>
  <c r="N28" i="9"/>
  <c r="H28" i="9"/>
  <c r="N29" i="9"/>
  <c r="H29" i="9"/>
  <c r="H30" i="9"/>
  <c r="H24" i="9"/>
  <c r="H26" i="9"/>
  <c r="H4" i="9"/>
  <c r="H25" i="9"/>
  <c r="C5" i="16"/>
  <c r="B5" i="16"/>
  <c r="B25" i="16"/>
  <c r="D25" i="16"/>
  <c r="D5" i="16"/>
  <c r="F5" i="16"/>
  <c r="B5" i="24"/>
  <c r="H10" i="10"/>
  <c r="F10" i="10"/>
  <c r="H9" i="10"/>
  <c r="F9" i="10"/>
  <c r="B13" i="24"/>
  <c r="H5" i="10"/>
  <c r="F5" i="10"/>
  <c r="H6" i="10"/>
  <c r="H7" i="10"/>
  <c r="F7" i="10"/>
  <c r="F6" i="10"/>
  <c r="F4" i="10"/>
  <c r="F3" i="10"/>
  <c r="J13" i="24"/>
  <c r="C18" i="16"/>
  <c r="B18" i="16"/>
  <c r="E18" i="16"/>
  <c r="D18" i="16"/>
  <c r="F18" i="16"/>
  <c r="I18" i="16"/>
  <c r="P18" i="16"/>
  <c r="O18" i="16"/>
  <c r="Q18" i="16"/>
  <c r="M18" i="16"/>
  <c r="C19" i="16"/>
  <c r="B19" i="16"/>
  <c r="D19" i="16"/>
  <c r="F19" i="16"/>
  <c r="I19" i="16"/>
  <c r="P19" i="16"/>
  <c r="C20" i="16"/>
  <c r="B20" i="16"/>
  <c r="E20" i="16"/>
  <c r="D20" i="16"/>
  <c r="F20" i="16"/>
  <c r="I20" i="16"/>
  <c r="P20" i="16"/>
  <c r="C21" i="16"/>
  <c r="B21" i="16"/>
  <c r="E21" i="16"/>
  <c r="D21" i="16"/>
  <c r="F21" i="16"/>
  <c r="I21" i="16"/>
  <c r="P21" i="16"/>
  <c r="F25" i="16"/>
  <c r="F22" i="16"/>
  <c r="I22" i="16"/>
  <c r="P22" i="16"/>
  <c r="F23" i="16"/>
  <c r="I23" i="16"/>
  <c r="P23" i="16"/>
  <c r="C24" i="16"/>
  <c r="B24" i="16"/>
  <c r="E24" i="16"/>
  <c r="D24" i="16"/>
  <c r="F24" i="16"/>
  <c r="I24" i="16"/>
  <c r="P24" i="16"/>
  <c r="B4" i="9"/>
  <c r="H5" i="9"/>
  <c r="B5" i="9"/>
  <c r="C5" i="9"/>
  <c r="C6" i="16"/>
  <c r="B6" i="16"/>
  <c r="E6" i="16"/>
  <c r="D6" i="16"/>
  <c r="F6" i="16"/>
  <c r="I6" i="16"/>
  <c r="P6" i="16"/>
  <c r="H6" i="9"/>
  <c r="B6" i="9"/>
  <c r="C6" i="9"/>
  <c r="C7" i="16"/>
  <c r="B7" i="16"/>
  <c r="E7" i="16"/>
  <c r="D7" i="16"/>
  <c r="F7" i="16"/>
  <c r="I7" i="16"/>
  <c r="P7" i="16"/>
  <c r="H7" i="9"/>
  <c r="B7" i="9"/>
  <c r="C7" i="9"/>
  <c r="C8" i="16"/>
  <c r="B8" i="16"/>
  <c r="E8" i="16"/>
  <c r="D8" i="16"/>
  <c r="F8" i="16"/>
  <c r="I8" i="16"/>
  <c r="P8" i="16"/>
  <c r="H8" i="9"/>
  <c r="B8" i="9"/>
  <c r="C8" i="9"/>
  <c r="C9" i="16"/>
  <c r="B9" i="16"/>
  <c r="E9" i="16"/>
  <c r="D9" i="16"/>
  <c r="F9" i="16"/>
  <c r="I9" i="16"/>
  <c r="P9" i="16"/>
  <c r="H9" i="9"/>
  <c r="B9" i="9"/>
  <c r="C9" i="9"/>
  <c r="C10" i="16"/>
  <c r="B10" i="16"/>
  <c r="E10" i="16"/>
  <c r="D10" i="16"/>
  <c r="F10" i="16"/>
  <c r="I10" i="16"/>
  <c r="P10" i="16"/>
  <c r="H10" i="9"/>
  <c r="B10" i="9"/>
  <c r="C10" i="9"/>
  <c r="C11" i="16"/>
  <c r="B11" i="16"/>
  <c r="E11" i="16"/>
  <c r="D11" i="16"/>
  <c r="F11" i="16"/>
  <c r="I11" i="16"/>
  <c r="P11" i="16"/>
  <c r="H11" i="9"/>
  <c r="B11" i="9"/>
  <c r="C11" i="9"/>
  <c r="C12" i="16"/>
  <c r="B12" i="16"/>
  <c r="E12" i="16"/>
  <c r="D12" i="16"/>
  <c r="F12" i="16"/>
  <c r="I12" i="16"/>
  <c r="P12" i="16"/>
  <c r="H12" i="9"/>
  <c r="B12" i="9"/>
  <c r="C12" i="9"/>
  <c r="C13" i="16"/>
  <c r="B13" i="16"/>
  <c r="E13" i="16"/>
  <c r="D13" i="16"/>
  <c r="F13" i="16"/>
  <c r="I13" i="16"/>
  <c r="P13" i="16"/>
  <c r="H13" i="9"/>
  <c r="B13" i="9"/>
  <c r="C13" i="9"/>
  <c r="C14" i="16"/>
  <c r="B14" i="16"/>
  <c r="E14" i="16"/>
  <c r="D14" i="16"/>
  <c r="F14" i="16"/>
  <c r="I14" i="16"/>
  <c r="P14" i="16"/>
  <c r="H14" i="9"/>
  <c r="B14" i="9"/>
  <c r="C14" i="9"/>
  <c r="C15" i="16"/>
  <c r="B15" i="16"/>
  <c r="E15" i="16"/>
  <c r="D15" i="16"/>
  <c r="F15" i="16"/>
  <c r="I15" i="16"/>
  <c r="P15" i="16"/>
  <c r="H15" i="9"/>
  <c r="B15" i="9"/>
  <c r="C15" i="9"/>
  <c r="C16" i="16"/>
  <c r="B16" i="16"/>
  <c r="E16" i="16"/>
  <c r="D16" i="16"/>
  <c r="F16" i="16"/>
  <c r="I16" i="16"/>
  <c r="P16" i="16"/>
  <c r="I16" i="9"/>
  <c r="J16" i="9"/>
  <c r="K16" i="9"/>
  <c r="L16" i="9"/>
  <c r="M16" i="9"/>
  <c r="N16" i="9"/>
  <c r="H16" i="9"/>
  <c r="B16" i="9"/>
  <c r="C16" i="9"/>
  <c r="C17" i="16"/>
  <c r="B17" i="16"/>
  <c r="E17" i="16"/>
  <c r="D17" i="16"/>
  <c r="F17" i="16"/>
  <c r="I17" i="16"/>
  <c r="P17" i="16"/>
  <c r="P5" i="16"/>
  <c r="P25" i="16"/>
  <c r="O19" i="16"/>
  <c r="O20" i="16"/>
  <c r="O21" i="16"/>
  <c r="O22" i="16"/>
  <c r="O23" i="16"/>
  <c r="O24" i="16"/>
  <c r="O6" i="16"/>
  <c r="O7" i="16"/>
  <c r="O8" i="16"/>
  <c r="O9" i="16"/>
  <c r="O10" i="16"/>
  <c r="O11" i="16"/>
  <c r="O12" i="16"/>
  <c r="O13" i="16"/>
  <c r="O14" i="16"/>
  <c r="O15" i="16"/>
  <c r="O16" i="16"/>
  <c r="J17" i="16"/>
  <c r="O17" i="16"/>
  <c r="O5" i="16"/>
  <c r="O25" i="16"/>
  <c r="Q19" i="16"/>
  <c r="Q20" i="16"/>
  <c r="Q21" i="16"/>
  <c r="Q22" i="16"/>
  <c r="Q23" i="16"/>
  <c r="Q24" i="16"/>
  <c r="Q6" i="16"/>
  <c r="Q7" i="16"/>
  <c r="Q8" i="16"/>
  <c r="Q9" i="16"/>
  <c r="Q10" i="16"/>
  <c r="Q11" i="16"/>
  <c r="Q12" i="16"/>
  <c r="Q13" i="16"/>
  <c r="Q14" i="16"/>
  <c r="Q15" i="16"/>
  <c r="Q16" i="16"/>
  <c r="Q17" i="16"/>
  <c r="Q5" i="16"/>
  <c r="Q25" i="16"/>
  <c r="M25" i="16"/>
  <c r="N18" i="16"/>
  <c r="D13" i="24"/>
  <c r="D12" i="24"/>
  <c r="M24" i="16"/>
  <c r="N24" i="16"/>
  <c r="D11" i="24"/>
  <c r="M23" i="16"/>
  <c r="N23" i="16"/>
  <c r="D10" i="24"/>
  <c r="M21" i="16"/>
  <c r="N21" i="16"/>
  <c r="D9" i="24"/>
  <c r="M20" i="16"/>
  <c r="N20" i="16"/>
  <c r="D8" i="24"/>
  <c r="M19" i="16"/>
  <c r="N19" i="16"/>
  <c r="D7" i="24"/>
  <c r="M22" i="16"/>
  <c r="N22" i="16"/>
  <c r="D6" i="24"/>
  <c r="M5" i="16"/>
  <c r="N5" i="16"/>
  <c r="D5" i="24"/>
  <c r="M6" i="16"/>
  <c r="N6" i="16"/>
  <c r="M7" i="16"/>
  <c r="N7" i="16"/>
  <c r="M8" i="16"/>
  <c r="N8" i="16"/>
  <c r="M9" i="16"/>
  <c r="N9" i="16"/>
  <c r="M10" i="16"/>
  <c r="N10" i="16"/>
  <c r="M11" i="16"/>
  <c r="N11" i="16"/>
  <c r="M12" i="16"/>
  <c r="N12" i="16"/>
  <c r="M13" i="16"/>
  <c r="N13" i="16"/>
  <c r="M14" i="16"/>
  <c r="N14" i="16"/>
  <c r="M15" i="16"/>
  <c r="N15" i="16"/>
  <c r="M16" i="16"/>
  <c r="N16" i="16"/>
  <c r="M17" i="16"/>
  <c r="N17" i="16"/>
  <c r="N25" i="16"/>
  <c r="G18" i="16"/>
  <c r="C12" i="24"/>
  <c r="G24" i="16"/>
  <c r="C11" i="24"/>
  <c r="C10" i="24"/>
  <c r="G21" i="16"/>
  <c r="C9" i="24"/>
  <c r="G20" i="16"/>
  <c r="C8" i="24"/>
  <c r="G19" i="16"/>
  <c r="C7" i="24"/>
  <c r="C6" i="24"/>
  <c r="G5" i="16"/>
  <c r="C5" i="24"/>
  <c r="B11" i="24"/>
  <c r="B10" i="24"/>
  <c r="B9" i="24"/>
  <c r="B8" i="24"/>
  <c r="B7" i="24"/>
  <c r="C22" i="16"/>
  <c r="B22" i="16"/>
  <c r="C23" i="16"/>
  <c r="B23" i="16"/>
  <c r="D23" i="16"/>
  <c r="E23" i="16"/>
  <c r="D22" i="16"/>
  <c r="E22" i="16"/>
  <c r="B6" i="24"/>
  <c r="C13" i="24"/>
  <c r="M12" i="24"/>
  <c r="L12" i="24"/>
  <c r="K12" i="24"/>
  <c r="J12" i="24"/>
  <c r="J11" i="24"/>
  <c r="J10" i="24"/>
  <c r="J9" i="24"/>
  <c r="J8" i="24"/>
  <c r="M7" i="24"/>
  <c r="L7" i="24"/>
  <c r="K7" i="24"/>
  <c r="J7" i="24"/>
  <c r="M5" i="24"/>
  <c r="R22" i="16"/>
  <c r="S22" i="16"/>
  <c r="R23" i="16"/>
  <c r="S23" i="16"/>
  <c r="C47" i="23"/>
  <c r="G47" i="23"/>
  <c r="J40" i="23"/>
  <c r="J35" i="23"/>
  <c r="J28" i="23"/>
  <c r="J24" i="23"/>
  <c r="J14" i="23"/>
  <c r="B19" i="9"/>
  <c r="B23" i="9"/>
  <c r="B22" i="9"/>
  <c r="B21" i="9"/>
  <c r="B20" i="9"/>
  <c r="B18" i="9"/>
  <c r="B17" i="9"/>
  <c r="C19" i="9"/>
  <c r="H23" i="9"/>
  <c r="C22" i="9"/>
  <c r="C21" i="9"/>
  <c r="H22" i="9"/>
  <c r="H21" i="9"/>
  <c r="P15" i="6"/>
  <c r="D5" i="9"/>
  <c r="D6" i="9"/>
  <c r="D7" i="9"/>
  <c r="D8" i="9"/>
  <c r="D9" i="9"/>
  <c r="D10" i="9"/>
  <c r="D11" i="9"/>
  <c r="D12" i="9"/>
  <c r="D13" i="9"/>
  <c r="D14" i="9"/>
  <c r="D15" i="9"/>
  <c r="D16" i="9"/>
  <c r="D4" i="9"/>
  <c r="D17" i="9"/>
  <c r="D18" i="9"/>
  <c r="D19" i="9"/>
  <c r="D20" i="9"/>
  <c r="D23" i="9"/>
  <c r="D24" i="9"/>
  <c r="I5" i="16"/>
  <c r="I25" i="16"/>
  <c r="P27" i="16"/>
  <c r="R6" i="16"/>
  <c r="S6" i="16"/>
  <c r="R7" i="16"/>
  <c r="S7" i="16"/>
  <c r="R8" i="16"/>
  <c r="S8" i="16"/>
  <c r="R9" i="16"/>
  <c r="S9" i="16"/>
  <c r="R10" i="16"/>
  <c r="S10" i="16"/>
  <c r="R11" i="16"/>
  <c r="S11" i="16"/>
  <c r="R12" i="16"/>
  <c r="S12" i="16"/>
  <c r="R13" i="16"/>
  <c r="S13" i="16"/>
  <c r="R14" i="16"/>
  <c r="S14" i="16"/>
  <c r="R15" i="16"/>
  <c r="S15" i="16"/>
  <c r="R16" i="16"/>
  <c r="S16" i="16"/>
  <c r="R17" i="16"/>
  <c r="S17" i="16"/>
  <c r="R19" i="16"/>
  <c r="S19" i="16"/>
  <c r="R20" i="16"/>
  <c r="S20" i="16"/>
  <c r="R21" i="16"/>
  <c r="S21" i="16"/>
  <c r="R24" i="16"/>
  <c r="S24" i="16"/>
  <c r="R25" i="16"/>
  <c r="S25" i="16"/>
  <c r="R5" i="16"/>
  <c r="S5" i="16"/>
  <c r="R18" i="16"/>
  <c r="G6" i="16"/>
  <c r="G7" i="16"/>
  <c r="G8" i="16"/>
  <c r="G9" i="16"/>
  <c r="G10" i="16"/>
  <c r="G11" i="16"/>
  <c r="G12" i="16"/>
  <c r="G13" i="16"/>
  <c r="G14" i="16"/>
  <c r="G15" i="16"/>
  <c r="G16" i="16"/>
  <c r="G17" i="16"/>
  <c r="G25" i="16"/>
  <c r="E25" i="16"/>
  <c r="C25" i="16"/>
  <c r="C15" i="6"/>
  <c r="D15" i="6"/>
  <c r="E15" i="6"/>
  <c r="G15" i="6"/>
  <c r="H15" i="6"/>
  <c r="J15" i="6"/>
  <c r="M15" i="6"/>
  <c r="B15" i="6"/>
  <c r="H3" i="10"/>
  <c r="H4" i="10"/>
  <c r="G4" i="10"/>
  <c r="B25" i="9"/>
  <c r="C24" i="9"/>
  <c r="L3" i="6"/>
  <c r="L8" i="6"/>
  <c r="L7" i="6"/>
  <c r="L6" i="6"/>
  <c r="L5" i="6"/>
  <c r="L4" i="6"/>
  <c r="G6" i="10"/>
  <c r="G10" i="10"/>
</calcChain>
</file>

<file path=xl/sharedStrings.xml><?xml version="1.0" encoding="utf-8"?>
<sst xmlns="http://schemas.openxmlformats.org/spreadsheetml/2006/main" count="444" uniqueCount="325">
  <si>
    <t>Share belonging to Europeans</t>
  </si>
  <si>
    <t>Fraction of Europe's financial wealth held in Switzerland</t>
  </si>
  <si>
    <t>Fiduciary deposits</t>
  </si>
  <si>
    <t>Of which: foreign securities belonging to foreigners</t>
  </si>
  <si>
    <t>Of which: Swiss securities belonging to foreigners, undeclared</t>
  </si>
  <si>
    <t>Of which: foreign securities wrongly attributed to Switzerland</t>
  </si>
  <si>
    <t>Total offshore wealth in Switzerland</t>
  </si>
  <si>
    <t>Securities in custody in Swiss banks</t>
  </si>
  <si>
    <t>Memo: Europe national income</t>
  </si>
  <si>
    <t>Europe's wealth in all tax havens</t>
  </si>
  <si>
    <t>Fraction of securities in custody in Switzerland held offshore by foreigners</t>
  </si>
  <si>
    <t>European fortunes in Switzerland</t>
  </si>
  <si>
    <t>(Memo: UK + France + Germany national income)</t>
  </si>
  <si>
    <t>Memo: Europe net financial wealth/national income</t>
  </si>
  <si>
    <t>Memo: Europe's net financial wealth</t>
  </si>
  <si>
    <t>Africa</t>
  </si>
  <si>
    <t>Europe</t>
  </si>
  <si>
    <t>Total</t>
  </si>
  <si>
    <t>UK deposits are divided by 4 to account for sham corporations; this is very uncertain</t>
  </si>
  <si>
    <t>Non-oil Middle East countries (about 2%) are merged with Africa (which thus increases from 5% to 7%)</t>
  </si>
  <si>
    <t>dollars</t>
  </si>
  <si>
    <t>m x mu</t>
  </si>
  <si>
    <t>r (nominal)</t>
  </si>
  <si>
    <t>Tax havens</t>
  </si>
  <si>
    <t>Middle East</t>
  </si>
  <si>
    <t>Latin and South America</t>
  </si>
  <si>
    <t>Asia</t>
  </si>
  <si>
    <t>North America</t>
  </si>
  <si>
    <t>(Memo: Caribbean)</t>
  </si>
  <si>
    <t>Notes: Continental shares are from Zucman (2013, Table A26, line for 2004, the last year which is note contaminated by the saving directive), with the following changes:</t>
  </si>
  <si>
    <t>En 2013, la fraude permise par le secret bancaire a coûé 130 milliards d'euros aux États du monde entier.</t>
  </si>
  <si>
    <t>Clearstream (Luxembourg)</t>
  </si>
  <si>
    <t>Euroclear France (France)</t>
  </si>
  <si>
    <t>Despository Trust Corporation     (USA)</t>
  </si>
  <si>
    <t>Finance</t>
  </si>
  <si>
    <r>
      <t xml:space="preserve">Of which inheritance tax:      </t>
    </r>
    <r>
      <rPr>
        <b/>
        <sz val="15.7"/>
        <rFont val="Arial"/>
      </rPr>
      <t>$55bn</t>
    </r>
  </si>
  <si>
    <r>
      <t>Of which declared:             $</t>
    </r>
    <r>
      <rPr>
        <b/>
        <sz val="15.7"/>
        <rFont val="Arial"/>
      </rPr>
      <t xml:space="preserve">1,500bn </t>
    </r>
    <r>
      <rPr>
        <sz val="15.7"/>
        <rFont val="Arial"/>
      </rPr>
      <t xml:space="preserve">              (20%)</t>
    </r>
  </si>
  <si>
    <t>Who owns Swiss accounts</t>
  </si>
  <si>
    <t>Other central securities depositories &amp; other sources</t>
  </si>
  <si>
    <t>Other tax administrations</t>
  </si>
  <si>
    <t>The companies Clearstream, Euroclear, etc. feed the world financial register.  Tax authorities can verify that tax-payers indeed declare all the financial securities included in the register</t>
  </si>
  <si>
    <t>The case for a world financial register</t>
  </si>
  <si>
    <t>World financial register</t>
  </si>
  <si>
    <t>U.S. tax authority</t>
  </si>
  <si>
    <t>U.K. tax authority</t>
  </si>
  <si>
    <t>French tax authority</t>
  </si>
  <si>
    <t>US$ billion</t>
  </si>
  <si>
    <t>% of total</t>
  </si>
  <si>
    <t>Tax revenue losses</t>
  </si>
  <si>
    <t>Swiss bank accounts (2015)</t>
  </si>
  <si>
    <t>Investments</t>
  </si>
  <si>
    <t>Financial wealth in tax havens (2014)</t>
  </si>
  <si>
    <t>In 2014, on a global scale households on average owned 8% of their financial wealth through bank accounts in tax havens. One-third of the world’s offshore wealth was in Switzerland</t>
  </si>
  <si>
    <r>
      <rPr>
        <sz val="15.7"/>
        <rFont val="Arial"/>
      </rPr>
      <t>World financial wealth</t>
    </r>
    <r>
      <rPr>
        <b/>
        <sz val="15.7"/>
        <rFont val="Arial"/>
      </rPr>
      <t xml:space="preserve">:                                 95.5 trillion $                         </t>
    </r>
    <r>
      <rPr>
        <sz val="15.7"/>
        <rFont val="Arial"/>
      </rPr>
      <t>(100%)</t>
    </r>
  </si>
  <si>
    <r>
      <t xml:space="preserve">Held onshore (in the U.S., Japan, France…) :              </t>
    </r>
    <r>
      <rPr>
        <b/>
        <sz val="14"/>
        <rFont val="Arial"/>
        <family val="2"/>
      </rPr>
      <t xml:space="preserve">87.9 trillion $               </t>
    </r>
    <r>
      <rPr>
        <sz val="14"/>
        <rFont val="Arial"/>
        <family val="2"/>
      </rPr>
      <t>(92 %)</t>
    </r>
  </si>
  <si>
    <r>
      <t xml:space="preserve">Held offshore (in tax havens throughout the world):                       </t>
    </r>
    <r>
      <rPr>
        <b/>
        <sz val="14"/>
        <rFont val="Arial"/>
        <family val="2"/>
      </rPr>
      <t xml:space="preserve"> 7.6 trillion $            </t>
    </r>
    <r>
      <rPr>
        <sz val="14"/>
        <rFont val="Arial"/>
        <family val="2"/>
      </rPr>
      <t>(8%)</t>
    </r>
  </si>
  <si>
    <r>
      <t>Global household wealth in tax havens</t>
    </r>
    <r>
      <rPr>
        <sz val="15.7"/>
        <rFont val="Arial"/>
      </rPr>
      <t>:                                                                                         $</t>
    </r>
    <r>
      <rPr>
        <b/>
        <sz val="15.7"/>
        <rFont val="Arial"/>
      </rPr>
      <t xml:space="preserve">7,600bn  </t>
    </r>
    <r>
      <rPr>
        <sz val="15.7"/>
        <rFont val="Arial"/>
      </rPr>
      <t xml:space="preserve">                                                                                                                                   (100%)</t>
    </r>
  </si>
  <si>
    <r>
      <rPr>
        <b/>
        <u/>
        <sz val="12"/>
        <color theme="1"/>
        <rFont val="Arial"/>
      </rPr>
      <t>Notes</t>
    </r>
    <r>
      <rPr>
        <b/>
        <sz val="12"/>
        <color theme="1"/>
        <rFont val="Arial"/>
        <family val="2"/>
      </rPr>
      <t xml:space="preserve">: </t>
    </r>
    <r>
      <rPr>
        <sz val="12"/>
        <color theme="1"/>
        <rFont val="Arial"/>
        <family val="2"/>
      </rPr>
      <t>All figures in current billion US$. 1910 is the average of 1910-1919, 1920 the average of 1920-1929... and 2012 the average of 2012-12. Swiss data for 2013 are as at the end of May, and based on the July 2013 Monthly bulletin of economic statistic</t>
    </r>
    <r>
      <rPr>
        <b/>
        <sz val="12"/>
        <color theme="1"/>
        <rFont val="Arial"/>
        <family val="2"/>
      </rPr>
      <t xml:space="preserve">. </t>
    </r>
    <r>
      <rPr>
        <b/>
        <u/>
        <sz val="12"/>
        <color theme="1"/>
        <rFont val="Arial"/>
      </rPr>
      <t>Sources</t>
    </r>
    <r>
      <rPr>
        <b/>
        <sz val="12"/>
        <color theme="1"/>
        <rFont val="Arial"/>
        <family val="2"/>
      </rPr>
      <t xml:space="preserve">: </t>
    </r>
    <r>
      <rPr>
        <sz val="12"/>
        <color theme="1"/>
        <rFont val="Arial"/>
        <family val="2"/>
      </rPr>
      <t>Securities in custody in Swiss banks and fiduciary deposits: See detailed computations &amp; explanations in "SwissBanks20c.xlsx" and the Appendix of the book</t>
    </r>
    <r>
      <rPr>
        <b/>
        <sz val="12"/>
        <color theme="1"/>
        <rFont val="Arial"/>
        <family val="2"/>
      </rPr>
      <t xml:space="preserve">. </t>
    </r>
    <r>
      <rPr>
        <sz val="12"/>
        <color theme="1"/>
        <rFont val="Arial"/>
        <family val="2"/>
      </rPr>
      <t>Europe net financial wealth / national income 1910: 30% of the average 1910-1919 private wealth-national income ratio of the UK, Germany and France, as reported in Piketty-Zucman (2014, Table A5). 1920-1980: 40% of the European private wealth-income ratio in Piketty-Zucman (2014, Table A8) . 1990-2013: Eurostat (EU 27 data. Series start in 1995 and I assume the same yearly growth rate over 1990-1995 as in 1995-1996, consistent with UK, French and German data). Europe's national income 1980-2012: Eurostat data (EU27. Convereted to US$ using year-average exchange rates); 2013: 2012 national income in euros times 1.3 (memo: euro/dollar exchange rate as of May 2013: 1.304); 1910-1970: based on the evolution of French, UK and German national incomes in current US dollars, as reported in Piketty-Zucman (2014, Table A153)</t>
    </r>
  </si>
  <si>
    <t>Gulf countries</t>
  </si>
  <si>
    <t>Latin America</t>
  </si>
  <si>
    <t>Russia</t>
  </si>
  <si>
    <r>
      <t xml:space="preserve">     </t>
    </r>
    <r>
      <rPr>
        <sz val="12"/>
        <color theme="1"/>
        <rFont val="Arial"/>
        <family val="2"/>
      </rPr>
      <t>Of which: through shell companies</t>
    </r>
  </si>
  <si>
    <t xml:space="preserve">   Germany</t>
  </si>
  <si>
    <t xml:space="preserve">   France</t>
  </si>
  <si>
    <t xml:space="preserve">   Italy</t>
  </si>
  <si>
    <t xml:space="preserve">   UK</t>
  </si>
  <si>
    <t xml:space="preserve">   Spain</t>
  </si>
  <si>
    <t xml:space="preserve">   Greece</t>
  </si>
  <si>
    <t xml:space="preserve">   Belgium</t>
  </si>
  <si>
    <t xml:space="preserve">   Portugal</t>
  </si>
  <si>
    <t xml:space="preserve">   Poland</t>
  </si>
  <si>
    <t xml:space="preserve">   Sweden</t>
  </si>
  <si>
    <t xml:space="preserve">   Norway</t>
  </si>
  <si>
    <t xml:space="preserve">   Other</t>
  </si>
  <si>
    <r>
      <t>Fiduciary deposits official SNB data "Banks in Switzerland" 201</t>
    </r>
    <r>
      <rPr>
        <sz val="12"/>
        <color theme="1"/>
        <rFont val="Arial"/>
        <family val="2"/>
      </rPr>
      <t>3</t>
    </r>
  </si>
  <si>
    <r>
      <t>2008-201</t>
    </r>
    <r>
      <rPr>
        <sz val="12"/>
        <color theme="1"/>
        <rFont val="Arial"/>
        <family val="2"/>
      </rPr>
      <t>3</t>
    </r>
  </si>
  <si>
    <r>
      <t>Within Europe, shares are obtained from 2008-201</t>
    </r>
    <r>
      <rPr>
        <sz val="12"/>
        <color theme="1"/>
        <rFont val="Arial"/>
        <family val="2"/>
      </rPr>
      <t>3</t>
    </r>
    <r>
      <rPr>
        <sz val="12"/>
        <color theme="1"/>
        <rFont val="Arial"/>
        <family val="2"/>
      </rPr>
      <t xml:space="preserve"> average shares of individual European countries in European-owned fiduciary deposits</t>
    </r>
  </si>
  <si>
    <t>United States</t>
  </si>
  <si>
    <t>Canada</t>
  </si>
  <si>
    <t>North America is split into USA (2/3 of North America based on average share of US in 2008-2013 North American fiduciary deposits) and Canada (1/3)</t>
  </si>
  <si>
    <r>
      <t>Russia (3</t>
    </r>
    <r>
      <rPr>
        <sz val="12"/>
        <color theme="1"/>
        <rFont val="Arial"/>
        <family val="2"/>
      </rPr>
      <t>%) is isolated from Asia</t>
    </r>
    <r>
      <rPr>
        <sz val="12"/>
        <color theme="1"/>
        <rFont val="Arial"/>
        <family val="2"/>
      </rPr>
      <t xml:space="preserve"> (which thus decreases from 13% to 10%).</t>
    </r>
  </si>
  <si>
    <t>Latin America is reduced by 2 points and Gulf countries increased by 2 points to account for recent evolution</t>
  </si>
  <si>
    <r>
      <t>Europe:                                           $</t>
    </r>
    <r>
      <rPr>
        <b/>
        <sz val="14"/>
        <rFont val="Arial"/>
        <family val="2"/>
      </rPr>
      <t>1,300bn</t>
    </r>
    <r>
      <rPr>
        <sz val="14"/>
        <rFont val="Arial"/>
        <family val="2"/>
      </rPr>
      <t>.                         Of which:                    Germany: $260bn          France: $240bn            Italy: $140bn                  UK: $140bn                  Spain: $110bn          Greece: $80bn         Belgium: $70bn           Portugal: $40bn          Other: $220bn</t>
    </r>
  </si>
  <si>
    <r>
      <rPr>
        <sz val="14"/>
        <rFont val="Arial"/>
        <family val="2"/>
      </rPr>
      <t>Gulf countries:                     $230bn</t>
    </r>
  </si>
  <si>
    <t>Asia: $230bn</t>
  </si>
  <si>
    <t>Latin America: $220bn</t>
  </si>
  <si>
    <t>Africa: $150bn</t>
  </si>
  <si>
    <t>USA ($80bn) and Canda ($40bn)</t>
  </si>
  <si>
    <t>Russia: $70bn</t>
  </si>
  <si>
    <r>
      <t>Total offshore wealth in Switzerland:            $</t>
    </r>
    <r>
      <rPr>
        <b/>
        <sz val="18"/>
        <rFont val="Arial"/>
      </rPr>
      <t>2,300bn</t>
    </r>
  </si>
  <si>
    <t>In 2015 banks domiciled in Switzerland manage 2.3 trillion dollars belonging to non-residents. Within this total, 1.3 trillion belong to Europeans. 40% of the wealth managed in Switzerland is placed in mutual funds, principally in Luxembourg.</t>
  </si>
  <si>
    <t>Luxembourg mutual funds:            $750bn</t>
  </si>
  <si>
    <t>Irish mutual funds:  $200bn</t>
  </si>
  <si>
    <t>Global equities (US, etc.) :                                        $500bn</t>
  </si>
  <si>
    <t>Global bonds: $600bn</t>
  </si>
  <si>
    <t>Deposits, other: $250bn</t>
  </si>
  <si>
    <t>Offshore wealth in Switzerland</t>
  </si>
  <si>
    <t>Offshore wealth in other tax havens</t>
  </si>
  <si>
    <r>
      <t>(%</t>
    </r>
    <r>
      <rPr>
        <sz val="12"/>
        <color theme="1"/>
        <rFont val="Arial"/>
        <family val="2"/>
      </rPr>
      <t>)</t>
    </r>
  </si>
  <si>
    <t>Offshore wealth in all tax havens</t>
  </si>
  <si>
    <t>(%)</t>
  </si>
  <si>
    <t>% of offshore wealth declared</t>
  </si>
  <si>
    <t>Undeclared offshore wealth</t>
  </si>
  <si>
    <t>Dividend income tax rate (OECD)</t>
  </si>
  <si>
    <t>Top marginal inheritance/estate tax rate</t>
  </si>
  <si>
    <t>Welath tax rate</t>
  </si>
  <si>
    <t>Total tax revenue losses</t>
  </si>
  <si>
    <t>Income tax revenue losses</t>
  </si>
  <si>
    <t>Inheritance/Estate tax revenue losses</t>
  </si>
  <si>
    <t>Wealth tax revenue losses</t>
  </si>
  <si>
    <t>Income + wealth tax revenue losses</t>
  </si>
  <si>
    <r>
      <rPr>
        <sz val="12"/>
        <color theme="1"/>
        <rFont val="Arial"/>
        <family val="2"/>
      </rPr>
      <t>Income + wealth tax revenue losses</t>
    </r>
    <r>
      <rPr>
        <sz val="12"/>
        <color theme="1"/>
        <rFont val="Arial"/>
        <family val="2"/>
      </rPr>
      <t xml:space="preserve"> (% </t>
    </r>
    <r>
      <rPr>
        <sz val="12"/>
        <color theme="1"/>
        <rFont val="Arial"/>
        <family val="2"/>
      </rPr>
      <t>undeclared income)</t>
    </r>
  </si>
  <si>
    <t>Offshore wealth ($ bn)</t>
  </si>
  <si>
    <t>Share of financial wealth held offshore</t>
  </si>
  <si>
    <t>Tax revenue loss ($ bn)</t>
  </si>
  <si>
    <t>Net onshore financial wealth (bn$)</t>
  </si>
  <si>
    <t>Gross financial wealth per adult ($)</t>
  </si>
  <si>
    <t>Debt per adult ($)</t>
  </si>
  <si>
    <t>Number of adults (mn)</t>
  </si>
  <si>
    <t>USA</t>
  </si>
  <si>
    <t>USA: Saez-Zucman, 2014 (= Flow of Funds); Europe: Zucman, 2013 (= Eurostat); total = onshore + offshore total in Zucman 2013; rest: Credit Suisse (2013)</t>
  </si>
  <si>
    <t>Industry</t>
  </si>
  <si>
    <t>World income</t>
  </si>
  <si>
    <t>bn euros</t>
  </si>
  <si>
    <t>bn US$</t>
  </si>
  <si>
    <t>World financial wealth</t>
  </si>
  <si>
    <t>Of which: held offshore</t>
  </si>
  <si>
    <t>Of which: held offshore in Switzerland</t>
  </si>
  <si>
    <t>Of which: held in havens other than Sw.</t>
  </si>
  <si>
    <t>European financial wealth</t>
  </si>
  <si>
    <t>Offshore financial wealth of Europeans</t>
  </si>
  <si>
    <t>1 euro =</t>
  </si>
  <si>
    <r>
      <t xml:space="preserve">Around 30% of offshore wealth is in Switzerland:                                                              </t>
    </r>
    <r>
      <rPr>
        <b/>
        <sz val="14"/>
        <rFont val="Arial"/>
        <family val="2"/>
      </rPr>
      <t xml:space="preserve"> 2.3 trillion $</t>
    </r>
  </si>
  <si>
    <r>
      <t xml:space="preserve">70% is in tax havens other than Switzerland (Singapore, Cayman islands…):                          </t>
    </r>
    <r>
      <rPr>
        <b/>
        <sz val="14"/>
        <rFont val="Arial"/>
        <family val="2"/>
      </rPr>
      <t>5.3 trillion $</t>
    </r>
  </si>
  <si>
    <r>
      <t>Of which undeclared :                                                                                              $</t>
    </r>
    <r>
      <rPr>
        <b/>
        <sz val="15.7"/>
        <rFont val="Arial"/>
      </rPr>
      <t xml:space="preserve">6,100bn </t>
    </r>
    <r>
      <rPr>
        <sz val="15.7"/>
        <rFont val="Arial"/>
      </rPr>
      <t xml:space="preserve">                                                                                        (80%)                                                                          </t>
    </r>
  </si>
  <si>
    <r>
      <t xml:space="preserve">Of which income tax (interest, dividends):             </t>
    </r>
    <r>
      <rPr>
        <b/>
        <sz val="15.7"/>
        <rFont val="Arial"/>
      </rPr>
      <t>$125bn</t>
    </r>
  </si>
  <si>
    <r>
      <t xml:space="preserve">Of which wealth tax:                        </t>
    </r>
    <r>
      <rPr>
        <b/>
        <sz val="15.7"/>
        <rFont val="Arial"/>
      </rPr>
      <t xml:space="preserve"> $10bn</t>
    </r>
  </si>
  <si>
    <r>
      <t xml:space="preserve">Yearly tax revenue losses due to offshore tax evasion                                                                                           </t>
    </r>
    <r>
      <rPr>
        <b/>
        <sz val="15.7"/>
        <rFont val="Arial"/>
      </rPr>
      <t xml:space="preserve"> $190bn    </t>
    </r>
    <r>
      <rPr>
        <sz val="15.7"/>
        <rFont val="Arial"/>
      </rPr>
      <t xml:space="preserve">                                                                                                                                                                 </t>
    </r>
  </si>
  <si>
    <t>Source: Zucman 2014 JEP. I make 4 changes: (i) based on the latest Fiduciary Statistics data from the 2013 edition of "Banks in Switzerland", share of Swiss offshore wealth assigned to the US is increased by 1 point and that assigned to Canada decreased by 1 point. I am adjusting the non-Swiss offshore wealth of US and Canada accordingly so that total offshore wealth matches the figures given in the JEP paper. (ii) Fraction of offshore wealth declared is set at 20% for all countries, based on latest AFC STD data (see update to Johannesen Zucman 2014 and December 2014 update to JEP appendix: http://gabriel-zucman.eu/files/Zucman2014JEPAppendix.pdf); (iii) Nominal rate of return on offshore assets changed to 8% based on latest values of 10-years returns on Venduard diversified funds (see link in cell O3). (iv) Wealth tax rates are updated and improved (e.g., I now take int account the new wealth tax in Spain).</t>
  </si>
  <si>
    <t>Liechtenstein</t>
  </si>
  <si>
    <t>Total incl. Liechtenstein</t>
  </si>
  <si>
    <t>Share shell</t>
  </si>
  <si>
    <t>Share Europe</t>
  </si>
  <si>
    <t>Tax havens excl. Liechtenstein</t>
  </si>
  <si>
    <t>Tax havens incl. Liechtenstein</t>
  </si>
  <si>
    <t>Total excl. Liechtenstein</t>
  </si>
  <si>
    <t>Source: Zucman (2013, Appendix Table A25) through to 2008; 2009-2013: update based on SNB's Banks in Switzerland yearly data</t>
  </si>
  <si>
    <t>The global cost of offshore tax evasion (2014)</t>
  </si>
  <si>
    <r>
      <t>2013</t>
    </r>
    <r>
      <rPr>
        <sz val="12"/>
        <color theme="1"/>
        <rFont val="Arial"/>
        <family val="2"/>
      </rPr>
      <t xml:space="preserve"> (euros)</t>
    </r>
  </si>
  <si>
    <t>2010-13</t>
  </si>
  <si>
    <t>2013 BEA</t>
  </si>
  <si>
    <t>Memo: Fed "corporate tax"</t>
  </si>
  <si>
    <t>2000-09</t>
  </si>
  <si>
    <t>2012 OECD</t>
  </si>
  <si>
    <t>Tot tax rev (excl. Fed)</t>
  </si>
  <si>
    <t>1990-99</t>
  </si>
  <si>
    <t>Tot K tax</t>
  </si>
  <si>
    <t>1980-89</t>
  </si>
  <si>
    <t>2002-2012</t>
  </si>
  <si>
    <t>2012 OECD, assuming capital share of individual taxes is 30%</t>
  </si>
  <si>
    <t>Ind (income + estate)</t>
  </si>
  <si>
    <t>1970-70</t>
  </si>
  <si>
    <t>1992-2002</t>
  </si>
  <si>
    <t>Property tax (corp + ind)</t>
  </si>
  <si>
    <t>1960-69</t>
  </si>
  <si>
    <t>1983-1992</t>
  </si>
  <si>
    <t>Corporate tax (excl. Fed)</t>
  </si>
  <si>
    <t>1950-59</t>
  </si>
  <si>
    <t>1992-2012</t>
  </si>
  <si>
    <t>GDP:</t>
  </si>
  <si>
    <t>1940-49</t>
  </si>
  <si>
    <t>1983-2012</t>
  </si>
  <si>
    <t>Year Source</t>
  </si>
  <si>
    <t>% of GDP</t>
  </si>
  <si>
    <t>Structure of tax revenue in the US, 2013</t>
  </si>
  <si>
    <t>1930-39</t>
  </si>
  <si>
    <t>Cumul 82-12</t>
  </si>
  <si>
    <t>Cumul 06-13</t>
  </si>
  <si>
    <t>Cumul 82-13</t>
  </si>
  <si>
    <t xml:space="preserve">This differential is what we would expect, because DI profits are net of foreign corporate taxes paid. Ce qu'il faudrait c'est réattribuer les foreign taxes paid pour pouvoir calculer des pre-tax yields = à faire avec BEA data on affiliates </t>
  </si>
  <si>
    <t>Still positive returns diff after corp tax, entirely due to valuation effect. Why??</t>
  </si>
  <si>
    <t>Positive valuation effect only for havens</t>
  </si>
  <si>
    <t xml:space="preserve">What we'd like is market-value total return; pb = not published at country level; plus unclear how to measure MV of Goodle BM?. On the other hand (i) historical cost include some KG (unclear what exactly; also my method to compute KG will include other changes, like data revisions etc.; however not clear why it should benefit havens more than non-havens); (ii) it's useful to have "book values" to detect profit shifting in yieds (ie high yield = BM generates huge profits compared to low book value assets); pb= yield differential havens/non havens does not seem huge and it seems it can be accounted for by the fact that inv flows are post foreign corp taxes </t>
  </si>
  <si>
    <t>This is lower than the $2tr one often hears because this is historical cost data; also not all foreign subsidiaries of US firms belong 100% to the US</t>
  </si>
  <si>
    <t>Unclear where this discrepancy comes from, revisions?</t>
  </si>
  <si>
    <t>Note that DI include retained earnings but PI do not</t>
  </si>
  <si>
    <t>Puerto Rico etc.</t>
  </si>
  <si>
    <t>PI divs + DI divs &amp; retained. (As always, corporate profits = net of interest payments)</t>
  </si>
  <si>
    <t>Net of interest payments</t>
  </si>
  <si>
    <t>Does not decline because of growing misreporting</t>
  </si>
  <si>
    <t>Excluding Fed payments; and assuming that  the foreign tax credit equals tax liability on income earned abroad (the convention used in the national accounts), ie in particular that foreign taxes paid on unrepatriated earnings are negligible (consistent with corporate filings, e.g. Microsoft 2014, but would need to be investigated more systematically)</t>
  </si>
  <si>
    <t>Excluding Fed payments</t>
  </si>
  <si>
    <t>Source Tax Policy Center http://www.taxpolicycenter.org/taxfacts/content/pdf/corporate_historical_bracket.pdf</t>
  </si>
  <si>
    <t>Taxable income (less loss) after adjustments From tabulations of IRS form 1118, http://www.irs.gov/uac/SOI-Tax-Stats-Corporate-Foreign-Tax-Credit-Table-1</t>
  </si>
  <si>
    <t>Taxable income (less loss) before adjustments From tabulations of IRS form 1118, http://www.irs.gov/uac/SOI-Tax-Stats-Corporate-Foreign-Tax-Credit-Table-1. Bigger than repatriations from BoP because (i) includes subpart F income; (ii) here is gross of foreign corporate taxes paid (vs. net in BoP)</t>
  </si>
  <si>
    <t>From tabulations of IRS form 1118, http://www.irs.gov/uac/SOI-Tax-Stats-Corporate-Foreign-Tax-Credit-Table-1</t>
  </si>
  <si>
    <t>Raw data are fiscal year, here I attempt a calander year conversion. The U.S. federal government's fiscal year begins on 1 October of the previous calendar year and ends on 30 September of the year with which it is numbered. Prior to 1976, the fiscal year began on 1 July and ended on 30 June.</t>
  </si>
  <si>
    <t>NB: (i) sometimes foreign tax rates are bigger than US tax rate so no credit; (ii) credits triggered only when repatriation; (iii) since 2007 this is exactly equal to "foreign tax credit claim" from IRS form 1118; before however, this is bigger than IRS 1118 total, with a gap increasing the further one goes back (eg in 1992: total IRS 1118 =21.5bn vs. 25.3bn here), unclear why</t>
  </si>
  <si>
    <t>Alsmot all Fed profits are treated as corporate taxes by BEA (this is a bit weird; might make more sense for BEA to record that as dividend)</t>
  </si>
  <si>
    <t>2013 data point from Table 1: http://www.census.gov/govs/qtax/</t>
  </si>
  <si>
    <t>Excludes nonresident income tax paid by affiliates</t>
  </si>
  <si>
    <t>From Saez-Zucman 2014 total</t>
  </si>
  <si>
    <t>Bigger than 100% of S corporation net profits because of S corp losses (which do not generate negative dividends)</t>
  </si>
  <si>
    <t>1995-on: see formula; before: based on evolution of net S corp income reported by individual taxpayers</t>
  </si>
  <si>
    <t>Part of what corporations can deduct from their IRS profits, but not deduced for NIPA profit computations. Data here from SOI S corp Table 1</t>
  </si>
  <si>
    <t>Definitional adjustment: To restate profits of small business corporations to reflect the income and expenses that are passed to shareholders rather than reported by the corporation. See http://www.bea.gov/national/pdf/chapter13.pdf. Only known in 2010 (-21bn), assume constant fraction of IRS profits before.</t>
  </si>
  <si>
    <t>From SOI  S corp stats Table 1.-, S-Corporation, All Returns:  Total Receipts and Deductions</t>
  </si>
  <si>
    <t>Mosty equal to bad debt expense in recent years</t>
  </si>
  <si>
    <t>The IRS audit consists of three steps. First, the IRS audits a small sampling of corporations and recommends how much, if any, additional tax liability is owed. Next, the corporations can appeal those recommendations. Finally, a resolution between the corporation and the IRS is reached, and the corporation pays the IRS.
The methodology for the misreporting adjustment is to capture only the amount of tax actually collected (see the section “Taxes on Corporate Income”), raise it to a universe total, and then convert it from a tax-liability measure to a profits measure.</t>
  </si>
  <si>
    <t>US profits abroad. No data prior to 1948 assume same evolution as net foreign profits</t>
  </si>
  <si>
    <t>US profits abroad minus foreign profits in the US. Includes DI + dividend portion of PI (but not retained earnings on PI). Is net of nonresident corporate income tax.</t>
  </si>
  <si>
    <t>Gross of income taxes (both US taxes and the small amount of taxes paid by domestic businesses to foreign governments)</t>
  </si>
  <si>
    <t>Notes</t>
  </si>
  <si>
    <t>Royalties etc.</t>
  </si>
  <si>
    <t>Non havens</t>
  </si>
  <si>
    <t>Top 6 havens</t>
  </si>
  <si>
    <t>Singapore</t>
  </si>
  <si>
    <t>(Bermuda)</t>
  </si>
  <si>
    <t>Bermuda &amp; other Caribbean</t>
  </si>
  <si>
    <t>Switzerland</t>
  </si>
  <si>
    <t>Luxembourg</t>
  </si>
  <si>
    <t>Netherlands</t>
  </si>
  <si>
    <t>Ireland</t>
  </si>
  <si>
    <t>Yield (historical cost)</t>
  </si>
  <si>
    <t>Non-havens, pre-foreign corp tax (assuming havens =0 tax)</t>
  </si>
  <si>
    <t>Historical cost total return</t>
  </si>
  <si>
    <t>Top 6 havens % of total DI assets</t>
  </si>
  <si>
    <t>DI assets historical cost</t>
  </si>
  <si>
    <t>Top 6 havens % of total DI equity outflows</t>
  </si>
  <si>
    <t>DI equity outflow</t>
  </si>
  <si>
    <t>Top 6 havens % of total DI outflows</t>
  </si>
  <si>
    <t>(check)</t>
  </si>
  <si>
    <t>DI equity &amp; debt ouflows</t>
  </si>
  <si>
    <t>DI outflows</t>
  </si>
  <si>
    <t>DI retained/total DI</t>
  </si>
  <si>
    <t>Top 6 havens % of total DI retained</t>
  </si>
  <si>
    <t>Top 6 havens retained / top 6 heavens profits</t>
  </si>
  <si>
    <t>In constant $?</t>
  </si>
  <si>
    <t>DI retained</t>
  </si>
  <si>
    <t>DI distributed</t>
  </si>
  <si>
    <t>Equals</t>
  </si>
  <si>
    <t>USDIA without CCAdj</t>
  </si>
  <si>
    <t>DI without CCAdj</t>
  </si>
  <si>
    <t>Top 6 havens % of all U.S. corporate profits</t>
  </si>
  <si>
    <t>Top 6 havens % of total DI income</t>
  </si>
  <si>
    <t>Other Caribbean</t>
  </si>
  <si>
    <t>Bermuda</t>
  </si>
  <si>
    <t>Memo: share of DI in foreign profits</t>
  </si>
  <si>
    <t>CCAdj</t>
  </si>
  <si>
    <t>DI (divs+retained) with CCAdj</t>
  </si>
  <si>
    <t>PI dividends</t>
  </si>
  <si>
    <t>Diff geographical coverage btw NIPA and BoP</t>
  </si>
  <si>
    <t xml:space="preserve">Foreign profits </t>
  </si>
  <si>
    <t>Memo: distributions on US DI = repatriations</t>
  </si>
  <si>
    <t>(Retained abroad, % of foreign profits)</t>
  </si>
  <si>
    <t>(Retained havens, % of DI income)</t>
  </si>
  <si>
    <t>(Retained havens, % of BEA profits)</t>
  </si>
  <si>
    <t>(Retained foreign, % of BEA profits)</t>
  </si>
  <si>
    <t>Retained abroad</t>
  </si>
  <si>
    <t>Retained domestic</t>
  </si>
  <si>
    <t>(retained earnings % BEA profits)</t>
  </si>
  <si>
    <t>Retained earnings</t>
  </si>
  <si>
    <t>Distributed earnings</t>
  </si>
  <si>
    <t>Corporate income taxes</t>
  </si>
  <si>
    <t>Pre-tax corporate profits with IVA and CCAdj (BEA)</t>
  </si>
  <si>
    <t>Effective tax rate IRS  after misreporting</t>
  </si>
  <si>
    <t>Effective tax rate IRS</t>
  </si>
  <si>
    <t>Excluding S corp</t>
  </si>
  <si>
    <t>Effective tax rate paid worldwide</t>
  </si>
  <si>
    <t>Effective tax rate paid to US (including KG in profits)</t>
  </si>
  <si>
    <t>Effective tax rate paid to US (fed+local)</t>
  </si>
  <si>
    <t>Staturoy federal corporate tax rate</t>
  </si>
  <si>
    <t>After-tax corporate profits / national income</t>
  </si>
  <si>
    <t>Memo: foreign profits repatriated, IRS</t>
  </si>
  <si>
    <t>Memo: foreign taxes paid, accrued, and deemed paid, IRS</t>
  </si>
  <si>
    <t>Memo: Federal corporate tax revenu, OMB, calendar year estimate</t>
  </si>
  <si>
    <t>Memo: credits for foreign taxes paid [more or less = total nonresident income tax paid]</t>
  </si>
  <si>
    <t>Paid by Fed</t>
  </si>
  <si>
    <t>Paid by domestic corp to foreign gov on income earned abroad</t>
  </si>
  <si>
    <t>Paid to local &amp; state gov</t>
  </si>
  <si>
    <t>Paid to federal gov, net of credits</t>
  </si>
  <si>
    <t>(corporate tax excluding fed profits % of national income)</t>
  </si>
  <si>
    <t>(corporate tax % of national income)</t>
  </si>
  <si>
    <t>Taxes on corporate income</t>
  </si>
  <si>
    <t>Memo: S corporation net profits taxed at individual level</t>
  </si>
  <si>
    <t>Memo: S corporation dividends included in NIPA corporate dividends</t>
  </si>
  <si>
    <t>Memo: share of S corp profits in BEA profits</t>
  </si>
  <si>
    <t>S corporations profits included in BEA profits</t>
  </si>
  <si>
    <t>(Of which: other)</t>
  </si>
  <si>
    <t>(Of which: bad debt expenses)</t>
  </si>
  <si>
    <t>Revisions to IRS "Total Receipts Less Total Deductions", BEA</t>
  </si>
  <si>
    <t>Total receipts less total deductions, IRS</t>
  </si>
  <si>
    <t>Other adjustmetns to IRS data</t>
  </si>
  <si>
    <t>(capital gains % of BEA profits)</t>
  </si>
  <si>
    <t>Less: Capital gains</t>
  </si>
  <si>
    <t>IVA and CCAdj</t>
  </si>
  <si>
    <t>Fed profits</t>
  </si>
  <si>
    <t>(misreporting % of BEA profits)</t>
  </si>
  <si>
    <t>Misreporting on IRS returns</t>
  </si>
  <si>
    <t>Corporate profits (IRS)</t>
  </si>
  <si>
    <t>(Foreign profits inflows, % BEA profits)</t>
  </si>
  <si>
    <t>(Foreign profits inflows % NI)</t>
  </si>
  <si>
    <t>(Foreign profits inflows)</t>
  </si>
  <si>
    <t>(net foreign profits % of BEA profits)</t>
  </si>
  <si>
    <t>(net foreign profits % of national income)</t>
  </si>
  <si>
    <t>Net foreign profits</t>
  </si>
  <si>
    <t>(domestic profits % national income)</t>
  </si>
  <si>
    <t>Domestic profits</t>
  </si>
  <si>
    <t>(corporate profits % national income)</t>
  </si>
  <si>
    <t>National income</t>
  </si>
  <si>
    <t>Series</t>
  </si>
  <si>
    <t>(Revised August 2014)</t>
  </si>
  <si>
    <t>Returns on USDIA by country (exploratory, not used in JEP)</t>
  </si>
  <si>
    <t>Decomposition of DI assets by country</t>
  </si>
  <si>
    <t>Decomposition of equity &amp; debt DI outflows (USDIA flows - DI retained)</t>
  </si>
  <si>
    <t>Decomposition of USDIA flows (= outflows of both equity &amp; debt + retained earnings) by country</t>
  </si>
  <si>
    <t>Decomposition of foreign retained earnings by country</t>
  </si>
  <si>
    <t>Decomposition of foreign profits by country</t>
  </si>
  <si>
    <t>Distributed vs retained profits</t>
  </si>
  <si>
    <t>Tax rate computations</t>
  </si>
  <si>
    <t>Corporate tax revenue</t>
  </si>
  <si>
    <t>S corporations</t>
  </si>
  <si>
    <t>From IRS to BEA profits</t>
  </si>
  <si>
    <t>Domestic vs. foreign profits</t>
  </si>
  <si>
    <t>(May 2014 JEP comps)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</si>
</sst>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8" formatCode="#,##0.00\ &quot;€&quot;;[Red]\-#,##0.00\ &quot;€&quot;"/>
    <numFmt numFmtId="164" formatCode="0.0%"/>
    <numFmt numFmtId="165" formatCode="\$#,##0\ ;\(\$#,##0\)"/>
    <numFmt numFmtId="166" formatCode="#,##0.0"/>
    <numFmt numFmtId="167" formatCode="0.0"/>
    <numFmt numFmtId="168" formatCode="0.0000%"/>
  </numFmts>
  <fonts count="71" x14ac:knownFonts="1">
    <font>
      <sz val="12"/>
      <color theme="1"/>
      <name val="Calibri"/>
      <family val="2"/>
      <scheme val="minor"/>
    </font>
    <font>
      <sz val="12"/>
      <color theme="1"/>
      <name val="Arial"/>
      <family val="2"/>
    </font>
    <font>
      <sz val="12"/>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Calibri"/>
      <family val="2"/>
      <scheme val="minor"/>
    </font>
    <font>
      <sz val="12"/>
      <color indexed="24"/>
      <name val="Arial"/>
    </font>
    <font>
      <b/>
      <sz val="8"/>
      <color indexed="24"/>
      <name val="Times New Roman"/>
    </font>
    <font>
      <sz val="8"/>
      <color indexed="24"/>
      <name val="Times New Roman"/>
    </font>
    <font>
      <sz val="10"/>
      <name val="Verdana"/>
    </font>
    <font>
      <sz val="10"/>
      <name val="Arial"/>
    </font>
    <font>
      <sz val="7"/>
      <name val="Helvetica"/>
    </font>
    <font>
      <u/>
      <sz val="12"/>
      <color theme="10"/>
      <name val="Calibri"/>
      <family val="2"/>
      <scheme val="minor"/>
    </font>
    <font>
      <u/>
      <sz val="12"/>
      <color theme="11"/>
      <name val="Calibri"/>
      <family val="2"/>
      <scheme val="minor"/>
    </font>
    <font>
      <b/>
      <sz val="12"/>
      <color theme="1"/>
      <name val="Arial"/>
      <family val="2"/>
    </font>
    <font>
      <i/>
      <sz val="12"/>
      <color theme="1"/>
      <name val="Arial"/>
    </font>
    <font>
      <b/>
      <u/>
      <sz val="12"/>
      <color theme="1"/>
      <name val="Arial"/>
    </font>
    <font>
      <sz val="12"/>
      <color theme="1"/>
      <name val="Arial Narrow"/>
    </font>
    <font>
      <b/>
      <sz val="20"/>
      <name val="Arial"/>
      <family val="2"/>
    </font>
    <font>
      <b/>
      <sz val="16"/>
      <name val="Arial"/>
      <family val="2"/>
    </font>
    <font>
      <b/>
      <sz val="14"/>
      <name val="Arial"/>
      <family val="2"/>
    </font>
    <font>
      <sz val="14"/>
      <name val="Arial"/>
      <family val="2"/>
    </font>
    <font>
      <sz val="11"/>
      <name val="Arial"/>
    </font>
    <font>
      <sz val="11"/>
      <color indexed="8"/>
      <name val="Calibri"/>
      <family val="2"/>
    </font>
    <font>
      <sz val="11"/>
      <color indexed="17"/>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5"/>
      <name val="Arial"/>
    </font>
    <font>
      <b/>
      <sz val="15"/>
      <name val="Arial"/>
    </font>
    <font>
      <sz val="15.7"/>
      <name val="Arial"/>
    </font>
    <font>
      <b/>
      <sz val="15.7"/>
      <name val="Arial"/>
    </font>
    <font>
      <sz val="18"/>
      <name val="Arial"/>
    </font>
    <font>
      <b/>
      <sz val="18"/>
      <name val="Arial"/>
    </font>
    <font>
      <u/>
      <sz val="12"/>
      <color theme="10"/>
      <name val="Arial"/>
    </font>
    <font>
      <sz val="8"/>
      <name val="Calibri"/>
      <family val="2"/>
      <scheme val="minor"/>
    </font>
    <font>
      <sz val="16"/>
      <name val="Arial Narrow"/>
    </font>
    <font>
      <sz val="13"/>
      <name val="Arial"/>
    </font>
    <font>
      <b/>
      <sz val="15"/>
      <color theme="3"/>
      <name val="Arial"/>
      <family val="2"/>
    </font>
    <font>
      <b/>
      <sz val="13"/>
      <color theme="3"/>
      <name val="Arial"/>
      <family val="2"/>
    </font>
    <font>
      <b/>
      <sz val="11"/>
      <color theme="3"/>
      <name val="Arial"/>
      <family val="2"/>
    </font>
    <font>
      <sz val="9"/>
      <color theme="1"/>
      <name val="Arial"/>
    </font>
    <font>
      <sz val="10"/>
      <color theme="1"/>
      <name val="Arial"/>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0"/>
      <color theme="1"/>
      <name val="Arial"/>
    </font>
    <font>
      <sz val="10"/>
      <color rgb="FFFF0000"/>
      <name val="Arial"/>
    </font>
    <font>
      <sz val="12"/>
      <color rgb="FFFF0000"/>
      <name val="Arial"/>
      <family val="2"/>
    </font>
    <font>
      <b/>
      <sz val="12"/>
      <name val="Arial"/>
    </font>
    <font>
      <b/>
      <sz val="12"/>
      <color rgb="FFFF0000"/>
      <name val="Arial"/>
    </font>
  </fonts>
  <fills count="37">
    <fill>
      <patternFill patternType="none"/>
    </fill>
    <fill>
      <patternFill patternType="gray125"/>
    </fill>
    <fill>
      <patternFill patternType="solid">
        <fgColor indexed="26"/>
      </patternFill>
    </fill>
    <fill>
      <patternFill patternType="solid">
        <fgColor indexed="42"/>
      </patternFill>
    </fill>
    <fill>
      <patternFill patternType="solid">
        <fgColor indexed="55"/>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60">
    <border>
      <left/>
      <right/>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right/>
      <top/>
      <bottom style="double">
        <color auto="1"/>
      </bottom>
      <diagonal/>
    </border>
    <border>
      <left/>
      <right/>
      <top style="double">
        <color auto="1"/>
      </top>
      <bottom/>
      <diagonal/>
    </border>
    <border>
      <left/>
      <right/>
      <top/>
      <bottom style="thin">
        <color auto="1"/>
      </bottom>
      <diagonal/>
    </border>
    <border>
      <left/>
      <right/>
      <top style="thin">
        <color auto="1"/>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double">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dashed">
        <color auto="1"/>
      </bottom>
      <diagonal/>
    </border>
    <border>
      <left style="thin">
        <color auto="1"/>
      </left>
      <right/>
      <top/>
      <bottom style="dashed">
        <color auto="1"/>
      </bottom>
      <diagonal/>
    </border>
    <border>
      <left/>
      <right style="thin">
        <color auto="1"/>
      </right>
      <top/>
      <bottom style="dashed">
        <color auto="1"/>
      </bottom>
      <diagonal/>
    </border>
    <border>
      <left style="thin">
        <color auto="1"/>
      </left>
      <right style="thin">
        <color auto="1"/>
      </right>
      <top/>
      <bottom style="dashed">
        <color auto="1"/>
      </bottom>
      <diagonal/>
    </border>
    <border>
      <left/>
      <right/>
      <top style="dashed">
        <color auto="1"/>
      </top>
      <bottom/>
      <diagonal/>
    </border>
    <border>
      <left style="thin">
        <color auto="1"/>
      </left>
      <right/>
      <top style="dashed">
        <color auto="1"/>
      </top>
      <bottom/>
      <diagonal/>
    </border>
    <border>
      <left/>
      <right style="thin">
        <color auto="1"/>
      </right>
      <top style="dashed">
        <color auto="1"/>
      </top>
      <bottom/>
      <diagonal/>
    </border>
    <border>
      <left style="thin">
        <color auto="1"/>
      </left>
      <right style="thin">
        <color auto="1"/>
      </right>
      <top style="dashed">
        <color auto="1"/>
      </top>
      <bottom/>
      <diagonal/>
    </border>
  </borders>
  <cellStyleXfs count="385">
    <xf numFmtId="0" fontId="0" fillId="0" borderId="0"/>
    <xf numFmtId="9" fontId="16" fillId="0" borderId="0" applyFont="0" applyFill="0" applyBorder="0" applyAlignment="0" applyProtection="0"/>
    <xf numFmtId="0" fontId="17" fillId="0" borderId="0" applyFon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3" fontId="17" fillId="0" borderId="0" applyFont="0" applyFill="0" applyBorder="0" applyAlignment="0" applyProtection="0"/>
    <xf numFmtId="165" fontId="17" fillId="0" borderId="0" applyFont="0" applyFill="0" applyBorder="0" applyAlignment="0" applyProtection="0"/>
    <xf numFmtId="0" fontId="16" fillId="0" borderId="0"/>
    <xf numFmtId="0" fontId="20" fillId="0" borderId="0"/>
    <xf numFmtId="0" fontId="16" fillId="0" borderId="0"/>
    <xf numFmtId="0" fontId="16" fillId="0" borderId="0"/>
    <xf numFmtId="9" fontId="20"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21" fillId="0" borderId="0"/>
    <xf numFmtId="0" fontId="22" fillId="0" borderId="1">
      <alignment horizontal="center"/>
    </xf>
    <xf numFmtId="2" fontId="17"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1" fillId="0" borderId="0"/>
    <xf numFmtId="0" fontId="34" fillId="2" borderId="16" applyNumberFormat="0" applyFont="0" applyAlignment="0" applyProtection="0"/>
    <xf numFmtId="0" fontId="35" fillId="3" borderId="0" applyNumberFormat="0" applyBorder="0" applyAlignment="0" applyProtection="0"/>
    <xf numFmtId="0" fontId="36" fillId="0" borderId="0" applyNumberFormat="0" applyFill="0" applyBorder="0" applyAlignment="0" applyProtection="0"/>
    <xf numFmtId="0" fontId="37" fillId="0" borderId="17" applyNumberFormat="0" applyFill="0" applyAlignment="0" applyProtection="0"/>
    <xf numFmtId="0" fontId="38" fillId="0" borderId="18" applyNumberFormat="0" applyFill="0" applyAlignment="0" applyProtection="0"/>
    <xf numFmtId="0" fontId="39" fillId="0" borderId="19" applyNumberFormat="0" applyFill="0" applyAlignment="0" applyProtection="0"/>
    <xf numFmtId="0" fontId="39" fillId="0" borderId="0" applyNumberFormat="0" applyFill="0" applyBorder="0" applyAlignment="0" applyProtection="0"/>
    <xf numFmtId="0" fontId="40" fillId="4" borderId="20" applyNumberFormat="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11" fillId="0" borderId="0"/>
    <xf numFmtId="9" fontId="11"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9" fontId="9"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9" fillId="0" borderId="0"/>
    <xf numFmtId="0" fontId="5" fillId="0" borderId="0"/>
    <xf numFmtId="9" fontId="5" fillId="0" borderId="0" applyFont="0" applyFill="0" applyBorder="0" applyAlignment="0" applyProtection="0"/>
    <xf numFmtId="0" fontId="55" fillId="14" borderId="0" applyNumberFormat="0" applyBorder="0" applyAlignment="0" applyProtection="0"/>
    <xf numFmtId="0" fontId="55" fillId="18" borderId="0" applyNumberFormat="0" applyBorder="0" applyAlignment="0" applyProtection="0"/>
    <xf numFmtId="0" fontId="55" fillId="22" borderId="0" applyNumberFormat="0" applyBorder="0" applyAlignment="0" applyProtection="0"/>
    <xf numFmtId="0" fontId="55" fillId="26" borderId="0" applyNumberFormat="0" applyBorder="0" applyAlignment="0" applyProtection="0"/>
    <xf numFmtId="0" fontId="55" fillId="30" borderId="0" applyNumberFormat="0" applyBorder="0" applyAlignment="0" applyProtection="0"/>
    <xf numFmtId="0" fontId="55" fillId="34" borderId="0" applyNumberFormat="0" applyBorder="0" applyAlignment="0" applyProtection="0"/>
    <xf numFmtId="0" fontId="55" fillId="15" borderId="0" applyNumberFormat="0" applyBorder="0" applyAlignment="0" applyProtection="0"/>
    <xf numFmtId="0" fontId="55" fillId="19" borderId="0" applyNumberFormat="0" applyBorder="0" applyAlignment="0" applyProtection="0"/>
    <xf numFmtId="0" fontId="55" fillId="23" borderId="0" applyNumberFormat="0" applyBorder="0" applyAlignment="0" applyProtection="0"/>
    <xf numFmtId="0" fontId="55" fillId="27" borderId="0" applyNumberFormat="0" applyBorder="0" applyAlignment="0" applyProtection="0"/>
    <xf numFmtId="0" fontId="55" fillId="31" borderId="0" applyNumberFormat="0" applyBorder="0" applyAlignment="0" applyProtection="0"/>
    <xf numFmtId="0" fontId="55" fillId="35" borderId="0" applyNumberFormat="0" applyBorder="0" applyAlignment="0" applyProtection="0"/>
    <xf numFmtId="0" fontId="56" fillId="16" borderId="0" applyNumberFormat="0" applyBorder="0" applyAlignment="0" applyProtection="0"/>
    <xf numFmtId="0" fontId="56" fillId="20" borderId="0" applyNumberFormat="0" applyBorder="0" applyAlignment="0" applyProtection="0"/>
    <xf numFmtId="0" fontId="56" fillId="24" borderId="0" applyNumberFormat="0" applyBorder="0" applyAlignment="0" applyProtection="0"/>
    <xf numFmtId="0" fontId="56" fillId="28" borderId="0" applyNumberFormat="0" applyBorder="0" applyAlignment="0" applyProtection="0"/>
    <xf numFmtId="0" fontId="56" fillId="32" borderId="0" applyNumberFormat="0" applyBorder="0" applyAlignment="0" applyProtection="0"/>
    <xf numFmtId="0" fontId="56" fillId="36" borderId="0" applyNumberFormat="0" applyBorder="0" applyAlignment="0" applyProtection="0"/>
    <xf numFmtId="0" fontId="56" fillId="13" borderId="0" applyNumberFormat="0" applyBorder="0" applyAlignment="0" applyProtection="0"/>
    <xf numFmtId="0" fontId="56" fillId="17" borderId="0" applyNumberFormat="0" applyBorder="0" applyAlignment="0" applyProtection="0"/>
    <xf numFmtId="0" fontId="56" fillId="21" borderId="0" applyNumberFormat="0" applyBorder="0" applyAlignment="0" applyProtection="0"/>
    <xf numFmtId="0" fontId="56" fillId="25" borderId="0" applyNumberFormat="0" applyBorder="0" applyAlignment="0" applyProtection="0"/>
    <xf numFmtId="0" fontId="56" fillId="29" borderId="0" applyNumberFormat="0" applyBorder="0" applyAlignment="0" applyProtection="0"/>
    <xf numFmtId="0" fontId="56" fillId="33" borderId="0" applyNumberFormat="0" applyBorder="0" applyAlignment="0" applyProtection="0"/>
    <xf numFmtId="0" fontId="57" fillId="7" borderId="0" applyNumberFormat="0" applyBorder="0" applyAlignment="0" applyProtection="0"/>
    <xf numFmtId="0" fontId="58" fillId="10" borderId="40" applyNumberFormat="0" applyAlignment="0" applyProtection="0"/>
    <xf numFmtId="0" fontId="59" fillId="11" borderId="43" applyNumberFormat="0" applyAlignment="0" applyProtection="0"/>
    <xf numFmtId="0" fontId="60" fillId="0" borderId="0" applyNumberFormat="0" applyFill="0" applyBorder="0" applyAlignment="0" applyProtection="0"/>
    <xf numFmtId="0" fontId="61" fillId="6" borderId="0" applyNumberFormat="0" applyBorder="0" applyAlignment="0" applyProtection="0"/>
    <xf numFmtId="0" fontId="51" fillId="0" borderId="37" applyNumberFormat="0" applyFill="0" applyAlignment="0" applyProtection="0"/>
    <xf numFmtId="0" fontId="52" fillId="0" borderId="38" applyNumberFormat="0" applyFill="0" applyAlignment="0" applyProtection="0"/>
    <xf numFmtId="0" fontId="53" fillId="0" borderId="39" applyNumberFormat="0" applyFill="0" applyAlignment="0" applyProtection="0"/>
    <xf numFmtId="0" fontId="53" fillId="0" borderId="0" applyNumberFormat="0" applyFill="0" applyBorder="0" applyAlignment="0" applyProtection="0"/>
    <xf numFmtId="0" fontId="62" fillId="9" borderId="40" applyNumberFormat="0" applyAlignment="0" applyProtection="0"/>
    <xf numFmtId="0" fontId="23" fillId="0" borderId="0" applyNumberFormat="0" applyFill="0" applyBorder="0" applyAlignment="0" applyProtection="0"/>
    <xf numFmtId="0" fontId="63" fillId="0" borderId="42" applyNumberFormat="0" applyFill="0" applyAlignment="0" applyProtection="0"/>
    <xf numFmtId="0" fontId="64" fillId="8" borderId="0" applyNumberFormat="0" applyBorder="0" applyAlignment="0" applyProtection="0"/>
    <xf numFmtId="0" fontId="55" fillId="12" borderId="44" applyNumberFormat="0" applyFont="0" applyAlignment="0" applyProtection="0"/>
    <xf numFmtId="0" fontId="65" fillId="10" borderId="41" applyNumberFormat="0" applyAlignment="0" applyProtection="0"/>
    <xf numFmtId="0" fontId="66" fillId="0" borderId="45" applyNumberFormat="0" applyFill="0" applyAlignment="0" applyProtection="0"/>
    <xf numFmtId="0" fontId="67"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1" fillId="0" borderId="0"/>
    <xf numFmtId="9" fontId="1" fillId="0" borderId="0" applyFont="0" applyFill="0" applyBorder="0" applyAlignment="0" applyProtection="0"/>
  </cellStyleXfs>
  <cellXfs count="512">
    <xf numFmtId="0" fontId="0" fillId="0" borderId="0" xfId="0"/>
    <xf numFmtId="0" fontId="0" fillId="0" borderId="0" xfId="0" applyAlignment="1">
      <alignment wrapText="1"/>
    </xf>
    <xf numFmtId="9" fontId="0" fillId="0" borderId="0" xfId="1" applyFont="1"/>
    <xf numFmtId="0" fontId="15" fillId="0" borderId="0" xfId="0" applyFont="1" applyAlignment="1">
      <alignment horizontal="center" vertical="center" wrapText="1"/>
    </xf>
    <xf numFmtId="0" fontId="15" fillId="0" borderId="0" xfId="0" applyFont="1"/>
    <xf numFmtId="0" fontId="15" fillId="0" borderId="2" xfId="0" applyFont="1" applyBorder="1" applyAlignment="1">
      <alignment horizontal="center" vertical="center" wrapText="1"/>
    </xf>
    <xf numFmtId="0" fontId="15" fillId="0" borderId="5" xfId="0" applyFont="1" applyBorder="1" applyAlignment="1">
      <alignment horizontal="center"/>
    </xf>
    <xf numFmtId="0" fontId="15" fillId="0" borderId="7" xfId="0" applyNumberFormat="1" applyFont="1" applyBorder="1" applyAlignment="1">
      <alignment horizontal="center"/>
    </xf>
    <xf numFmtId="0" fontId="15" fillId="0" borderId="11" xfId="0" applyFont="1" applyBorder="1" applyAlignment="1">
      <alignment horizontal="center" vertical="center" wrapText="1"/>
    </xf>
    <xf numFmtId="0" fontId="26" fillId="0" borderId="11" xfId="0" applyFont="1" applyBorder="1" applyAlignment="1">
      <alignment horizontal="center" vertical="center" wrapText="1"/>
    </xf>
    <xf numFmtId="0" fontId="28" fillId="0" borderId="11" xfId="0" applyFont="1" applyBorder="1" applyAlignment="1">
      <alignment horizontal="center" vertical="center" wrapText="1"/>
    </xf>
    <xf numFmtId="0" fontId="15" fillId="0" borderId="10" xfId="0" applyFont="1" applyBorder="1" applyAlignment="1">
      <alignment horizontal="center" vertical="center" wrapText="1"/>
    </xf>
    <xf numFmtId="166" fontId="15" fillId="0" borderId="0" xfId="0" applyNumberFormat="1" applyFont="1" applyBorder="1" applyAlignment="1">
      <alignment horizontal="center" vertical="center"/>
    </xf>
    <xf numFmtId="0" fontId="15" fillId="0" borderId="0" xfId="0" applyFont="1" applyBorder="1" applyAlignment="1">
      <alignment horizontal="center" vertical="center"/>
    </xf>
    <xf numFmtId="9" fontId="15" fillId="0" borderId="0" xfId="0" applyNumberFormat="1" applyFont="1" applyFill="1" applyBorder="1" applyAlignment="1">
      <alignment horizontal="center" vertical="center"/>
    </xf>
    <xf numFmtId="167" fontId="15" fillId="0" borderId="0" xfId="0" applyNumberFormat="1" applyFont="1" applyBorder="1" applyAlignment="1">
      <alignment horizontal="center" vertical="center"/>
    </xf>
    <xf numFmtId="9" fontId="15" fillId="0" borderId="0" xfId="0" applyNumberFormat="1" applyFont="1" applyBorder="1" applyAlignment="1">
      <alignment horizontal="center" vertical="center"/>
    </xf>
    <xf numFmtId="164" fontId="15" fillId="0" borderId="0" xfId="1" applyNumberFormat="1" applyFont="1" applyBorder="1" applyAlignment="1">
      <alignment horizontal="center" vertical="center"/>
    </xf>
    <xf numFmtId="164" fontId="15" fillId="0" borderId="6" xfId="0" applyNumberFormat="1" applyFont="1" applyBorder="1" applyAlignment="1">
      <alignment horizontal="center" vertical="center"/>
    </xf>
    <xf numFmtId="3" fontId="15" fillId="0" borderId="0" xfId="0" applyNumberFormat="1" applyFont="1" applyBorder="1" applyAlignment="1">
      <alignment horizontal="center" vertical="center"/>
    </xf>
    <xf numFmtId="9" fontId="15" fillId="0" borderId="0" xfId="1" applyFont="1" applyBorder="1" applyAlignment="1">
      <alignment horizontal="center" vertical="center"/>
    </xf>
    <xf numFmtId="167" fontId="15" fillId="0" borderId="6" xfId="0" applyNumberFormat="1" applyFont="1" applyBorder="1" applyAlignment="1">
      <alignment horizontal="center" vertical="center"/>
    </xf>
    <xf numFmtId="166" fontId="15" fillId="0" borderId="6" xfId="0" applyNumberFormat="1" applyFont="1" applyBorder="1" applyAlignment="1">
      <alignment horizontal="center" vertical="center"/>
    </xf>
    <xf numFmtId="3" fontId="15" fillId="0" borderId="6" xfId="0" applyNumberFormat="1" applyFont="1" applyBorder="1" applyAlignment="1">
      <alignment horizontal="center" vertical="center"/>
    </xf>
    <xf numFmtId="164" fontId="15" fillId="0" borderId="6" xfId="1" applyNumberFormat="1" applyFont="1" applyBorder="1" applyAlignment="1">
      <alignment horizontal="center" vertical="center"/>
    </xf>
    <xf numFmtId="3" fontId="26" fillId="0" borderId="0" xfId="0" applyNumberFormat="1" applyFont="1" applyBorder="1" applyAlignment="1">
      <alignment horizontal="center" vertical="center"/>
    </xf>
    <xf numFmtId="0" fontId="26" fillId="0" borderId="0" xfId="0" applyFont="1" applyBorder="1" applyAlignment="1">
      <alignment horizontal="center" vertical="center"/>
    </xf>
    <xf numFmtId="9" fontId="15" fillId="0" borderId="0" xfId="1" applyFont="1" applyFill="1" applyBorder="1" applyAlignment="1">
      <alignment horizontal="center" vertical="center"/>
    </xf>
    <xf numFmtId="3" fontId="26" fillId="0" borderId="0" xfId="0" applyNumberFormat="1" applyFont="1" applyFill="1" applyBorder="1" applyAlignment="1">
      <alignment horizontal="center" vertical="center"/>
    </xf>
    <xf numFmtId="3" fontId="15" fillId="0" borderId="8" xfId="0" applyNumberFormat="1" applyFont="1" applyBorder="1" applyAlignment="1">
      <alignment horizontal="center" vertical="center"/>
    </xf>
    <xf numFmtId="3" fontId="26" fillId="0" borderId="8" xfId="0" applyNumberFormat="1" applyFont="1" applyBorder="1" applyAlignment="1">
      <alignment horizontal="center" vertical="center"/>
    </xf>
    <xf numFmtId="3" fontId="26" fillId="0" borderId="8" xfId="0" applyNumberFormat="1" applyFont="1" applyFill="1" applyBorder="1" applyAlignment="1">
      <alignment horizontal="center" vertical="center"/>
    </xf>
    <xf numFmtId="9" fontId="15" fillId="0" borderId="8" xfId="1" applyFont="1" applyFill="1" applyBorder="1" applyAlignment="1">
      <alignment horizontal="center" vertical="center"/>
    </xf>
    <xf numFmtId="3" fontId="15" fillId="0" borderId="8" xfId="0" applyNumberFormat="1" applyFont="1" applyFill="1" applyBorder="1" applyAlignment="1">
      <alignment horizontal="center" vertical="center"/>
    </xf>
    <xf numFmtId="9" fontId="15" fillId="0" borderId="8" xfId="0" applyNumberFormat="1" applyFont="1" applyBorder="1" applyAlignment="1">
      <alignment horizontal="center" vertical="center"/>
    </xf>
    <xf numFmtId="164" fontId="15" fillId="0" borderId="8" xfId="1" applyNumberFormat="1" applyFont="1" applyBorder="1" applyAlignment="1">
      <alignment horizontal="center" vertical="center"/>
    </xf>
    <xf numFmtId="164" fontId="15" fillId="0" borderId="9" xfId="1" applyNumberFormat="1" applyFont="1" applyBorder="1" applyAlignment="1">
      <alignment horizontal="center" vertical="center"/>
    </xf>
    <xf numFmtId="0" fontId="15" fillId="0" borderId="8" xfId="0" applyFont="1" applyBorder="1" applyAlignment="1">
      <alignment horizontal="center" vertical="center"/>
    </xf>
    <xf numFmtId="9" fontId="15" fillId="0" borderId="8" xfId="1" applyFont="1" applyBorder="1" applyAlignment="1">
      <alignment horizontal="center" vertical="center"/>
    </xf>
    <xf numFmtId="3" fontId="15" fillId="0" borderId="9" xfId="0" applyNumberFormat="1" applyFont="1" applyBorder="1" applyAlignment="1">
      <alignment horizontal="center" vertical="center"/>
    </xf>
    <xf numFmtId="0" fontId="14" fillId="0" borderId="0" xfId="0" applyFont="1"/>
    <xf numFmtId="0" fontId="13" fillId="0" borderId="0" xfId="0" applyFont="1"/>
    <xf numFmtId="0" fontId="21" fillId="0" borderId="12" xfId="163" applyBorder="1"/>
    <xf numFmtId="0" fontId="21" fillId="0" borderId="0" xfId="163"/>
    <xf numFmtId="3" fontId="15" fillId="0" borderId="0" xfId="0" applyNumberFormat="1" applyFont="1" applyAlignment="1">
      <alignment horizontal="center"/>
    </xf>
    <xf numFmtId="0" fontId="12" fillId="0" borderId="0" xfId="0" applyFont="1"/>
    <xf numFmtId="0" fontId="47" fillId="0" borderId="0" xfId="242" applyFont="1" applyAlignment="1">
      <alignment horizontal="center" vertical="center" wrapText="1"/>
    </xf>
    <xf numFmtId="164" fontId="47" fillId="0" borderId="0" xfId="242" applyNumberFormat="1" applyFont="1" applyAlignment="1">
      <alignment horizontal="center"/>
    </xf>
    <xf numFmtId="9" fontId="10" fillId="0" borderId="0" xfId="1" applyFont="1" applyAlignment="1">
      <alignment horizontal="center"/>
    </xf>
    <xf numFmtId="3" fontId="10" fillId="0" borderId="0" xfId="0" applyNumberFormat="1" applyFont="1" applyAlignment="1">
      <alignment horizontal="center"/>
    </xf>
    <xf numFmtId="9" fontId="25" fillId="0" borderId="0" xfId="1" applyFont="1" applyAlignment="1">
      <alignment horizontal="center"/>
    </xf>
    <xf numFmtId="3" fontId="25" fillId="0" borderId="0" xfId="0" applyNumberFormat="1" applyFont="1" applyAlignment="1">
      <alignment horizontal="center"/>
    </xf>
    <xf numFmtId="0" fontId="10" fillId="0" borderId="0" xfId="0" applyFont="1" applyAlignment="1">
      <alignment horizontal="center"/>
    </xf>
    <xf numFmtId="9" fontId="10" fillId="0" borderId="0" xfId="0" applyNumberFormat="1" applyFont="1" applyAlignment="1">
      <alignment horizontal="center"/>
    </xf>
    <xf numFmtId="0" fontId="10" fillId="0" borderId="0" xfId="0" applyFont="1" applyAlignment="1">
      <alignment horizontal="center" vertical="center" wrapText="1"/>
    </xf>
    <xf numFmtId="10" fontId="10" fillId="0" borderId="0" xfId="0" applyNumberFormat="1" applyFont="1" applyAlignment="1">
      <alignment horizontal="center"/>
    </xf>
    <xf numFmtId="0" fontId="25" fillId="0" borderId="0" xfId="0" applyFont="1" applyAlignment="1">
      <alignment horizontal="center"/>
    </xf>
    <xf numFmtId="9" fontId="10" fillId="0" borderId="0" xfId="1" applyNumberFormat="1" applyFont="1" applyAlignment="1">
      <alignment horizontal="center"/>
    </xf>
    <xf numFmtId="9" fontId="0" fillId="0" borderId="0" xfId="252" applyFont="1" applyAlignment="1">
      <alignment wrapText="1"/>
    </xf>
    <xf numFmtId="9" fontId="0" fillId="0" borderId="0" xfId="252" applyFont="1" applyAlignment="1">
      <alignment horizontal="center" wrapText="1"/>
    </xf>
    <xf numFmtId="9" fontId="0" fillId="0" borderId="0" xfId="0" applyNumberFormat="1" applyAlignment="1">
      <alignment wrapText="1"/>
    </xf>
    <xf numFmtId="168" fontId="0" fillId="0" borderId="0" xfId="0" applyNumberFormat="1" applyAlignment="1">
      <alignment wrapText="1"/>
    </xf>
    <xf numFmtId="9" fontId="0" fillId="0" borderId="0" xfId="1" applyFont="1" applyAlignment="1">
      <alignment horizontal="center"/>
    </xf>
    <xf numFmtId="9" fontId="0" fillId="0" borderId="0" xfId="0" applyNumberFormat="1"/>
    <xf numFmtId="1" fontId="21" fillId="0" borderId="0" xfId="163" applyNumberFormat="1"/>
    <xf numFmtId="0" fontId="21" fillId="5" borderId="0" xfId="163" applyFill="1"/>
    <xf numFmtId="0" fontId="21" fillId="5" borderId="0" xfId="163" applyFill="1" applyBorder="1"/>
    <xf numFmtId="0" fontId="30" fillId="5" borderId="0" xfId="163" applyFont="1" applyFill="1" applyBorder="1" applyAlignment="1">
      <alignment vertical="center" wrapText="1"/>
    </xf>
    <xf numFmtId="0" fontId="32" fillId="5" borderId="8" xfId="163" applyFont="1" applyFill="1" applyBorder="1" applyAlignment="1">
      <alignment vertical="center" wrapText="1"/>
    </xf>
    <xf numFmtId="0" fontId="43" fillId="5" borderId="0" xfId="163" applyFont="1" applyFill="1" applyBorder="1" applyAlignment="1">
      <alignment vertical="center" wrapText="1"/>
    </xf>
    <xf numFmtId="0" fontId="21" fillId="0" borderId="0" xfId="163" applyAlignment="1">
      <alignment vertical="center"/>
    </xf>
    <xf numFmtId="164" fontId="15" fillId="0" borderId="0" xfId="1" applyNumberFormat="1" applyFont="1" applyAlignment="1">
      <alignment horizontal="center"/>
    </xf>
    <xf numFmtId="0" fontId="32" fillId="5" borderId="12" xfId="163" applyFont="1" applyFill="1" applyBorder="1"/>
    <xf numFmtId="0" fontId="21" fillId="5" borderId="12" xfId="163" applyFill="1" applyBorder="1"/>
    <xf numFmtId="0" fontId="21" fillId="5" borderId="0" xfId="163" applyFill="1" applyAlignment="1">
      <alignment vertical="center"/>
    </xf>
    <xf numFmtId="0" fontId="32" fillId="5" borderId="0" xfId="163" applyFont="1" applyFill="1" applyBorder="1"/>
    <xf numFmtId="0" fontId="8" fillId="0" borderId="0" xfId="0" applyFont="1"/>
    <xf numFmtId="0" fontId="8" fillId="0" borderId="0" xfId="0" applyFont="1" applyAlignment="1">
      <alignment wrapText="1"/>
    </xf>
    <xf numFmtId="3" fontId="8" fillId="0" borderId="0" xfId="0" applyNumberFormat="1" applyFont="1"/>
    <xf numFmtId="3" fontId="8" fillId="0" borderId="0" xfId="0" applyNumberFormat="1" applyFont="1" applyFill="1"/>
    <xf numFmtId="0" fontId="8" fillId="0" borderId="2" xfId="0" applyFont="1" applyBorder="1"/>
    <xf numFmtId="0" fontId="8" fillId="0" borderId="3" xfId="0" applyFont="1" applyBorder="1"/>
    <xf numFmtId="0" fontId="8" fillId="0" borderId="4" xfId="0" applyFont="1" applyBorder="1"/>
    <xf numFmtId="0" fontId="8" fillId="0" borderId="5" xfId="0" applyFont="1" applyBorder="1"/>
    <xf numFmtId="0" fontId="8" fillId="0" borderId="0" xfId="0" applyFont="1" applyBorder="1"/>
    <xf numFmtId="0" fontId="8" fillId="0" borderId="6" xfId="0" applyFont="1" applyBorder="1"/>
    <xf numFmtId="0" fontId="8" fillId="0" borderId="7" xfId="0" applyFont="1" applyBorder="1"/>
    <xf numFmtId="0" fontId="8" fillId="0" borderId="8" xfId="0" applyFont="1" applyBorder="1"/>
    <xf numFmtId="0" fontId="8" fillId="0" borderId="9" xfId="0" applyFont="1" applyBorder="1"/>
    <xf numFmtId="0" fontId="8" fillId="0" borderId="2" xfId="0" applyFont="1" applyBorder="1" applyAlignment="1">
      <alignment wrapText="1"/>
    </xf>
    <xf numFmtId="3" fontId="8" fillId="0" borderId="0" xfId="0" applyNumberFormat="1" applyFont="1" applyBorder="1" applyAlignment="1">
      <alignment horizontal="center"/>
    </xf>
    <xf numFmtId="9" fontId="8" fillId="0" borderId="0" xfId="1" applyFont="1" applyBorder="1" applyAlignment="1">
      <alignment horizontal="center"/>
    </xf>
    <xf numFmtId="166" fontId="26" fillId="0" borderId="6" xfId="0" applyNumberFormat="1" applyFont="1" applyBorder="1" applyAlignment="1">
      <alignment horizontal="center"/>
    </xf>
    <xf numFmtId="0" fontId="26" fillId="0" borderId="5" xfId="0" applyFont="1" applyBorder="1"/>
    <xf numFmtId="3" fontId="26" fillId="0" borderId="0" xfId="0" applyNumberFormat="1" applyFont="1" applyBorder="1" applyAlignment="1">
      <alignment horizontal="center"/>
    </xf>
    <xf numFmtId="9" fontId="26" fillId="0" borderId="0" xfId="1" applyFont="1" applyBorder="1" applyAlignment="1">
      <alignment horizontal="center"/>
    </xf>
    <xf numFmtId="0" fontId="26" fillId="0" borderId="5" xfId="0" applyFont="1" applyFill="1" applyBorder="1"/>
    <xf numFmtId="9" fontId="26" fillId="0" borderId="0" xfId="1" applyFont="1" applyFill="1" applyBorder="1" applyAlignment="1">
      <alignment horizontal="center"/>
    </xf>
    <xf numFmtId="9" fontId="8" fillId="0" borderId="0" xfId="1" applyNumberFormat="1" applyFont="1" applyBorder="1" applyAlignment="1">
      <alignment horizontal="center"/>
    </xf>
    <xf numFmtId="3" fontId="25" fillId="0" borderId="8" xfId="0" applyNumberFormat="1" applyFont="1" applyBorder="1" applyAlignment="1">
      <alignment horizontal="center"/>
    </xf>
    <xf numFmtId="9" fontId="25" fillId="0" borderId="8" xfId="1" applyFont="1" applyBorder="1" applyAlignment="1">
      <alignment horizontal="center"/>
    </xf>
    <xf numFmtId="9" fontId="25" fillId="0" borderId="9" xfId="1" applyFont="1" applyBorder="1" applyAlignment="1">
      <alignment horizontal="center"/>
    </xf>
    <xf numFmtId="0" fontId="13" fillId="0" borderId="29" xfId="0" applyFont="1" applyBorder="1"/>
    <xf numFmtId="0" fontId="13" fillId="0" borderId="30" xfId="0" applyFont="1" applyBorder="1"/>
    <xf numFmtId="0" fontId="13" fillId="0" borderId="32" xfId="0" applyFont="1" applyBorder="1"/>
    <xf numFmtId="0" fontId="13" fillId="0" borderId="0" xfId="0" applyFont="1" applyBorder="1"/>
    <xf numFmtId="3" fontId="13" fillId="0" borderId="0" xfId="0" applyNumberFormat="1" applyFont="1" applyBorder="1"/>
    <xf numFmtId="9" fontId="13" fillId="0" borderId="0" xfId="1" applyFont="1" applyBorder="1" applyAlignment="1">
      <alignment horizontal="center"/>
    </xf>
    <xf numFmtId="3" fontId="13" fillId="0" borderId="33" xfId="0" applyNumberFormat="1" applyFont="1" applyBorder="1"/>
    <xf numFmtId="164" fontId="13" fillId="0" borderId="0" xfId="1" applyNumberFormat="1" applyFont="1" applyBorder="1" applyAlignment="1">
      <alignment horizontal="center"/>
    </xf>
    <xf numFmtId="0" fontId="13" fillId="0" borderId="35" xfId="0" applyFont="1" applyBorder="1"/>
    <xf numFmtId="3" fontId="13" fillId="0" borderId="35" xfId="0" applyNumberFormat="1" applyFont="1" applyBorder="1"/>
    <xf numFmtId="9" fontId="13" fillId="0" borderId="35" xfId="1" applyFont="1" applyBorder="1" applyAlignment="1">
      <alignment horizontal="center"/>
    </xf>
    <xf numFmtId="3" fontId="13" fillId="0" borderId="36" xfId="0" applyNumberFormat="1" applyFont="1" applyBorder="1"/>
    <xf numFmtId="9" fontId="8" fillId="0" borderId="0" xfId="0" applyNumberFormat="1" applyFont="1" applyAlignment="1">
      <alignment horizontal="center"/>
    </xf>
    <xf numFmtId="0" fontId="41" fillId="5" borderId="0" xfId="163"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6" fillId="0" borderId="5" xfId="0" applyFont="1" applyBorder="1"/>
    <xf numFmtId="0" fontId="6" fillId="0" borderId="7" xfId="0" applyFont="1" applyBorder="1" applyAlignment="1">
      <alignment wrapText="1"/>
    </xf>
    <xf numFmtId="0" fontId="6" fillId="0" borderId="0" xfId="0" applyFont="1"/>
    <xf numFmtId="0" fontId="6" fillId="0" borderId="0" xfId="0" applyFont="1" applyAlignment="1">
      <alignment wrapText="1"/>
    </xf>
    <xf numFmtId="0" fontId="5" fillId="0" borderId="0" xfId="0" applyFont="1"/>
    <xf numFmtId="0" fontId="5" fillId="0" borderId="5" xfId="0" applyFont="1" applyBorder="1"/>
    <xf numFmtId="0" fontId="42" fillId="0" borderId="0" xfId="163" applyFont="1" applyFill="1" applyBorder="1" applyAlignment="1">
      <alignment horizontal="center" vertical="center" wrapText="1"/>
    </xf>
    <xf numFmtId="0" fontId="41" fillId="0" borderId="0" xfId="163" applyFont="1" applyFill="1" applyBorder="1" applyAlignment="1">
      <alignment horizontal="center" vertical="center" wrapText="1"/>
    </xf>
    <xf numFmtId="0" fontId="21" fillId="0" borderId="0" xfId="163" applyFill="1"/>
    <xf numFmtId="0" fontId="32" fillId="0" borderId="0" xfId="163" applyFont="1" applyFill="1" applyBorder="1" applyAlignment="1">
      <alignment vertical="center" wrapText="1"/>
    </xf>
    <xf numFmtId="0" fontId="44" fillId="0" borderId="0" xfId="163" applyFont="1" applyFill="1" applyBorder="1" applyAlignment="1">
      <alignment vertical="center" wrapText="1"/>
    </xf>
    <xf numFmtId="0" fontId="32" fillId="0" borderId="27" xfId="163" applyFont="1" applyFill="1" applyBorder="1" applyAlignment="1">
      <alignment horizontal="center" vertical="center" wrapText="1"/>
    </xf>
    <xf numFmtId="0" fontId="32" fillId="0" borderId="28" xfId="163" applyFont="1" applyFill="1" applyBorder="1" applyAlignment="1">
      <alignment vertical="center" wrapText="1"/>
    </xf>
    <xf numFmtId="1" fontId="21" fillId="0" borderId="0" xfId="163" applyNumberFormat="1" applyAlignment="1">
      <alignment horizontal="center"/>
    </xf>
    <xf numFmtId="0" fontId="5" fillId="0" borderId="0" xfId="0" applyFont="1" applyAlignment="1">
      <alignment horizontal="center" vertical="center" wrapText="1"/>
    </xf>
    <xf numFmtId="0" fontId="26" fillId="0" borderId="5" xfId="0" applyFont="1" applyBorder="1" applyAlignment="1">
      <alignment horizontal="center"/>
    </xf>
    <xf numFmtId="0" fontId="26" fillId="0" borderId="5" xfId="0" applyFont="1" applyFill="1" applyBorder="1" applyAlignment="1">
      <alignment horizontal="center"/>
    </xf>
    <xf numFmtId="0" fontId="5" fillId="0" borderId="0" xfId="0" applyFont="1" applyAlignment="1">
      <alignment horizontal="center"/>
    </xf>
    <xf numFmtId="0" fontId="28" fillId="0" borderId="0" xfId="0" applyFont="1" applyAlignment="1">
      <alignment horizontal="center" vertical="center" wrapText="1"/>
    </xf>
    <xf numFmtId="164" fontId="5" fillId="0" borderId="0" xfId="11" applyNumberFormat="1" applyFont="1" applyAlignment="1">
      <alignment horizontal="center"/>
    </xf>
    <xf numFmtId="9" fontId="5" fillId="0" borderId="0" xfId="8" applyNumberFormat="1" applyFont="1" applyAlignment="1">
      <alignment horizontal="center"/>
    </xf>
    <xf numFmtId="9" fontId="10" fillId="0" borderId="0" xfId="1" applyFont="1" applyFill="1" applyAlignment="1">
      <alignment horizontal="center"/>
    </xf>
    <xf numFmtId="0" fontId="5" fillId="0" borderId="0" xfId="318" applyFont="1" applyAlignment="1">
      <alignment horizontal="center"/>
    </xf>
    <xf numFmtId="0" fontId="5" fillId="0" borderId="0" xfId="319"/>
    <xf numFmtId="0" fontId="0" fillId="0" borderId="0" xfId="318" applyFont="1" applyAlignment="1">
      <alignment horizontal="center"/>
    </xf>
    <xf numFmtId="0" fontId="5" fillId="0" borderId="13" xfId="318" applyFont="1" applyBorder="1" applyAlignment="1">
      <alignment horizontal="center" vertical="center" wrapText="1"/>
    </xf>
    <xf numFmtId="0" fontId="5" fillId="0" borderId="0" xfId="318" applyFont="1" applyAlignment="1">
      <alignment horizontal="center" vertical="center" wrapText="1"/>
    </xf>
    <xf numFmtId="0" fontId="0" fillId="0" borderId="0" xfId="318" applyFont="1" applyAlignment="1">
      <alignment horizontal="center" vertical="center" wrapText="1"/>
    </xf>
    <xf numFmtId="0" fontId="5" fillId="0" borderId="15" xfId="318" applyFont="1" applyBorder="1" applyAlignment="1">
      <alignment horizontal="center"/>
    </xf>
    <xf numFmtId="3" fontId="5" fillId="0" borderId="15" xfId="318" applyNumberFormat="1" applyFont="1" applyBorder="1" applyAlignment="1">
      <alignment horizontal="center"/>
    </xf>
    <xf numFmtId="9" fontId="5" fillId="0" borderId="15" xfId="320" applyNumberFormat="1" applyFont="1" applyBorder="1" applyAlignment="1">
      <alignment horizontal="center"/>
    </xf>
    <xf numFmtId="3" fontId="25" fillId="0" borderId="0" xfId="318" applyNumberFormat="1" applyFont="1" applyAlignment="1">
      <alignment horizontal="center"/>
    </xf>
    <xf numFmtId="3" fontId="5" fillId="0" borderId="0" xfId="318" applyNumberFormat="1" applyFont="1" applyAlignment="1">
      <alignment horizontal="center"/>
    </xf>
    <xf numFmtId="3" fontId="5" fillId="0" borderId="0" xfId="318" applyNumberFormat="1" applyFont="1" applyFill="1" applyBorder="1" applyAlignment="1">
      <alignment horizontal="center"/>
    </xf>
    <xf numFmtId="9" fontId="5" fillId="0" borderId="0" xfId="320" applyNumberFormat="1" applyFont="1" applyFill="1" applyBorder="1" applyAlignment="1">
      <alignment horizontal="center"/>
    </xf>
    <xf numFmtId="9" fontId="5" fillId="0" borderId="0" xfId="320" applyNumberFormat="1" applyFont="1" applyBorder="1" applyAlignment="1">
      <alignment horizontal="center"/>
    </xf>
    <xf numFmtId="3" fontId="5" fillId="0" borderId="0" xfId="318" applyNumberFormat="1" applyFont="1" applyBorder="1" applyAlignment="1">
      <alignment horizontal="center"/>
    </xf>
    <xf numFmtId="0" fontId="25" fillId="0" borderId="46" xfId="318" applyFont="1" applyBorder="1" applyAlignment="1">
      <alignment horizontal="center" vertical="center"/>
    </xf>
    <xf numFmtId="3" fontId="25" fillId="0" borderId="46" xfId="318" applyNumberFormat="1" applyFont="1" applyBorder="1" applyAlignment="1">
      <alignment horizontal="center" vertical="center"/>
    </xf>
    <xf numFmtId="164" fontId="25" fillId="0" borderId="46" xfId="320" applyNumberFormat="1" applyFont="1" applyBorder="1" applyAlignment="1">
      <alignment horizontal="center" vertical="center"/>
    </xf>
    <xf numFmtId="1" fontId="25" fillId="0" borderId="46" xfId="318" applyNumberFormat="1" applyFont="1" applyBorder="1" applyAlignment="1">
      <alignment horizontal="center" vertical="center"/>
    </xf>
    <xf numFmtId="0" fontId="25" fillId="0" borderId="0" xfId="318" applyFont="1" applyAlignment="1">
      <alignment horizontal="center"/>
    </xf>
    <xf numFmtId="0" fontId="54" fillId="0" borderId="0" xfId="318" applyFont="1" applyAlignment="1">
      <alignment wrapText="1"/>
    </xf>
    <xf numFmtId="164" fontId="25" fillId="0" borderId="0" xfId="1" applyNumberFormat="1" applyFont="1" applyAlignment="1">
      <alignment horizontal="center"/>
    </xf>
    <xf numFmtId="10" fontId="25" fillId="0" borderId="0" xfId="1" applyNumberFormat="1" applyFont="1" applyAlignment="1">
      <alignment horizontal="center"/>
    </xf>
    <xf numFmtId="164" fontId="10" fillId="0" borderId="0" xfId="1" applyNumberFormat="1" applyFont="1" applyAlignment="1">
      <alignment horizontal="center"/>
    </xf>
    <xf numFmtId="164" fontId="10" fillId="0" borderId="0" xfId="1" applyNumberFormat="1" applyFont="1" applyFill="1" applyAlignment="1">
      <alignment horizontal="center"/>
    </xf>
    <xf numFmtId="9" fontId="25" fillId="0" borderId="0" xfId="1" applyNumberFormat="1" applyFont="1" applyFill="1" applyAlignment="1">
      <alignment horizontal="center"/>
    </xf>
    <xf numFmtId="0" fontId="5" fillId="0" borderId="32" xfId="0" applyFont="1" applyBorder="1"/>
    <xf numFmtId="0" fontId="5" fillId="0" borderId="30" xfId="0" applyFont="1" applyBorder="1" applyAlignment="1">
      <alignment wrapText="1"/>
    </xf>
    <xf numFmtId="0" fontId="5" fillId="0" borderId="31" xfId="0" applyFont="1" applyBorder="1" applyAlignment="1">
      <alignment wrapText="1"/>
    </xf>
    <xf numFmtId="0" fontId="5" fillId="0" borderId="34" xfId="0" applyFont="1" applyBorder="1"/>
    <xf numFmtId="164" fontId="10" fillId="0" borderId="0" xfId="0" applyNumberFormat="1" applyFont="1" applyAlignment="1">
      <alignment horizontal="center"/>
    </xf>
    <xf numFmtId="0" fontId="5" fillId="0" borderId="0" xfId="318" applyFont="1" applyBorder="1" applyAlignment="1">
      <alignment horizontal="center"/>
    </xf>
    <xf numFmtId="0" fontId="32" fillId="5" borderId="0" xfId="163" applyFont="1" applyFill="1" applyBorder="1" applyAlignment="1">
      <alignment horizontal="center" vertical="center" wrapText="1"/>
    </xf>
    <xf numFmtId="0" fontId="44" fillId="5" borderId="0" xfId="163" applyFont="1" applyFill="1" applyBorder="1" applyAlignment="1">
      <alignment horizontal="center" vertical="center" wrapText="1"/>
    </xf>
    <xf numFmtId="0" fontId="43" fillId="5" borderId="0" xfId="163" applyFont="1" applyFill="1" applyBorder="1" applyAlignment="1">
      <alignment horizontal="center" vertical="center" wrapText="1"/>
    </xf>
    <xf numFmtId="0" fontId="4" fillId="0" borderId="0" xfId="0" applyFont="1"/>
    <xf numFmtId="9" fontId="8" fillId="0" borderId="0" xfId="1" applyFont="1"/>
    <xf numFmtId="0" fontId="7" fillId="0" borderId="0" xfId="0" applyFont="1" applyBorder="1" applyAlignment="1">
      <alignment horizontal="center" vertical="center" wrapText="1"/>
    </xf>
    <xf numFmtId="166" fontId="26" fillId="0" borderId="0" xfId="0" applyNumberFormat="1" applyFont="1" applyBorder="1" applyAlignment="1">
      <alignment horizontal="center"/>
    </xf>
    <xf numFmtId="9" fontId="25" fillId="0" borderId="0" xfId="1" applyFont="1" applyBorder="1" applyAlignment="1">
      <alignment horizontal="center"/>
    </xf>
    <xf numFmtId="0" fontId="4" fillId="0" borderId="0" xfId="0" applyFont="1" applyAlignment="1">
      <alignment wrapText="1"/>
    </xf>
    <xf numFmtId="0" fontId="6" fillId="0" borderId="0" xfId="0" applyFont="1" applyBorder="1" applyAlignment="1">
      <alignment wrapText="1"/>
    </xf>
    <xf numFmtId="3" fontId="25" fillId="0" borderId="0" xfId="0" applyNumberFormat="1" applyFont="1" applyBorder="1" applyAlignment="1">
      <alignment horizontal="center"/>
    </xf>
    <xf numFmtId="9" fontId="8" fillId="0" borderId="0" xfId="1" applyNumberFormat="1" applyFont="1"/>
    <xf numFmtId="9" fontId="0" fillId="0" borderId="0" xfId="0" applyNumberFormat="1" applyAlignment="1">
      <alignment horizontal="center"/>
    </xf>
    <xf numFmtId="9" fontId="0" fillId="0" borderId="0" xfId="252" applyNumberFormat="1" applyFont="1" applyAlignment="1">
      <alignment horizontal="center" wrapText="1"/>
    </xf>
    <xf numFmtId="9" fontId="0" fillId="0" borderId="0" xfId="1" applyNumberFormat="1" applyFont="1" applyAlignment="1">
      <alignment horizontal="center"/>
    </xf>
    <xf numFmtId="0" fontId="3" fillId="0" borderId="0" xfId="0" applyFont="1" applyAlignment="1">
      <alignment horizontal="center"/>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0"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32" fillId="0" borderId="24" xfId="163" applyFont="1" applyFill="1" applyBorder="1" applyAlignment="1">
      <alignment horizontal="center" vertical="center" wrapText="1"/>
    </xf>
    <xf numFmtId="0" fontId="31" fillId="0" borderId="26" xfId="163" applyFont="1" applyFill="1" applyBorder="1" applyAlignment="1">
      <alignment horizontal="center" vertical="center" wrapText="1"/>
    </xf>
    <xf numFmtId="0" fontId="32" fillId="0" borderId="25" xfId="163" applyFont="1" applyFill="1" applyBorder="1" applyAlignment="1">
      <alignment horizontal="center" vertical="center" wrapText="1"/>
    </xf>
    <xf numFmtId="0" fontId="32" fillId="0" borderId="26" xfId="163" applyFont="1" applyFill="1" applyBorder="1" applyAlignment="1">
      <alignment horizontal="center" vertical="center" wrapText="1"/>
    </xf>
    <xf numFmtId="0" fontId="33" fillId="5" borderId="13" xfId="163" applyFont="1" applyFill="1" applyBorder="1" applyAlignment="1">
      <alignment horizontal="justify" vertical="center" wrapText="1"/>
    </xf>
    <xf numFmtId="0" fontId="29" fillId="5" borderId="13" xfId="163" applyFont="1" applyFill="1" applyBorder="1" applyAlignment="1">
      <alignment horizontal="center" vertical="center" wrapText="1"/>
    </xf>
    <xf numFmtId="0" fontId="29" fillId="5" borderId="0" xfId="163" applyFont="1" applyFill="1" applyBorder="1" applyAlignment="1">
      <alignment horizontal="center" vertical="center" wrapText="1"/>
    </xf>
    <xf numFmtId="0" fontId="29" fillId="5" borderId="14" xfId="163" applyFont="1" applyFill="1" applyBorder="1" applyAlignment="1">
      <alignment horizontal="center" vertical="center" wrapText="1"/>
    </xf>
    <xf numFmtId="0" fontId="45" fillId="0" borderId="21" xfId="163" applyFont="1" applyFill="1" applyBorder="1" applyAlignment="1">
      <alignment horizontal="center" vertical="center" wrapText="1"/>
    </xf>
    <xf numFmtId="0" fontId="45" fillId="0" borderId="22" xfId="163" applyFont="1" applyFill="1" applyBorder="1" applyAlignment="1">
      <alignment horizontal="center" vertical="center" wrapText="1"/>
    </xf>
    <xf numFmtId="0" fontId="45" fillId="0" borderId="23" xfId="163" applyFont="1" applyFill="1" applyBorder="1" applyAlignment="1">
      <alignment horizontal="center" vertical="center" wrapText="1"/>
    </xf>
    <xf numFmtId="0" fontId="31" fillId="0" borderId="24" xfId="163" applyFont="1" applyFill="1" applyBorder="1" applyAlignment="1">
      <alignment horizontal="center" vertical="center" wrapText="1"/>
    </xf>
    <xf numFmtId="0" fontId="32" fillId="5" borderId="15" xfId="163" applyFont="1" applyFill="1" applyBorder="1" applyAlignment="1">
      <alignment horizontal="center" vertical="center" wrapText="1"/>
    </xf>
    <xf numFmtId="0" fontId="32" fillId="5" borderId="0" xfId="163" applyFont="1" applyFill="1" applyBorder="1" applyAlignment="1">
      <alignment horizontal="center" vertical="center" wrapText="1"/>
    </xf>
    <xf numFmtId="0" fontId="32" fillId="5" borderId="14" xfId="163" applyFont="1" applyFill="1" applyBorder="1" applyAlignment="1">
      <alignment horizontal="center" vertical="center" wrapText="1"/>
    </xf>
    <xf numFmtId="0" fontId="50" fillId="5" borderId="15" xfId="163" applyFont="1" applyFill="1" applyBorder="1" applyAlignment="1">
      <alignment horizontal="center" vertical="center" wrapText="1"/>
    </xf>
    <xf numFmtId="0" fontId="50" fillId="5" borderId="0" xfId="163" applyFont="1" applyFill="1" applyBorder="1" applyAlignment="1">
      <alignment horizontal="center" vertical="center" wrapText="1"/>
    </xf>
    <xf numFmtId="0" fontId="50" fillId="5" borderId="14" xfId="163" applyFont="1" applyFill="1" applyBorder="1" applyAlignment="1">
      <alignment horizontal="center" vertical="center" wrapText="1"/>
    </xf>
    <xf numFmtId="0" fontId="44" fillId="5" borderId="21" xfId="163" applyFont="1" applyFill="1" applyBorder="1" applyAlignment="1">
      <alignment horizontal="center" vertical="center" wrapText="1"/>
    </xf>
    <xf numFmtId="0" fontId="44" fillId="5" borderId="22" xfId="163" applyFont="1" applyFill="1" applyBorder="1" applyAlignment="1">
      <alignment horizontal="center" vertical="center" wrapText="1"/>
    </xf>
    <xf numFmtId="0" fontId="43" fillId="5" borderId="22" xfId="163" applyFont="1" applyFill="1" applyBorder="1" applyAlignment="1">
      <alignment horizontal="center" vertical="center" wrapText="1"/>
    </xf>
    <xf numFmtId="0" fontId="43" fillId="5" borderId="23" xfId="163" applyFont="1" applyFill="1" applyBorder="1" applyAlignment="1">
      <alignment horizontal="center" vertical="center" wrapText="1"/>
    </xf>
    <xf numFmtId="0" fontId="32" fillId="5" borderId="21" xfId="163" applyFont="1" applyFill="1" applyBorder="1" applyAlignment="1">
      <alignment horizontal="center" vertical="center" wrapText="1"/>
    </xf>
    <xf numFmtId="0" fontId="32" fillId="5" borderId="22" xfId="163" applyFont="1" applyFill="1" applyBorder="1" applyAlignment="1">
      <alignment horizontal="center" vertical="center" wrapText="1"/>
    </xf>
    <xf numFmtId="0" fontId="32" fillId="5" borderId="23" xfId="163" applyFont="1" applyFill="1" applyBorder="1" applyAlignment="1">
      <alignment horizontal="center" vertical="center" wrapText="1"/>
    </xf>
    <xf numFmtId="8" fontId="43" fillId="5" borderId="21" xfId="163" applyNumberFormat="1" applyFont="1" applyFill="1" applyBorder="1" applyAlignment="1">
      <alignment horizontal="center" vertical="center" wrapText="1"/>
    </xf>
    <xf numFmtId="8" fontId="43" fillId="5" borderId="22" xfId="163" applyNumberFormat="1" applyFont="1" applyFill="1" applyBorder="1" applyAlignment="1">
      <alignment horizontal="center" vertical="center" wrapText="1"/>
    </xf>
    <xf numFmtId="8" fontId="43" fillId="5" borderId="23" xfId="163" applyNumberFormat="1" applyFont="1" applyFill="1" applyBorder="1" applyAlignment="1">
      <alignment horizontal="center" vertical="center" wrapText="1"/>
    </xf>
    <xf numFmtId="0" fontId="44" fillId="5" borderId="2" xfId="163" applyFont="1" applyFill="1" applyBorder="1" applyAlignment="1">
      <alignment horizontal="center" vertical="center" wrapText="1"/>
    </xf>
    <xf numFmtId="0" fontId="44" fillId="5" borderId="3" xfId="163" applyFont="1" applyFill="1" applyBorder="1" applyAlignment="1">
      <alignment horizontal="center" vertical="center" wrapText="1"/>
    </xf>
    <xf numFmtId="0" fontId="44" fillId="5" borderId="4" xfId="163" applyFont="1" applyFill="1" applyBorder="1" applyAlignment="1">
      <alignment horizontal="center" vertical="center" wrapText="1"/>
    </xf>
    <xf numFmtId="0" fontId="44" fillId="5" borderId="5" xfId="163" applyFont="1" applyFill="1" applyBorder="1" applyAlignment="1">
      <alignment horizontal="center" vertical="center" wrapText="1"/>
    </xf>
    <xf numFmtId="0" fontId="44" fillId="5" borderId="0" xfId="163" applyFont="1" applyFill="1" applyBorder="1" applyAlignment="1">
      <alignment horizontal="center" vertical="center" wrapText="1"/>
    </xf>
    <xf numFmtId="0" fontId="44" fillId="5" borderId="6" xfId="163" applyFont="1" applyFill="1" applyBorder="1" applyAlignment="1">
      <alignment horizontal="center" vertical="center" wrapText="1"/>
    </xf>
    <xf numFmtId="0" fontId="44" fillId="5" borderId="7" xfId="163" applyFont="1" applyFill="1" applyBorder="1" applyAlignment="1">
      <alignment horizontal="center" vertical="center" wrapText="1"/>
    </xf>
    <xf numFmtId="0" fontId="44" fillId="5" borderId="8" xfId="163" applyFont="1" applyFill="1" applyBorder="1" applyAlignment="1">
      <alignment horizontal="center" vertical="center" wrapText="1"/>
    </xf>
    <xf numFmtId="0" fontId="44" fillId="5" borderId="9" xfId="163" applyFont="1" applyFill="1" applyBorder="1" applyAlignment="1">
      <alignment horizontal="center" vertical="center" wrapText="1"/>
    </xf>
    <xf numFmtId="0" fontId="41" fillId="5" borderId="15" xfId="163" applyFont="1" applyFill="1" applyBorder="1" applyAlignment="1">
      <alignment horizontal="center" vertical="center" wrapText="1"/>
    </xf>
    <xf numFmtId="0" fontId="41" fillId="5" borderId="0" xfId="163" applyFont="1" applyFill="1" applyBorder="1" applyAlignment="1">
      <alignment horizontal="center" vertical="center" wrapText="1"/>
    </xf>
    <xf numFmtId="0" fontId="41" fillId="5" borderId="14" xfId="163" applyFont="1" applyFill="1" applyBorder="1" applyAlignment="1">
      <alignment horizontal="center" vertical="center" wrapText="1"/>
    </xf>
    <xf numFmtId="0" fontId="43" fillId="5" borderId="21" xfId="163" applyFont="1" applyFill="1" applyBorder="1" applyAlignment="1">
      <alignment horizontal="center" vertical="center" wrapText="1"/>
    </xf>
    <xf numFmtId="0" fontId="44" fillId="5" borderId="23" xfId="163" applyFont="1" applyFill="1" applyBorder="1" applyAlignment="1">
      <alignment horizontal="center" vertical="center" wrapText="1"/>
    </xf>
    <xf numFmtId="0" fontId="43" fillId="5" borderId="2" xfId="163" applyFont="1" applyFill="1" applyBorder="1" applyAlignment="1">
      <alignment horizontal="center" vertical="center" wrapText="1"/>
    </xf>
    <xf numFmtId="0" fontId="43" fillId="5" borderId="3" xfId="163" applyFont="1" applyFill="1" applyBorder="1" applyAlignment="1">
      <alignment horizontal="center" vertical="center" wrapText="1"/>
    </xf>
    <xf numFmtId="0" fontId="43" fillId="5" borderId="4" xfId="163" applyFont="1" applyFill="1" applyBorder="1" applyAlignment="1">
      <alignment horizontal="center" vertical="center" wrapText="1"/>
    </xf>
    <xf numFmtId="0" fontId="43" fillId="5" borderId="5" xfId="163" applyFont="1" applyFill="1" applyBorder="1" applyAlignment="1">
      <alignment horizontal="center" vertical="center" wrapText="1"/>
    </xf>
    <xf numFmtId="0" fontId="43" fillId="5" borderId="0" xfId="163" applyFont="1" applyFill="1" applyBorder="1" applyAlignment="1">
      <alignment horizontal="center" vertical="center" wrapText="1"/>
    </xf>
    <xf numFmtId="0" fontId="43" fillId="5" borderId="6" xfId="163" applyFont="1" applyFill="1" applyBorder="1" applyAlignment="1">
      <alignment horizontal="center" vertical="center" wrapText="1"/>
    </xf>
    <xf numFmtId="0" fontId="43" fillId="5" borderId="7" xfId="163" applyFont="1" applyFill="1" applyBorder="1" applyAlignment="1">
      <alignment horizontal="center" vertical="center" wrapText="1"/>
    </xf>
    <xf numFmtId="0" fontId="43" fillId="5" borderId="8" xfId="163" applyFont="1" applyFill="1" applyBorder="1" applyAlignment="1">
      <alignment horizontal="center" vertical="center" wrapText="1"/>
    </xf>
    <xf numFmtId="0" fontId="43" fillId="5" borderId="9" xfId="163" applyFont="1" applyFill="1" applyBorder="1" applyAlignment="1">
      <alignment horizontal="center" vertical="center" wrapText="1"/>
    </xf>
    <xf numFmtId="0" fontId="54" fillId="0" borderId="47" xfId="318" applyFont="1" applyBorder="1" applyAlignment="1">
      <alignment horizontal="left" vertical="center" wrapText="1"/>
    </xf>
    <xf numFmtId="0" fontId="54" fillId="0" borderId="15" xfId="318" applyFont="1" applyBorder="1" applyAlignment="1">
      <alignment horizontal="left" vertical="center" wrapText="1"/>
    </xf>
    <xf numFmtId="0" fontId="54" fillId="0" borderId="48" xfId="318" applyFont="1" applyBorder="1" applyAlignment="1">
      <alignment horizontal="left" vertical="center" wrapText="1"/>
    </xf>
    <xf numFmtId="0" fontId="54" fillId="0" borderId="1" xfId="318" applyFont="1" applyBorder="1" applyAlignment="1">
      <alignment horizontal="left" vertical="center" wrapText="1"/>
    </xf>
    <xf numFmtId="0" fontId="54" fillId="0" borderId="0" xfId="318" applyFont="1" applyBorder="1" applyAlignment="1">
      <alignment horizontal="left" vertical="center" wrapText="1"/>
    </xf>
    <xf numFmtId="0" fontId="54" fillId="0" borderId="49" xfId="318" applyFont="1" applyBorder="1" applyAlignment="1">
      <alignment horizontal="left" vertical="center" wrapText="1"/>
    </xf>
    <xf numFmtId="0" fontId="54" fillId="0" borderId="50" xfId="318" applyFont="1" applyBorder="1" applyAlignment="1">
      <alignment horizontal="left" vertical="center" wrapText="1"/>
    </xf>
    <xf numFmtId="0" fontId="54" fillId="0" borderId="14" xfId="318" applyFont="1" applyBorder="1" applyAlignment="1">
      <alignment horizontal="left" vertical="center" wrapText="1"/>
    </xf>
    <xf numFmtId="0" fontId="54" fillId="0" borderId="51" xfId="318" applyFont="1" applyBorder="1" applyAlignment="1">
      <alignment horizontal="left" vertical="center" wrapText="1"/>
    </xf>
    <xf numFmtId="0" fontId="55" fillId="0" borderId="2" xfId="318" applyFont="1" applyBorder="1" applyAlignment="1">
      <alignment horizontal="left" vertical="center" wrapText="1"/>
    </xf>
    <xf numFmtId="0" fontId="55" fillId="0" borderId="3" xfId="318" applyFont="1" applyBorder="1" applyAlignment="1">
      <alignment horizontal="left" vertical="center" wrapText="1"/>
    </xf>
    <xf numFmtId="0" fontId="55" fillId="0" borderId="4" xfId="318" applyFont="1" applyBorder="1" applyAlignment="1">
      <alignment horizontal="left" vertical="center" wrapText="1"/>
    </xf>
    <xf numFmtId="0" fontId="55" fillId="0" borderId="5" xfId="318" applyFont="1" applyBorder="1" applyAlignment="1">
      <alignment horizontal="left" vertical="center" wrapText="1"/>
    </xf>
    <xf numFmtId="0" fontId="55" fillId="0" borderId="0" xfId="318" applyFont="1" applyBorder="1" applyAlignment="1">
      <alignment horizontal="left" vertical="center" wrapText="1"/>
    </xf>
    <xf numFmtId="0" fontId="55" fillId="0" borderId="6" xfId="318" applyFont="1" applyBorder="1" applyAlignment="1">
      <alignment horizontal="left" vertical="center" wrapText="1"/>
    </xf>
    <xf numFmtId="0" fontId="55" fillId="0" borderId="7" xfId="318" applyFont="1" applyBorder="1" applyAlignment="1">
      <alignment horizontal="left" vertical="center" wrapText="1"/>
    </xf>
    <xf numFmtId="0" fontId="55" fillId="0" borderId="8" xfId="318" applyFont="1" applyBorder="1" applyAlignment="1">
      <alignment horizontal="left" vertical="center" wrapText="1"/>
    </xf>
    <xf numFmtId="0" fontId="55" fillId="0" borderId="9" xfId="318" applyFont="1" applyBorder="1" applyAlignment="1">
      <alignment horizontal="left" vertical="center" wrapText="1"/>
    </xf>
    <xf numFmtId="0" fontId="49" fillId="5" borderId="21" xfId="163" applyFont="1" applyFill="1" applyBorder="1" applyAlignment="1">
      <alignment horizontal="center" vertical="center" wrapText="1"/>
    </xf>
    <xf numFmtId="0" fontId="49" fillId="5" borderId="22" xfId="163" applyFont="1" applyFill="1" applyBorder="1" applyAlignment="1">
      <alignment horizontal="center" vertical="center" wrapText="1"/>
    </xf>
    <xf numFmtId="0" fontId="49" fillId="5" borderId="23" xfId="163" applyFont="1" applyFill="1" applyBorder="1" applyAlignment="1">
      <alignment horizontal="center" vertical="center" wrapText="1"/>
    </xf>
    <xf numFmtId="0" fontId="42" fillId="5" borderId="21" xfId="163" applyFont="1" applyFill="1" applyBorder="1" applyAlignment="1">
      <alignment horizontal="center" vertical="center" wrapText="1"/>
    </xf>
    <xf numFmtId="0" fontId="41" fillId="5" borderId="22" xfId="163" applyFont="1" applyFill="1" applyBorder="1" applyAlignment="1">
      <alignment horizontal="center" vertical="center" wrapText="1"/>
    </xf>
    <xf numFmtId="0" fontId="41" fillId="5" borderId="23" xfId="163" applyFont="1" applyFill="1" applyBorder="1" applyAlignment="1">
      <alignment horizontal="center" vertical="center" wrapText="1"/>
    </xf>
    <xf numFmtId="0" fontId="1" fillId="0" borderId="0" xfId="383" applyFont="1"/>
    <xf numFmtId="0" fontId="25" fillId="0" borderId="0" xfId="383" applyFont="1"/>
    <xf numFmtId="0" fontId="68" fillId="0" borderId="0" xfId="383" applyFont="1"/>
    <xf numFmtId="0" fontId="1" fillId="0" borderId="0" xfId="383" applyFont="1" applyBorder="1"/>
    <xf numFmtId="9" fontId="1" fillId="0" borderId="0" xfId="383" applyNumberFormat="1" applyFont="1"/>
    <xf numFmtId="0" fontId="1" fillId="0" borderId="1" xfId="383" applyFont="1" applyBorder="1"/>
    <xf numFmtId="3" fontId="1" fillId="0" borderId="0" xfId="383" applyNumberFormat="1" applyFont="1" applyAlignment="1">
      <alignment horizontal="center"/>
    </xf>
    <xf numFmtId="164" fontId="1" fillId="0" borderId="0" xfId="383" applyNumberFormat="1" applyFont="1"/>
    <xf numFmtId="0" fontId="1" fillId="0" borderId="49" xfId="383" applyFont="1" applyBorder="1"/>
    <xf numFmtId="0" fontId="25" fillId="0" borderId="1" xfId="383" applyFont="1" applyBorder="1"/>
    <xf numFmtId="9" fontId="1" fillId="0" borderId="0" xfId="383" applyNumberFormat="1" applyFont="1" applyAlignment="1">
      <alignment horizontal="center"/>
    </xf>
    <xf numFmtId="9" fontId="1" fillId="0" borderId="1" xfId="383" applyNumberFormat="1" applyFont="1" applyBorder="1" applyAlignment="1">
      <alignment horizontal="center"/>
    </xf>
    <xf numFmtId="9" fontId="2" fillId="0" borderId="0" xfId="383" applyNumberFormat="1" applyFont="1" applyAlignment="1">
      <alignment horizontal="center"/>
    </xf>
    <xf numFmtId="9" fontId="1" fillId="0" borderId="49" xfId="383" applyNumberFormat="1" applyFont="1" applyBorder="1" applyAlignment="1">
      <alignment horizontal="center"/>
    </xf>
    <xf numFmtId="9" fontId="1" fillId="0" borderId="0" xfId="383" applyNumberFormat="1" applyFont="1" applyBorder="1" applyAlignment="1">
      <alignment horizontal="center"/>
    </xf>
    <xf numFmtId="0" fontId="1" fillId="0" borderId="25" xfId="383" applyFont="1" applyBorder="1"/>
    <xf numFmtId="0" fontId="1" fillId="0" borderId="0" xfId="383" applyFont="1" applyAlignment="1">
      <alignment horizontal="center"/>
    </xf>
    <xf numFmtId="0" fontId="1" fillId="0" borderId="1" xfId="383" applyFont="1" applyBorder="1" applyAlignment="1">
      <alignment horizontal="center"/>
    </xf>
    <xf numFmtId="0" fontId="2" fillId="0" borderId="0" xfId="383" applyFont="1" applyAlignment="1">
      <alignment horizontal="center"/>
    </xf>
    <xf numFmtId="0" fontId="1" fillId="0" borderId="49" xfId="383" applyFont="1" applyBorder="1" applyAlignment="1">
      <alignment horizontal="center"/>
    </xf>
    <xf numFmtId="0" fontId="1" fillId="0" borderId="0" xfId="383" applyFont="1" applyBorder="1" applyAlignment="1">
      <alignment horizontal="center"/>
    </xf>
    <xf numFmtId="164" fontId="0" fillId="0" borderId="0" xfId="384" applyNumberFormat="1" applyFont="1"/>
    <xf numFmtId="1" fontId="1" fillId="0" borderId="0" xfId="383" applyNumberFormat="1" applyFont="1" applyAlignment="1">
      <alignment horizontal="center"/>
    </xf>
    <xf numFmtId="164" fontId="0" fillId="0" borderId="0" xfId="384" applyNumberFormat="1" applyFont="1" applyAlignment="1">
      <alignment horizontal="center"/>
    </xf>
    <xf numFmtId="164" fontId="25" fillId="0" borderId="0" xfId="384" applyNumberFormat="1" applyFont="1" applyAlignment="1">
      <alignment horizontal="center"/>
    </xf>
    <xf numFmtId="9" fontId="25" fillId="0" borderId="0" xfId="384" applyNumberFormat="1" applyFont="1" applyAlignment="1">
      <alignment horizontal="center"/>
    </xf>
    <xf numFmtId="9" fontId="0" fillId="0" borderId="0" xfId="384" applyNumberFormat="1" applyFont="1" applyAlignment="1">
      <alignment horizontal="center"/>
    </xf>
    <xf numFmtId="9" fontId="25" fillId="0" borderId="1" xfId="384" applyNumberFormat="1" applyFont="1" applyBorder="1" applyAlignment="1">
      <alignment horizontal="center"/>
    </xf>
    <xf numFmtId="9" fontId="0" fillId="0" borderId="0" xfId="384" applyFont="1"/>
    <xf numFmtId="0" fontId="25" fillId="0" borderId="0" xfId="383" applyFont="1" applyAlignment="1">
      <alignment horizontal="center"/>
    </xf>
    <xf numFmtId="9" fontId="0" fillId="0" borderId="0" xfId="384" applyFont="1" applyAlignment="1">
      <alignment horizontal="center"/>
    </xf>
    <xf numFmtId="9" fontId="1" fillId="0" borderId="0" xfId="383" applyNumberFormat="1" applyFont="1" applyBorder="1"/>
    <xf numFmtId="164" fontId="25" fillId="0" borderId="0" xfId="383" applyNumberFormat="1" applyFont="1" applyAlignment="1">
      <alignment horizontal="center"/>
    </xf>
    <xf numFmtId="164" fontId="25" fillId="0" borderId="1" xfId="384" applyNumberFormat="1" applyFont="1" applyBorder="1" applyAlignment="1">
      <alignment horizontal="center"/>
    </xf>
    <xf numFmtId="3" fontId="25" fillId="0" borderId="0" xfId="383" applyNumberFormat="1" applyFont="1"/>
    <xf numFmtId="0" fontId="2" fillId="0" borderId="0" xfId="383" applyFont="1"/>
    <xf numFmtId="9" fontId="0" fillId="0" borderId="1" xfId="384" applyFont="1" applyBorder="1" applyAlignment="1">
      <alignment horizontal="center"/>
    </xf>
    <xf numFmtId="164" fontId="0" fillId="0" borderId="0" xfId="384" applyNumberFormat="1" applyFont="1" applyBorder="1"/>
    <xf numFmtId="164" fontId="1" fillId="0" borderId="0" xfId="383" applyNumberFormat="1" applyFont="1" applyAlignment="1">
      <alignment horizontal="center"/>
    </xf>
    <xf numFmtId="9" fontId="0" fillId="0" borderId="1" xfId="384" applyFont="1" applyBorder="1"/>
    <xf numFmtId="9" fontId="1" fillId="0" borderId="0" xfId="383" applyNumberFormat="1" applyFont="1" applyFill="1" applyBorder="1" applyAlignment="1">
      <alignment horizontal="center"/>
    </xf>
    <xf numFmtId="0" fontId="1" fillId="0" borderId="0" xfId="383" applyFont="1" applyFill="1" applyBorder="1"/>
    <xf numFmtId="166" fontId="1" fillId="0" borderId="0" xfId="383" applyNumberFormat="1" applyFont="1" applyAlignment="1">
      <alignment horizontal="center"/>
    </xf>
    <xf numFmtId="166" fontId="25" fillId="0" borderId="0" xfId="383" applyNumberFormat="1" applyFont="1" applyAlignment="1">
      <alignment horizontal="center"/>
    </xf>
    <xf numFmtId="166" fontId="25" fillId="0" borderId="0" xfId="383" applyNumberFormat="1" applyFont="1" applyBorder="1" applyAlignment="1">
      <alignment horizontal="center"/>
    </xf>
    <xf numFmtId="3" fontId="25" fillId="0" borderId="0" xfId="383" applyNumberFormat="1" applyFont="1" applyAlignment="1">
      <alignment horizontal="center"/>
    </xf>
    <xf numFmtId="0" fontId="25" fillId="0" borderId="0" xfId="383" applyFont="1" applyBorder="1"/>
    <xf numFmtId="167" fontId="1" fillId="0" borderId="0" xfId="383" applyNumberFormat="1" applyFont="1" applyBorder="1"/>
    <xf numFmtId="167" fontId="1" fillId="0" borderId="1" xfId="383" applyNumberFormat="1" applyFont="1" applyBorder="1"/>
    <xf numFmtId="9" fontId="1" fillId="0" borderId="1" xfId="383" applyNumberFormat="1" applyFont="1" applyBorder="1"/>
    <xf numFmtId="166" fontId="1" fillId="0" borderId="0" xfId="383" applyNumberFormat="1" applyFont="1"/>
    <xf numFmtId="166" fontId="68" fillId="0" borderId="0" xfId="383" applyNumberFormat="1" applyFont="1" applyAlignment="1">
      <alignment horizontal="center"/>
    </xf>
    <xf numFmtId="9" fontId="68" fillId="0" borderId="0" xfId="384" applyFont="1"/>
    <xf numFmtId="166" fontId="25" fillId="0" borderId="1" xfId="383" applyNumberFormat="1" applyFont="1" applyBorder="1" applyAlignment="1">
      <alignment horizontal="center"/>
    </xf>
    <xf numFmtId="0" fontId="25" fillId="0" borderId="1" xfId="383" applyFont="1" applyBorder="1" applyAlignment="1">
      <alignment horizontal="center"/>
    </xf>
    <xf numFmtId="167" fontId="1" fillId="0" borderId="0" xfId="383" applyNumberFormat="1" applyFont="1"/>
    <xf numFmtId="167" fontId="25" fillId="0" borderId="0" xfId="383" applyNumberFormat="1" applyFont="1" applyBorder="1"/>
    <xf numFmtId="167" fontId="25" fillId="0" borderId="1" xfId="383" applyNumberFormat="1" applyFont="1" applyBorder="1"/>
    <xf numFmtId="1" fontId="1" fillId="0" borderId="0" xfId="383" applyNumberFormat="1" applyFont="1"/>
    <xf numFmtId="3" fontId="69" fillId="0" borderId="0" xfId="384" applyNumberFormat="1" applyFont="1" applyBorder="1" applyAlignment="1">
      <alignment horizontal="center"/>
    </xf>
    <xf numFmtId="3" fontId="25" fillId="0" borderId="0" xfId="384" applyNumberFormat="1" applyFont="1" applyBorder="1" applyAlignment="1">
      <alignment horizontal="center"/>
    </xf>
    <xf numFmtId="167" fontId="1" fillId="0" borderId="0" xfId="383" applyNumberFormat="1" applyFont="1" applyBorder="1" applyAlignment="1">
      <alignment horizontal="center"/>
    </xf>
    <xf numFmtId="9" fontId="2" fillId="0" borderId="0" xfId="384" applyFont="1"/>
    <xf numFmtId="0" fontId="68" fillId="0" borderId="0" xfId="383" applyFont="1" applyBorder="1"/>
    <xf numFmtId="164" fontId="68" fillId="0" borderId="0" xfId="384" applyNumberFormat="1" applyFont="1"/>
    <xf numFmtId="9" fontId="68" fillId="0" borderId="0" xfId="384" applyFont="1" applyBorder="1"/>
    <xf numFmtId="167" fontId="68" fillId="0" borderId="0" xfId="383" applyNumberFormat="1" applyFont="1" applyBorder="1" applyAlignment="1">
      <alignment horizontal="right"/>
    </xf>
    <xf numFmtId="167" fontId="68" fillId="0" borderId="0" xfId="383" applyNumberFormat="1" applyFont="1" applyBorder="1"/>
    <xf numFmtId="164" fontId="0" fillId="0" borderId="49" xfId="384" applyNumberFormat="1" applyFont="1" applyBorder="1"/>
    <xf numFmtId="9" fontId="0" fillId="0" borderId="0" xfId="384" applyFont="1" applyBorder="1"/>
    <xf numFmtId="167" fontId="1" fillId="0" borderId="0" xfId="383" applyNumberFormat="1" applyFont="1" applyAlignment="1">
      <alignment horizontal="center"/>
    </xf>
    <xf numFmtId="164" fontId="0" fillId="0" borderId="0" xfId="384" applyNumberFormat="1" applyFont="1" applyBorder="1" applyAlignment="1">
      <alignment horizontal="center"/>
    </xf>
    <xf numFmtId="3" fontId="25" fillId="0" borderId="25" xfId="383" applyNumberFormat="1" applyFont="1" applyBorder="1" applyAlignment="1">
      <alignment horizontal="center"/>
    </xf>
    <xf numFmtId="166" fontId="2" fillId="0" borderId="0" xfId="383" applyNumberFormat="1" applyFont="1" applyAlignment="1">
      <alignment horizontal="center"/>
    </xf>
    <xf numFmtId="166" fontId="70" fillId="0" borderId="0" xfId="383" applyNumberFormat="1" applyFont="1" applyAlignment="1">
      <alignment horizontal="center"/>
    </xf>
    <xf numFmtId="166" fontId="25" fillId="0" borderId="0" xfId="383" applyNumberFormat="1" applyFont="1" applyFill="1" applyBorder="1" applyAlignment="1">
      <alignment horizontal="center"/>
    </xf>
    <xf numFmtId="167" fontId="68" fillId="0" borderId="0" xfId="383" applyNumberFormat="1" applyFont="1" applyAlignment="1">
      <alignment horizontal="center"/>
    </xf>
    <xf numFmtId="9" fontId="25" fillId="0" borderId="0" xfId="384" applyFont="1"/>
    <xf numFmtId="2" fontId="1" fillId="0" borderId="0" xfId="383" applyNumberFormat="1" applyFont="1" applyBorder="1" applyAlignment="1">
      <alignment horizontal="center"/>
    </xf>
    <xf numFmtId="3" fontId="68" fillId="0" borderId="0" xfId="383" applyNumberFormat="1" applyFont="1" applyAlignment="1">
      <alignment horizontal="center"/>
    </xf>
    <xf numFmtId="3" fontId="25" fillId="0" borderId="1" xfId="383" applyNumberFormat="1" applyFont="1" applyBorder="1" applyAlignment="1">
      <alignment horizontal="center"/>
    </xf>
    <xf numFmtId="9" fontId="2" fillId="0" borderId="0" xfId="384" applyFont="1" applyAlignment="1">
      <alignment horizontal="center"/>
    </xf>
    <xf numFmtId="166" fontId="69" fillId="0" borderId="0" xfId="383" applyNumberFormat="1" applyFont="1" applyAlignment="1">
      <alignment horizontal="center"/>
    </xf>
    <xf numFmtId="167" fontId="25" fillId="0" borderId="1" xfId="383" applyNumberFormat="1" applyFont="1" applyBorder="1" applyAlignment="1">
      <alignment horizontal="center"/>
    </xf>
    <xf numFmtId="166" fontId="0" fillId="0" borderId="0" xfId="384" applyNumberFormat="1" applyFont="1" applyAlignment="1">
      <alignment horizontal="center"/>
    </xf>
    <xf numFmtId="1" fontId="0" fillId="0" borderId="0" xfId="384" applyNumberFormat="1" applyFont="1" applyAlignment="1">
      <alignment horizontal="center"/>
    </xf>
    <xf numFmtId="3" fontId="25" fillId="0" borderId="1" xfId="384" applyNumberFormat="1" applyFont="1" applyBorder="1" applyAlignment="1">
      <alignment horizontal="center"/>
    </xf>
    <xf numFmtId="9" fontId="25" fillId="0" borderId="0" xfId="384" applyFont="1" applyAlignment="1">
      <alignment horizontal="center"/>
    </xf>
    <xf numFmtId="164" fontId="25" fillId="0" borderId="1" xfId="383" applyNumberFormat="1" applyFont="1" applyBorder="1" applyAlignment="1">
      <alignment horizontal="center"/>
    </xf>
    <xf numFmtId="9" fontId="0" fillId="0" borderId="0" xfId="384" applyFont="1" applyBorder="1" applyAlignment="1">
      <alignment horizontal="center"/>
    </xf>
    <xf numFmtId="0" fontId="68" fillId="0" borderId="0" xfId="383" applyFont="1" applyBorder="1" applyAlignment="1">
      <alignment horizontal="center"/>
    </xf>
    <xf numFmtId="0" fontId="68" fillId="0" borderId="0" xfId="383" applyFont="1" applyAlignment="1">
      <alignment horizontal="center"/>
    </xf>
    <xf numFmtId="9" fontId="68" fillId="0" borderId="0" xfId="384" applyFont="1" applyAlignment="1">
      <alignment horizontal="center"/>
    </xf>
    <xf numFmtId="3" fontId="68" fillId="0" borderId="0" xfId="383" applyNumberFormat="1" applyFont="1" applyBorder="1" applyAlignment="1">
      <alignment horizontal="center"/>
    </xf>
    <xf numFmtId="3" fontId="1" fillId="0" borderId="0" xfId="383" applyNumberFormat="1" applyFont="1" applyBorder="1" applyAlignment="1">
      <alignment horizontal="center"/>
    </xf>
    <xf numFmtId="3" fontId="1" fillId="0" borderId="1" xfId="383" applyNumberFormat="1" applyFont="1" applyBorder="1" applyAlignment="1">
      <alignment horizontal="center"/>
    </xf>
    <xf numFmtId="9" fontId="68" fillId="0" borderId="0" xfId="384" applyFont="1" applyBorder="1" applyAlignment="1">
      <alignment horizontal="center"/>
    </xf>
    <xf numFmtId="167" fontId="68" fillId="0" borderId="0" xfId="383" applyNumberFormat="1" applyFont="1" applyBorder="1" applyAlignment="1">
      <alignment horizontal="center"/>
    </xf>
    <xf numFmtId="164" fontId="0" fillId="0" borderId="49" xfId="384" applyNumberFormat="1" applyFont="1" applyBorder="1" applyAlignment="1">
      <alignment horizontal="center"/>
    </xf>
    <xf numFmtId="166" fontId="1" fillId="0" borderId="0" xfId="383" applyNumberFormat="1" applyFont="1" applyBorder="1" applyAlignment="1">
      <alignment horizontal="center"/>
    </xf>
    <xf numFmtId="0" fontId="2" fillId="0" borderId="0" xfId="383" applyFont="1" applyBorder="1" applyAlignment="1">
      <alignment horizontal="center"/>
    </xf>
    <xf numFmtId="3" fontId="2" fillId="0" borderId="0" xfId="383" applyNumberFormat="1" applyFont="1" applyAlignment="1">
      <alignment horizontal="center"/>
    </xf>
    <xf numFmtId="9" fontId="2" fillId="0" borderId="0" xfId="384" applyFont="1" applyBorder="1" applyAlignment="1">
      <alignment horizontal="center"/>
    </xf>
    <xf numFmtId="167" fontId="2" fillId="0" borderId="0" xfId="383" applyNumberFormat="1" applyFont="1" applyBorder="1" applyAlignment="1">
      <alignment horizontal="center"/>
    </xf>
    <xf numFmtId="3" fontId="2" fillId="0" borderId="0" xfId="383" applyNumberFormat="1" applyFont="1" applyBorder="1" applyAlignment="1">
      <alignment horizontal="center"/>
    </xf>
    <xf numFmtId="0" fontId="1" fillId="0" borderId="52" xfId="383" applyFont="1" applyBorder="1"/>
    <xf numFmtId="9" fontId="0" fillId="0" borderId="52" xfId="384" applyFont="1" applyBorder="1" applyAlignment="1">
      <alignment horizontal="center"/>
    </xf>
    <xf numFmtId="164" fontId="25" fillId="0" borderId="52" xfId="384" applyNumberFormat="1" applyFont="1" applyBorder="1" applyAlignment="1">
      <alignment horizontal="center"/>
    </xf>
    <xf numFmtId="9" fontId="0" fillId="0" borderId="53" xfId="384" applyFont="1" applyBorder="1" applyAlignment="1">
      <alignment horizontal="center"/>
    </xf>
    <xf numFmtId="3" fontId="1" fillId="0" borderId="52" xfId="383" applyNumberFormat="1" applyFont="1" applyBorder="1" applyAlignment="1">
      <alignment horizontal="center"/>
    </xf>
    <xf numFmtId="3" fontId="25" fillId="0" borderId="53" xfId="383" applyNumberFormat="1" applyFont="1" applyBorder="1" applyAlignment="1">
      <alignment horizontal="center"/>
    </xf>
    <xf numFmtId="166" fontId="1" fillId="0" borderId="52" xfId="383" applyNumberFormat="1" applyFont="1" applyBorder="1" applyAlignment="1">
      <alignment horizontal="center"/>
    </xf>
    <xf numFmtId="166" fontId="25" fillId="0" borderId="52" xfId="383" applyNumberFormat="1" applyFont="1" applyBorder="1" applyAlignment="1">
      <alignment horizontal="center"/>
    </xf>
    <xf numFmtId="166" fontId="25" fillId="0" borderId="53" xfId="383" applyNumberFormat="1" applyFont="1" applyBorder="1" applyAlignment="1">
      <alignment horizontal="center"/>
    </xf>
    <xf numFmtId="9" fontId="0" fillId="0" borderId="52" xfId="384" applyFont="1" applyBorder="1"/>
    <xf numFmtId="166" fontId="1" fillId="0" borderId="52" xfId="383" applyNumberFormat="1" applyFont="1" applyBorder="1"/>
    <xf numFmtId="166" fontId="25" fillId="0" borderId="52" xfId="383" applyNumberFormat="1" applyFont="1" applyFill="1" applyBorder="1" applyAlignment="1">
      <alignment horizontal="center"/>
    </xf>
    <xf numFmtId="167" fontId="1" fillId="0" borderId="52" xfId="383" applyNumberFormat="1" applyFont="1" applyBorder="1" applyAlignment="1">
      <alignment horizontal="center"/>
    </xf>
    <xf numFmtId="167" fontId="25" fillId="0" borderId="53" xfId="383" applyNumberFormat="1" applyFont="1" applyBorder="1" applyAlignment="1">
      <alignment horizontal="center"/>
    </xf>
    <xf numFmtId="1" fontId="1" fillId="0" borderId="52" xfId="383" applyNumberFormat="1" applyFont="1" applyBorder="1" applyAlignment="1">
      <alignment horizontal="center"/>
    </xf>
    <xf numFmtId="0" fontId="1" fillId="0" borderId="52" xfId="383" applyFont="1" applyBorder="1" applyAlignment="1">
      <alignment horizontal="center"/>
    </xf>
    <xf numFmtId="166" fontId="0" fillId="0" borderId="52" xfId="384" applyNumberFormat="1" applyFont="1" applyBorder="1" applyAlignment="1">
      <alignment horizontal="center"/>
    </xf>
    <xf numFmtId="1" fontId="0" fillId="0" borderId="52" xfId="384" applyNumberFormat="1" applyFont="1" applyBorder="1" applyAlignment="1">
      <alignment horizontal="center"/>
    </xf>
    <xf numFmtId="3" fontId="25" fillId="0" borderId="53" xfId="384" applyNumberFormat="1" applyFont="1" applyBorder="1" applyAlignment="1">
      <alignment horizontal="center"/>
    </xf>
    <xf numFmtId="9" fontId="2" fillId="0" borderId="52" xfId="384" applyFont="1" applyBorder="1" applyAlignment="1">
      <alignment horizontal="center"/>
    </xf>
    <xf numFmtId="9" fontId="25" fillId="0" borderId="52" xfId="384" applyFont="1" applyBorder="1" applyAlignment="1">
      <alignment horizontal="center"/>
    </xf>
    <xf numFmtId="164" fontId="25" fillId="0" borderId="53" xfId="383" applyNumberFormat="1" applyFont="1" applyBorder="1" applyAlignment="1">
      <alignment horizontal="center"/>
    </xf>
    <xf numFmtId="0" fontId="2" fillId="0" borderId="52" xfId="383" applyFont="1" applyBorder="1" applyAlignment="1">
      <alignment horizontal="center"/>
    </xf>
    <xf numFmtId="164" fontId="0" fillId="0" borderId="52" xfId="384" applyNumberFormat="1" applyFont="1" applyBorder="1" applyAlignment="1">
      <alignment horizontal="center"/>
    </xf>
    <xf numFmtId="0" fontId="25" fillId="0" borderId="53" xfId="383" applyFont="1" applyBorder="1" applyAlignment="1">
      <alignment horizontal="center"/>
    </xf>
    <xf numFmtId="3" fontId="1" fillId="0" borderId="53" xfId="383" applyNumberFormat="1" applyFont="1" applyBorder="1" applyAlignment="1">
      <alignment horizontal="center"/>
    </xf>
    <xf numFmtId="3" fontId="2" fillId="0" borderId="52" xfId="383" applyNumberFormat="1" applyFont="1" applyBorder="1" applyAlignment="1">
      <alignment horizontal="center"/>
    </xf>
    <xf numFmtId="164" fontId="0" fillId="0" borderId="54" xfId="384" applyNumberFormat="1" applyFont="1" applyBorder="1" applyAlignment="1">
      <alignment horizontal="center"/>
    </xf>
    <xf numFmtId="3" fontId="25" fillId="0" borderId="55" xfId="383" applyNumberFormat="1" applyFont="1" applyBorder="1" applyAlignment="1">
      <alignment horizontal="center"/>
    </xf>
    <xf numFmtId="0" fontId="1" fillId="0" borderId="0" xfId="383" applyFont="1" applyFill="1"/>
    <xf numFmtId="9" fontId="0" fillId="0" borderId="0" xfId="384" applyFont="1" applyFill="1" applyAlignment="1">
      <alignment horizontal="center"/>
    </xf>
    <xf numFmtId="164" fontId="25" fillId="0" borderId="0" xfId="384" applyNumberFormat="1" applyFont="1" applyFill="1" applyAlignment="1">
      <alignment horizontal="center"/>
    </xf>
    <xf numFmtId="9" fontId="0" fillId="0" borderId="1" xfId="384" applyFont="1" applyFill="1" applyBorder="1" applyAlignment="1">
      <alignment horizontal="center"/>
    </xf>
    <xf numFmtId="3" fontId="1" fillId="0" borderId="0" xfId="383" applyNumberFormat="1" applyFont="1" applyFill="1" applyAlignment="1">
      <alignment horizontal="center"/>
    </xf>
    <xf numFmtId="3" fontId="25" fillId="0" borderId="1" xfId="383" applyNumberFormat="1" applyFont="1" applyFill="1" applyBorder="1" applyAlignment="1">
      <alignment horizontal="center"/>
    </xf>
    <xf numFmtId="166" fontId="1" fillId="0" borderId="0" xfId="383" applyNumberFormat="1" applyFont="1" applyFill="1" applyAlignment="1">
      <alignment horizontal="center"/>
    </xf>
    <xf numFmtId="166" fontId="25" fillId="0" borderId="0" xfId="383" applyNumberFormat="1" applyFont="1" applyFill="1" applyAlignment="1">
      <alignment horizontal="center"/>
    </xf>
    <xf numFmtId="166" fontId="25" fillId="0" borderId="1" xfId="383" applyNumberFormat="1" applyFont="1" applyFill="1" applyBorder="1" applyAlignment="1">
      <alignment horizontal="center"/>
    </xf>
    <xf numFmtId="9" fontId="0" fillId="0" borderId="0" xfId="384" applyFont="1" applyFill="1"/>
    <xf numFmtId="166" fontId="1" fillId="0" borderId="0" xfId="383" applyNumberFormat="1" applyFont="1" applyFill="1"/>
    <xf numFmtId="167" fontId="1" fillId="0" borderId="0" xfId="383" applyNumberFormat="1" applyFont="1" applyFill="1" applyBorder="1" applyAlignment="1">
      <alignment horizontal="center"/>
    </xf>
    <xf numFmtId="167" fontId="25" fillId="0" borderId="1" xfId="383" applyNumberFormat="1" applyFont="1" applyFill="1" applyBorder="1" applyAlignment="1">
      <alignment horizontal="center"/>
    </xf>
    <xf numFmtId="167" fontId="1" fillId="0" borderId="0" xfId="383" applyNumberFormat="1" applyFont="1" applyFill="1" applyAlignment="1">
      <alignment horizontal="center"/>
    </xf>
    <xf numFmtId="1" fontId="1" fillId="0" borderId="0" xfId="383" applyNumberFormat="1" applyFont="1" applyFill="1" applyAlignment="1">
      <alignment horizontal="center"/>
    </xf>
    <xf numFmtId="0" fontId="1" fillId="0" borderId="0" xfId="383" applyFont="1" applyFill="1" applyAlignment="1">
      <alignment horizontal="center"/>
    </xf>
    <xf numFmtId="166" fontId="0" fillId="0" borderId="0" xfId="384" applyNumberFormat="1" applyFont="1" applyFill="1" applyAlignment="1">
      <alignment horizontal="center"/>
    </xf>
    <xf numFmtId="1" fontId="0" fillId="0" borderId="0" xfId="384" applyNumberFormat="1" applyFont="1" applyFill="1" applyAlignment="1">
      <alignment horizontal="center"/>
    </xf>
    <xf numFmtId="3" fontId="25" fillId="0" borderId="1" xfId="384" applyNumberFormat="1" applyFont="1" applyFill="1" applyBorder="1" applyAlignment="1">
      <alignment horizontal="center"/>
    </xf>
    <xf numFmtId="9" fontId="2" fillId="0" borderId="0" xfId="384" applyFont="1" applyFill="1" applyAlignment="1">
      <alignment horizontal="center"/>
    </xf>
    <xf numFmtId="9" fontId="25" fillId="0" borderId="0" xfId="384" applyFont="1" applyFill="1" applyAlignment="1">
      <alignment horizontal="center"/>
    </xf>
    <xf numFmtId="164" fontId="25" fillId="0" borderId="1" xfId="383" applyNumberFormat="1" applyFont="1" applyFill="1" applyBorder="1" applyAlignment="1">
      <alignment horizontal="center"/>
    </xf>
    <xf numFmtId="9" fontId="0" fillId="0" borderId="0" xfId="384" applyFont="1" applyFill="1" applyBorder="1" applyAlignment="1">
      <alignment horizontal="center"/>
    </xf>
    <xf numFmtId="0" fontId="2" fillId="0" borderId="0" xfId="383" applyFont="1" applyFill="1" applyBorder="1" applyAlignment="1">
      <alignment horizontal="center"/>
    </xf>
    <xf numFmtId="0" fontId="2" fillId="0" borderId="0" xfId="383" applyFont="1" applyFill="1" applyAlignment="1">
      <alignment horizontal="center"/>
    </xf>
    <xf numFmtId="164" fontId="0" fillId="0" borderId="0" xfId="384" applyNumberFormat="1" applyFont="1" applyFill="1" applyAlignment="1">
      <alignment horizontal="center"/>
    </xf>
    <xf numFmtId="0" fontId="25" fillId="0" borderId="1" xfId="383" applyFont="1" applyFill="1" applyBorder="1" applyAlignment="1">
      <alignment horizontal="center"/>
    </xf>
    <xf numFmtId="9" fontId="2" fillId="0" borderId="0" xfId="384" applyFont="1" applyFill="1" applyBorder="1" applyAlignment="1">
      <alignment horizontal="center"/>
    </xf>
    <xf numFmtId="0" fontId="1" fillId="0" borderId="0" xfId="383" applyFont="1" applyFill="1" applyBorder="1" applyAlignment="1">
      <alignment horizontal="center"/>
    </xf>
    <xf numFmtId="3" fontId="2" fillId="0" borderId="0" xfId="383" applyNumberFormat="1" applyFont="1" applyFill="1" applyBorder="1" applyAlignment="1">
      <alignment horizontal="center"/>
    </xf>
    <xf numFmtId="164" fontId="0" fillId="0" borderId="49" xfId="384" applyNumberFormat="1" applyFont="1" applyFill="1" applyBorder="1" applyAlignment="1">
      <alignment horizontal="center"/>
    </xf>
    <xf numFmtId="164" fontId="0" fillId="0" borderId="0" xfId="384" applyNumberFormat="1" applyFont="1" applyFill="1" applyBorder="1" applyAlignment="1">
      <alignment horizontal="center"/>
    </xf>
    <xf numFmtId="166" fontId="1" fillId="0" borderId="0" xfId="383" applyNumberFormat="1" applyFont="1" applyFill="1" applyBorder="1" applyAlignment="1">
      <alignment horizontal="center"/>
    </xf>
    <xf numFmtId="3" fontId="25" fillId="0" borderId="25" xfId="383" applyNumberFormat="1" applyFont="1" applyFill="1" applyBorder="1" applyAlignment="1">
      <alignment horizontal="center"/>
    </xf>
    <xf numFmtId="166" fontId="68" fillId="0" borderId="0" xfId="383" applyNumberFormat="1" applyFont="1"/>
    <xf numFmtId="9" fontId="25" fillId="0" borderId="52" xfId="384" applyNumberFormat="1" applyFont="1" applyBorder="1" applyAlignment="1">
      <alignment horizontal="center"/>
    </xf>
    <xf numFmtId="167" fontId="25" fillId="0" borderId="0" xfId="383" applyNumberFormat="1" applyFont="1" applyBorder="1" applyAlignment="1">
      <alignment horizontal="center"/>
    </xf>
    <xf numFmtId="3" fontId="1" fillId="0" borderId="14" xfId="383" applyNumberFormat="1" applyFont="1" applyBorder="1" applyAlignment="1">
      <alignment horizontal="center"/>
    </xf>
    <xf numFmtId="167" fontId="25" fillId="0" borderId="52" xfId="383" applyNumberFormat="1" applyFont="1" applyBorder="1" applyAlignment="1">
      <alignment horizontal="center"/>
    </xf>
    <xf numFmtId="0" fontId="25" fillId="0" borderId="52" xfId="383" applyFont="1" applyBorder="1" applyAlignment="1">
      <alignment horizontal="center"/>
    </xf>
    <xf numFmtId="0" fontId="1" fillId="0" borderId="53" xfId="383" applyFont="1" applyBorder="1" applyAlignment="1">
      <alignment horizontal="center"/>
    </xf>
    <xf numFmtId="0" fontId="25" fillId="0" borderId="52" xfId="383" applyFont="1" applyBorder="1"/>
    <xf numFmtId="0" fontId="25" fillId="0" borderId="53" xfId="383" applyFont="1" applyBorder="1"/>
    <xf numFmtId="164" fontId="25" fillId="0" borderId="53" xfId="384" applyNumberFormat="1" applyFont="1" applyBorder="1" applyAlignment="1">
      <alignment horizontal="center"/>
    </xf>
    <xf numFmtId="0" fontId="25" fillId="0" borderId="0" xfId="383" applyFont="1" applyBorder="1" applyAlignment="1">
      <alignment horizontal="center"/>
    </xf>
    <xf numFmtId="1" fontId="1" fillId="0" borderId="0" xfId="383" applyNumberFormat="1" applyFont="1" applyBorder="1" applyAlignment="1">
      <alignment horizontal="center"/>
    </xf>
    <xf numFmtId="166" fontId="0" fillId="0" borderId="0" xfId="384" applyNumberFormat="1" applyFont="1" applyBorder="1" applyAlignment="1">
      <alignment horizontal="center"/>
    </xf>
    <xf numFmtId="1" fontId="0" fillId="0" borderId="0" xfId="384" applyNumberFormat="1" applyFont="1" applyBorder="1" applyAlignment="1">
      <alignment horizontal="center"/>
    </xf>
    <xf numFmtId="9" fontId="25" fillId="0" borderId="0" xfId="384" applyFont="1" applyBorder="1" applyAlignment="1">
      <alignment horizontal="center"/>
    </xf>
    <xf numFmtId="0" fontId="1" fillId="0" borderId="56" xfId="383" applyFont="1" applyBorder="1"/>
    <xf numFmtId="0" fontId="1" fillId="0" borderId="56" xfId="383" applyFont="1" applyBorder="1" applyAlignment="1">
      <alignment horizontal="center"/>
    </xf>
    <xf numFmtId="0" fontId="25" fillId="0" borderId="56" xfId="383" applyFont="1" applyBorder="1" applyAlignment="1">
      <alignment horizontal="center"/>
    </xf>
    <xf numFmtId="0" fontId="1" fillId="0" borderId="57" xfId="383" applyFont="1" applyBorder="1" applyAlignment="1">
      <alignment horizontal="center"/>
    </xf>
    <xf numFmtId="0" fontId="1" fillId="0" borderId="57" xfId="383" applyFont="1" applyBorder="1"/>
    <xf numFmtId="0" fontId="25" fillId="0" borderId="56" xfId="383" applyFont="1" applyBorder="1"/>
    <xf numFmtId="0" fontId="25" fillId="0" borderId="57" xfId="383" applyFont="1" applyBorder="1"/>
    <xf numFmtId="167" fontId="25" fillId="0" borderId="56" xfId="383" applyNumberFormat="1" applyFont="1" applyBorder="1" applyAlignment="1">
      <alignment horizontal="center"/>
    </xf>
    <xf numFmtId="167" fontId="25" fillId="0" borderId="57" xfId="383" applyNumberFormat="1" applyFont="1" applyBorder="1" applyAlignment="1">
      <alignment horizontal="center"/>
    </xf>
    <xf numFmtId="1" fontId="1" fillId="0" borderId="56" xfId="383" applyNumberFormat="1" applyFont="1" applyBorder="1" applyAlignment="1">
      <alignment horizontal="center"/>
    </xf>
    <xf numFmtId="9" fontId="0" fillId="0" borderId="56" xfId="384" applyFont="1" applyBorder="1" applyAlignment="1">
      <alignment horizontal="center"/>
    </xf>
    <xf numFmtId="166" fontId="1" fillId="0" borderId="56" xfId="383" applyNumberFormat="1" applyFont="1" applyBorder="1" applyAlignment="1">
      <alignment horizontal="center"/>
    </xf>
    <xf numFmtId="166" fontId="0" fillId="0" borderId="56" xfId="384" applyNumberFormat="1" applyFont="1" applyBorder="1" applyAlignment="1">
      <alignment horizontal="center"/>
    </xf>
    <xf numFmtId="1" fontId="0" fillId="0" borderId="56" xfId="384" applyNumberFormat="1" applyFont="1" applyBorder="1" applyAlignment="1">
      <alignment horizontal="center"/>
    </xf>
    <xf numFmtId="3" fontId="25" fillId="0" borderId="57" xfId="384" applyNumberFormat="1" applyFont="1" applyBorder="1" applyAlignment="1">
      <alignment horizontal="center"/>
    </xf>
    <xf numFmtId="9" fontId="2" fillId="0" borderId="56" xfId="384" applyFont="1" applyBorder="1" applyAlignment="1">
      <alignment horizontal="center"/>
    </xf>
    <xf numFmtId="9" fontId="25" fillId="0" borderId="56" xfId="384" applyFont="1" applyBorder="1" applyAlignment="1">
      <alignment horizontal="center"/>
    </xf>
    <xf numFmtId="164" fontId="25" fillId="0" borderId="57" xfId="384" applyNumberFormat="1" applyFont="1" applyFill="1" applyBorder="1" applyAlignment="1">
      <alignment horizontal="center"/>
    </xf>
    <xf numFmtId="167" fontId="1" fillId="0" borderId="56" xfId="383" applyNumberFormat="1" applyFont="1" applyBorder="1" applyAlignment="1">
      <alignment horizontal="center"/>
    </xf>
    <xf numFmtId="0" fontId="2" fillId="0" borderId="56" xfId="383" applyFont="1" applyBorder="1" applyAlignment="1">
      <alignment horizontal="center"/>
    </xf>
    <xf numFmtId="164" fontId="0" fillId="0" borderId="56" xfId="384" applyNumberFormat="1" applyFont="1" applyBorder="1" applyAlignment="1">
      <alignment horizontal="center"/>
    </xf>
    <xf numFmtId="0" fontId="25" fillId="0" borderId="57" xfId="383" applyFont="1" applyBorder="1" applyAlignment="1">
      <alignment horizontal="center"/>
    </xf>
    <xf numFmtId="3" fontId="1" fillId="0" borderId="56" xfId="383" applyNumberFormat="1" applyFont="1" applyBorder="1" applyAlignment="1">
      <alignment horizontal="center"/>
    </xf>
    <xf numFmtId="3" fontId="1" fillId="0" borderId="57" xfId="383" applyNumberFormat="1" applyFont="1" applyBorder="1" applyAlignment="1">
      <alignment horizontal="center"/>
    </xf>
    <xf numFmtId="3" fontId="2" fillId="0" borderId="56" xfId="383" applyNumberFormat="1" applyFont="1" applyBorder="1" applyAlignment="1">
      <alignment horizontal="center"/>
    </xf>
    <xf numFmtId="3" fontId="25" fillId="0" borderId="57" xfId="383" applyNumberFormat="1" applyFont="1" applyBorder="1" applyAlignment="1">
      <alignment horizontal="center"/>
    </xf>
    <xf numFmtId="164" fontId="0" fillId="0" borderId="58" xfId="384" applyNumberFormat="1" applyFont="1" applyBorder="1" applyAlignment="1">
      <alignment horizontal="center"/>
    </xf>
    <xf numFmtId="3" fontId="25" fillId="0" borderId="59" xfId="383" applyNumberFormat="1" applyFont="1" applyBorder="1" applyAlignment="1">
      <alignment horizontal="center"/>
    </xf>
    <xf numFmtId="0" fontId="1" fillId="0" borderId="53" xfId="383" applyFont="1" applyBorder="1"/>
    <xf numFmtId="1" fontId="1" fillId="0" borderId="52" xfId="383" applyNumberFormat="1" applyFont="1" applyBorder="1"/>
    <xf numFmtId="167" fontId="1" fillId="0" borderId="1" xfId="383" applyNumberFormat="1" applyFont="1" applyBorder="1" applyAlignment="1">
      <alignment horizontal="center"/>
    </xf>
    <xf numFmtId="9" fontId="0" fillId="0" borderId="0" xfId="384" applyNumberFormat="1" applyFont="1" applyBorder="1" applyAlignment="1">
      <alignment horizontal="center"/>
    </xf>
    <xf numFmtId="164" fontId="2" fillId="0" borderId="49" xfId="384" applyNumberFormat="1" applyFont="1" applyBorder="1" applyAlignment="1">
      <alignment horizontal="center"/>
    </xf>
    <xf numFmtId="167" fontId="1" fillId="0" borderId="53" xfId="383" applyNumberFormat="1" applyFont="1" applyBorder="1" applyAlignment="1">
      <alignment horizontal="center"/>
    </xf>
    <xf numFmtId="164" fontId="2" fillId="0" borderId="54" xfId="384" applyNumberFormat="1" applyFont="1" applyBorder="1" applyAlignment="1">
      <alignment horizontal="center"/>
    </xf>
    <xf numFmtId="0" fontId="55" fillId="0" borderId="0" xfId="383" applyFont="1" applyAlignment="1">
      <alignment horizontal="center" vertical="center" wrapText="1"/>
    </xf>
    <xf numFmtId="0" fontId="66" fillId="0" borderId="0" xfId="383" applyFont="1" applyAlignment="1">
      <alignment horizontal="center" vertical="center" wrapText="1"/>
    </xf>
    <xf numFmtId="0" fontId="55" fillId="0" borderId="1" xfId="383" applyFont="1" applyBorder="1" applyAlignment="1">
      <alignment wrapText="1"/>
    </xf>
    <xf numFmtId="0" fontId="66" fillId="0" borderId="1" xfId="383" applyFont="1" applyBorder="1" applyAlignment="1">
      <alignment horizontal="center" vertical="center" wrapText="1"/>
    </xf>
    <xf numFmtId="0" fontId="66" fillId="0" borderId="0" xfId="383" applyFont="1" applyBorder="1" applyAlignment="1">
      <alignment horizontal="center" vertical="center" wrapText="1"/>
    </xf>
    <xf numFmtId="0" fontId="55" fillId="0" borderId="0" xfId="383" applyFont="1" applyBorder="1" applyAlignment="1">
      <alignment horizontal="center" vertical="center" wrapText="1"/>
    </xf>
    <xf numFmtId="0" fontId="55" fillId="0" borderId="1" xfId="383" applyFont="1" applyBorder="1" applyAlignment="1">
      <alignment horizontal="center" vertical="center" wrapText="1"/>
    </xf>
    <xf numFmtId="0" fontId="21" fillId="0" borderId="0" xfId="383" applyFont="1" applyAlignment="1">
      <alignment horizontal="center" vertical="center" wrapText="1"/>
    </xf>
    <xf numFmtId="0" fontId="21" fillId="0" borderId="0" xfId="383" applyFont="1" applyBorder="1" applyAlignment="1">
      <alignment horizontal="center" vertical="center" wrapText="1"/>
    </xf>
    <xf numFmtId="0" fontId="55" fillId="0" borderId="49" xfId="383" applyFont="1" applyBorder="1" applyAlignment="1">
      <alignment horizontal="center" vertical="center" wrapText="1"/>
    </xf>
    <xf numFmtId="0" fontId="66" fillId="0" borderId="25" xfId="383" applyFont="1" applyBorder="1" applyAlignment="1">
      <alignment horizontal="center" vertical="center" wrapText="1"/>
    </xf>
    <xf numFmtId="0" fontId="1" fillId="0" borderId="0" xfId="383" applyFont="1" applyAlignment="1">
      <alignment horizontal="center" vertical="center" wrapText="1"/>
    </xf>
    <xf numFmtId="0" fontId="25" fillId="0" borderId="0" xfId="383" applyFont="1" applyAlignment="1">
      <alignment horizontal="center" vertical="center" wrapText="1"/>
    </xf>
    <xf numFmtId="0" fontId="25" fillId="0" borderId="1" xfId="383" applyFont="1" applyBorder="1" applyAlignment="1">
      <alignment horizontal="center" vertical="center" wrapText="1"/>
    </xf>
    <xf numFmtId="0" fontId="25" fillId="0" borderId="0" xfId="383" applyFont="1" applyBorder="1" applyAlignment="1">
      <alignment horizontal="center" vertical="center" wrapText="1"/>
    </xf>
    <xf numFmtId="0" fontId="1" fillId="0" borderId="0" xfId="383" applyFont="1" applyBorder="1" applyAlignment="1">
      <alignment horizontal="center" vertical="center" wrapText="1"/>
    </xf>
    <xf numFmtId="0" fontId="2" fillId="0" borderId="0" xfId="383" applyFont="1" applyAlignment="1">
      <alignment horizontal="center" vertical="center" wrapText="1"/>
    </xf>
    <xf numFmtId="0" fontId="1" fillId="0" borderId="1" xfId="383" applyFont="1" applyBorder="1" applyAlignment="1">
      <alignment horizontal="center" vertical="center" wrapText="1"/>
    </xf>
    <xf numFmtId="0" fontId="1" fillId="0" borderId="49" xfId="383" applyFont="1" applyBorder="1" applyAlignment="1">
      <alignment horizontal="center" vertical="center" wrapText="1"/>
    </xf>
    <xf numFmtId="0" fontId="25" fillId="0" borderId="25" xfId="383" applyFont="1" applyBorder="1" applyAlignment="1">
      <alignment horizontal="center" vertical="center" wrapText="1"/>
    </xf>
    <xf numFmtId="0" fontId="70" fillId="0" borderId="0" xfId="383" applyFont="1"/>
    <xf numFmtId="0" fontId="70" fillId="0" borderId="0" xfId="383" applyFont="1" applyBorder="1"/>
  </cellXfs>
  <cellStyles count="385">
    <cellStyle name="20% - Accent1 2" xfId="321"/>
    <cellStyle name="20% - Accent2 2" xfId="322"/>
    <cellStyle name="20% - Accent3 2" xfId="323"/>
    <cellStyle name="20% - Accent4 2" xfId="324"/>
    <cellStyle name="20% - Accent5 2" xfId="325"/>
    <cellStyle name="20% - Accent6 2" xfId="326"/>
    <cellStyle name="40% - Accent1 2" xfId="327"/>
    <cellStyle name="40% - Accent2 2" xfId="328"/>
    <cellStyle name="40% - Accent3 2" xfId="329"/>
    <cellStyle name="40% - Accent4 2" xfId="330"/>
    <cellStyle name="40% - Accent5 2" xfId="331"/>
    <cellStyle name="40% - Accent6 2" xfId="332"/>
    <cellStyle name="60% - Accent1 2" xfId="333"/>
    <cellStyle name="60% - Accent2 2" xfId="334"/>
    <cellStyle name="60% - Accent3 2" xfId="335"/>
    <cellStyle name="60% - Accent4 2" xfId="336"/>
    <cellStyle name="60% - Accent5 2" xfId="337"/>
    <cellStyle name="60% - Accent6 2" xfId="338"/>
    <cellStyle name="Accent1 2" xfId="339"/>
    <cellStyle name="Accent2 2" xfId="340"/>
    <cellStyle name="Accent3 2" xfId="341"/>
    <cellStyle name="Accent4 2" xfId="342"/>
    <cellStyle name="Accent5 2" xfId="343"/>
    <cellStyle name="Accent6 2" xfId="344"/>
    <cellStyle name="Bad 2" xfId="345"/>
    <cellStyle name="Calculation 2" xfId="346"/>
    <cellStyle name="Check Cell 2" xfId="347"/>
    <cellStyle name="Commentaire" xfId="164"/>
    <cellStyle name="Date" xfId="2"/>
    <cellStyle name="En-tête 1" xfId="3"/>
    <cellStyle name="En-tête 2" xfId="4"/>
    <cellStyle name="Explanatory Text 2" xfId="348"/>
    <cellStyle name="Financier0" xfId="5"/>
    <cellStyle name="Good 2" xfId="349"/>
    <cellStyle name="Heading 1 2" xfId="350"/>
    <cellStyle name="Heading 2 2" xfId="351"/>
    <cellStyle name="Heading 3 2" xfId="352"/>
    <cellStyle name="Heading 4 2" xfId="353"/>
    <cellStyle name="Input 2" xfId="354"/>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1"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3" builtinId="8" hidden="1"/>
    <cellStyle name="Lien hypertexte" xfId="55" builtinId="8" hidden="1"/>
    <cellStyle name="Lien hypertexte" xfId="57" builtinId="8" hidden="1"/>
    <cellStyle name="Lien hypertexte" xfId="59" builtinId="8" hidden="1"/>
    <cellStyle name="Lien hypertexte" xfId="61" builtinId="8" hidden="1"/>
    <cellStyle name="Lien hypertexte" xfId="63" builtinId="8" hidden="1"/>
    <cellStyle name="Lien hypertexte" xfId="65" builtinId="8" hidden="1"/>
    <cellStyle name="Lien hypertexte" xfId="67" builtinId="8" hidden="1"/>
    <cellStyle name="Lien hypertexte" xfId="69" builtinId="8" hidden="1"/>
    <cellStyle name="Lien hypertexte" xfId="71" builtinId="8" hidden="1"/>
    <cellStyle name="Lien hypertexte" xfId="73" builtinId="8" hidden="1"/>
    <cellStyle name="Lien hypertexte" xfId="75" builtinId="8" hidden="1"/>
    <cellStyle name="Lien hypertexte" xfId="77" builtinId="8" hidden="1"/>
    <cellStyle name="Lien hypertexte" xfId="79" builtinId="8" hidden="1"/>
    <cellStyle name="Lien hypertexte" xfId="81" builtinId="8" hidden="1"/>
    <cellStyle name="Lien hypertexte" xfId="83" builtinId="8" hidden="1"/>
    <cellStyle name="Lien hypertexte" xfId="85" builtinId="8" hidden="1"/>
    <cellStyle name="Lien hypertexte" xfId="87" builtinId="8" hidden="1"/>
    <cellStyle name="Lien hypertexte" xfId="89" builtinId="8" hidden="1"/>
    <cellStyle name="Lien hypertexte" xfId="91" builtinId="8" hidden="1"/>
    <cellStyle name="Lien hypertexte" xfId="93" builtinId="8" hidden="1"/>
    <cellStyle name="Lien hypertexte" xfId="95" builtinId="8" hidden="1"/>
    <cellStyle name="Lien hypertexte" xfId="97" builtinId="8" hidden="1"/>
    <cellStyle name="Lien hypertexte" xfId="99" builtinId="8" hidden="1"/>
    <cellStyle name="Lien hypertexte" xfId="101" builtinId="8" hidden="1"/>
    <cellStyle name="Lien hypertexte" xfId="103" builtinId="8" hidden="1"/>
    <cellStyle name="Lien hypertexte" xfId="105" builtinId="8" hidden="1"/>
    <cellStyle name="Lien hypertexte" xfId="107" builtinId="8" hidden="1"/>
    <cellStyle name="Lien hypertexte" xfId="109" builtinId="8" hidden="1"/>
    <cellStyle name="Lien hypertexte" xfId="111" builtinId="8" hidden="1"/>
    <cellStyle name="Lien hypertexte" xfId="113" builtinId="8" hidden="1"/>
    <cellStyle name="Lien hypertexte" xfId="115" builtinId="8" hidden="1"/>
    <cellStyle name="Lien hypertexte" xfId="117" builtinId="8" hidden="1"/>
    <cellStyle name="Lien hypertexte" xfId="119" builtinId="8" hidden="1"/>
    <cellStyle name="Lien hypertexte" xfId="121" builtinId="8" hidden="1"/>
    <cellStyle name="Lien hypertexte" xfId="123" builtinId="8" hidden="1"/>
    <cellStyle name="Lien hypertexte" xfId="125" builtinId="8" hidden="1"/>
    <cellStyle name="Lien hypertexte" xfId="127" builtinId="8" hidden="1"/>
    <cellStyle name="Lien hypertexte" xfId="129" builtinId="8" hidden="1"/>
    <cellStyle name="Lien hypertexte" xfId="131" builtinId="8" hidden="1"/>
    <cellStyle name="Lien hypertexte" xfId="133" builtinId="8" hidden="1"/>
    <cellStyle name="Lien hypertexte" xfId="135" builtinId="8" hidden="1"/>
    <cellStyle name="Lien hypertexte" xfId="137" builtinId="8" hidden="1"/>
    <cellStyle name="Lien hypertexte" xfId="139" builtinId="8" hidden="1"/>
    <cellStyle name="Lien hypertexte" xfId="141" builtinId="8" hidden="1"/>
    <cellStyle name="Lien hypertexte" xfId="143" builtinId="8" hidden="1"/>
    <cellStyle name="Lien hypertexte" xfId="145" builtinId="8" hidden="1"/>
    <cellStyle name="Lien hypertexte" xfId="147" builtinId="8" hidden="1"/>
    <cellStyle name="Lien hypertexte" xfId="149" builtinId="8" hidden="1"/>
    <cellStyle name="Lien hypertexte" xfId="151" builtinId="8" hidden="1"/>
    <cellStyle name="Lien hypertexte" xfId="153" builtinId="8" hidden="1"/>
    <cellStyle name="Lien hypertexte" xfId="155" builtinId="8" hidden="1"/>
    <cellStyle name="Lien hypertexte" xfId="157" builtinId="8" hidden="1"/>
    <cellStyle name="Lien hypertexte" xfId="159" builtinId="8" hidden="1"/>
    <cellStyle name="Lien hypertexte" xfId="161" builtinId="8" hidden="1"/>
    <cellStyle name="Lien hypertexte" xfId="172" builtinId="8" hidden="1"/>
    <cellStyle name="Lien hypertexte" xfId="174" builtinId="8" hidden="1"/>
    <cellStyle name="Lien hypertexte" xfId="176" builtinId="8" hidden="1"/>
    <cellStyle name="Lien hypertexte" xfId="178" builtinId="8" hidden="1"/>
    <cellStyle name="Lien hypertexte" xfId="180" builtinId="8" hidden="1"/>
    <cellStyle name="Lien hypertexte" xfId="182" builtinId="8" hidden="1"/>
    <cellStyle name="Lien hypertexte" xfId="184" builtinId="8" hidden="1"/>
    <cellStyle name="Lien hypertexte" xfId="186" builtinId="8" hidden="1"/>
    <cellStyle name="Lien hypertexte" xfId="188" builtinId="8" hidden="1"/>
    <cellStyle name="Lien hypertexte" xfId="190" builtinId="8" hidden="1"/>
    <cellStyle name="Lien hypertexte" xfId="192" builtinId="8" hidden="1"/>
    <cellStyle name="Lien hypertexte" xfId="194" builtinId="8" hidden="1"/>
    <cellStyle name="Lien hypertexte" xfId="196" builtinId="8" hidden="1"/>
    <cellStyle name="Lien hypertexte" xfId="198" builtinId="8" hidden="1"/>
    <cellStyle name="Lien hypertexte" xfId="200" builtinId="8" hidden="1"/>
    <cellStyle name="Lien hypertexte" xfId="202" builtinId="8" hidden="1"/>
    <cellStyle name="Lien hypertexte" xfId="204" builtinId="8" hidden="1"/>
    <cellStyle name="Lien hypertexte" xfId="206" builtinId="8" hidden="1"/>
    <cellStyle name="Lien hypertexte" xfId="208" builtinId="8" hidden="1"/>
    <cellStyle name="Lien hypertexte" xfId="210" builtinId="8" hidden="1"/>
    <cellStyle name="Lien hypertexte" xfId="212" builtinId="8" hidden="1"/>
    <cellStyle name="Lien hypertexte" xfId="214" builtinId="8" hidden="1"/>
    <cellStyle name="Lien hypertexte" xfId="216" builtinId="8" hidden="1"/>
    <cellStyle name="Lien hypertexte" xfId="218" builtinId="8" hidden="1"/>
    <cellStyle name="Lien hypertexte" xfId="220" builtinId="8" hidden="1"/>
    <cellStyle name="Lien hypertexte" xfId="222" builtinId="8" hidden="1"/>
    <cellStyle name="Lien hypertexte" xfId="226" builtinId="8" hidden="1"/>
    <cellStyle name="Lien hypertexte" xfId="228" builtinId="8" hidden="1"/>
    <cellStyle name="Lien hypertexte" xfId="230" builtinId="8" hidden="1"/>
    <cellStyle name="Lien hypertexte" xfId="232" builtinId="8" hidden="1"/>
    <cellStyle name="Lien hypertexte" xfId="234" builtinId="8" hidden="1"/>
    <cellStyle name="Lien hypertexte" xfId="236" builtinId="8" hidden="1"/>
    <cellStyle name="Lien hypertexte" xfId="238" builtinId="8" hidden="1"/>
    <cellStyle name="Lien hypertexte" xfId="240" builtinId="8" hidden="1"/>
    <cellStyle name="Lien hypertexte" xfId="242" builtinId="8"/>
    <cellStyle name="Lien hypertexte 2" xfId="355"/>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2"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Lien hypertexte visité" xfId="54" builtinId="9" hidden="1"/>
    <cellStyle name="Lien hypertexte visité" xfId="56" builtinId="9" hidden="1"/>
    <cellStyle name="Lien hypertexte visité" xfId="58" builtinId="9" hidden="1"/>
    <cellStyle name="Lien hypertexte visité" xfId="60" builtinId="9" hidden="1"/>
    <cellStyle name="Lien hypertexte visité" xfId="62" builtinId="9" hidden="1"/>
    <cellStyle name="Lien hypertexte visité" xfId="64" builtinId="9" hidden="1"/>
    <cellStyle name="Lien hypertexte visité" xfId="66" builtinId="9" hidden="1"/>
    <cellStyle name="Lien hypertexte visité" xfId="68" builtinId="9" hidden="1"/>
    <cellStyle name="Lien hypertexte visité" xfId="70" builtinId="9" hidden="1"/>
    <cellStyle name="Lien hypertexte visité" xfId="72" builtinId="9" hidden="1"/>
    <cellStyle name="Lien hypertexte visité" xfId="74" builtinId="9" hidden="1"/>
    <cellStyle name="Lien hypertexte visité" xfId="76" builtinId="9" hidden="1"/>
    <cellStyle name="Lien hypertexte visité" xfId="78" builtinId="9" hidden="1"/>
    <cellStyle name="Lien hypertexte visité" xfId="80" builtinId="9" hidden="1"/>
    <cellStyle name="Lien hypertexte visité" xfId="82" builtinId="9" hidden="1"/>
    <cellStyle name="Lien hypertexte visité" xfId="84" builtinId="9" hidden="1"/>
    <cellStyle name="Lien hypertexte visité" xfId="86" builtinId="9" hidden="1"/>
    <cellStyle name="Lien hypertexte visité" xfId="88" builtinId="9" hidden="1"/>
    <cellStyle name="Lien hypertexte visité" xfId="90" builtinId="9" hidden="1"/>
    <cellStyle name="Lien hypertexte visité" xfId="92" builtinId="9" hidden="1"/>
    <cellStyle name="Lien hypertexte visité" xfId="94" builtinId="9" hidden="1"/>
    <cellStyle name="Lien hypertexte visité" xfId="96" builtinId="9" hidden="1"/>
    <cellStyle name="Lien hypertexte visité" xfId="98" builtinId="9" hidden="1"/>
    <cellStyle name="Lien hypertexte visité" xfId="100" builtinId="9" hidden="1"/>
    <cellStyle name="Lien hypertexte visité" xfId="102" builtinId="9" hidden="1"/>
    <cellStyle name="Lien hypertexte visité" xfId="104" builtinId="9" hidden="1"/>
    <cellStyle name="Lien hypertexte visité" xfId="106" builtinId="9" hidden="1"/>
    <cellStyle name="Lien hypertexte visité" xfId="108" builtinId="9" hidden="1"/>
    <cellStyle name="Lien hypertexte visité" xfId="110" builtinId="9" hidden="1"/>
    <cellStyle name="Lien hypertexte visité" xfId="112" builtinId="9" hidden="1"/>
    <cellStyle name="Lien hypertexte visité" xfId="114" builtinId="9" hidden="1"/>
    <cellStyle name="Lien hypertexte visité" xfId="116" builtinId="9" hidden="1"/>
    <cellStyle name="Lien hypertexte visité" xfId="118" builtinId="9" hidden="1"/>
    <cellStyle name="Lien hypertexte visité" xfId="120" builtinId="9" hidden="1"/>
    <cellStyle name="Lien hypertexte visité" xfId="122" builtinId="9" hidden="1"/>
    <cellStyle name="Lien hypertexte visité" xfId="124" builtinId="9" hidden="1"/>
    <cellStyle name="Lien hypertexte visité" xfId="126" builtinId="9" hidden="1"/>
    <cellStyle name="Lien hypertexte visité" xfId="128" builtinId="9" hidden="1"/>
    <cellStyle name="Lien hypertexte visité" xfId="130" builtinId="9" hidden="1"/>
    <cellStyle name="Lien hypertexte visité" xfId="132" builtinId="9" hidden="1"/>
    <cellStyle name="Lien hypertexte visité" xfId="134" builtinId="9" hidden="1"/>
    <cellStyle name="Lien hypertexte visité" xfId="136" builtinId="9" hidden="1"/>
    <cellStyle name="Lien hypertexte visité" xfId="138" builtinId="9" hidden="1"/>
    <cellStyle name="Lien hypertexte visité" xfId="140" builtinId="9" hidden="1"/>
    <cellStyle name="Lien hypertexte visité" xfId="142" builtinId="9" hidden="1"/>
    <cellStyle name="Lien hypertexte visité" xfId="144" builtinId="9" hidden="1"/>
    <cellStyle name="Lien hypertexte visité" xfId="146" builtinId="9" hidden="1"/>
    <cellStyle name="Lien hypertexte visité" xfId="148" builtinId="9" hidden="1"/>
    <cellStyle name="Lien hypertexte visité" xfId="150" builtinId="9" hidden="1"/>
    <cellStyle name="Lien hypertexte visité" xfId="152" builtinId="9" hidden="1"/>
    <cellStyle name="Lien hypertexte visité" xfId="154" builtinId="9" hidden="1"/>
    <cellStyle name="Lien hypertexte visité" xfId="156" builtinId="9" hidden="1"/>
    <cellStyle name="Lien hypertexte visité" xfId="158" builtinId="9" hidden="1"/>
    <cellStyle name="Lien hypertexte visité" xfId="160" builtinId="9" hidden="1"/>
    <cellStyle name="Lien hypertexte visité" xfId="162" builtinId="9" hidden="1"/>
    <cellStyle name="Lien hypertexte visité" xfId="173" builtinId="9" hidden="1"/>
    <cellStyle name="Lien hypertexte visité" xfId="175" builtinId="9" hidden="1"/>
    <cellStyle name="Lien hypertexte visité" xfId="177" builtinId="9" hidden="1"/>
    <cellStyle name="Lien hypertexte visité" xfId="179" builtinId="9" hidden="1"/>
    <cellStyle name="Lien hypertexte visité" xfId="181" builtinId="9" hidden="1"/>
    <cellStyle name="Lien hypertexte visité" xfId="183" builtinId="9" hidden="1"/>
    <cellStyle name="Lien hypertexte visité" xfId="185" builtinId="9" hidden="1"/>
    <cellStyle name="Lien hypertexte visité" xfId="187" builtinId="9" hidden="1"/>
    <cellStyle name="Lien hypertexte visité" xfId="189" builtinId="9" hidden="1"/>
    <cellStyle name="Lien hypertexte visité" xfId="191" builtinId="9" hidden="1"/>
    <cellStyle name="Lien hypertexte visité" xfId="193" builtinId="9" hidden="1"/>
    <cellStyle name="Lien hypertexte visité" xfId="195" builtinId="9" hidden="1"/>
    <cellStyle name="Lien hypertexte visité" xfId="197" builtinId="9" hidden="1"/>
    <cellStyle name="Lien hypertexte visité" xfId="199" builtinId="9" hidden="1"/>
    <cellStyle name="Lien hypertexte visité" xfId="201" builtinId="9" hidden="1"/>
    <cellStyle name="Lien hypertexte visité" xfId="203" builtinId="9" hidden="1"/>
    <cellStyle name="Lien hypertexte visité" xfId="205" builtinId="9" hidden="1"/>
    <cellStyle name="Lien hypertexte visité" xfId="207" builtinId="9" hidden="1"/>
    <cellStyle name="Lien hypertexte visité" xfId="209" builtinId="9" hidden="1"/>
    <cellStyle name="Lien hypertexte visité" xfId="211" builtinId="9" hidden="1"/>
    <cellStyle name="Lien hypertexte visité" xfId="213" builtinId="9" hidden="1"/>
    <cellStyle name="Lien hypertexte visité" xfId="215" builtinId="9" hidden="1"/>
    <cellStyle name="Lien hypertexte visité" xfId="217" builtinId="9" hidden="1"/>
    <cellStyle name="Lien hypertexte visité" xfId="219" builtinId="9" hidden="1"/>
    <cellStyle name="Lien hypertexte visité" xfId="221" builtinId="9" hidden="1"/>
    <cellStyle name="Lien hypertexte visité" xfId="223" builtinId="9" hidden="1"/>
    <cellStyle name="Lien hypertexte visité" xfId="227" builtinId="9" hidden="1"/>
    <cellStyle name="Lien hypertexte visité" xfId="229" builtinId="9" hidden="1"/>
    <cellStyle name="Lien hypertexte visité" xfId="231" builtinId="9" hidden="1"/>
    <cellStyle name="Lien hypertexte visité" xfId="233" builtinId="9" hidden="1"/>
    <cellStyle name="Lien hypertexte visité" xfId="235" builtinId="9" hidden="1"/>
    <cellStyle name="Lien hypertexte visité" xfId="237" builtinId="9" hidden="1"/>
    <cellStyle name="Lien hypertexte visité" xfId="239" builtinId="9" hidden="1"/>
    <cellStyle name="Lien hypertexte visité" xfId="241" builtinId="9" hidden="1"/>
    <cellStyle name="Lien hypertexte visité" xfId="243" builtinId="9" hidden="1"/>
    <cellStyle name="Lien hypertexte visité" xfId="244" builtinId="9" hidden="1"/>
    <cellStyle name="Lien hypertexte visité" xfId="245" builtinId="9" hidden="1"/>
    <cellStyle name="Lien hypertexte visité" xfId="246" builtinId="9" hidden="1"/>
    <cellStyle name="Lien hypertexte visité" xfId="247" builtinId="9" hidden="1"/>
    <cellStyle name="Lien hypertexte visité" xfId="248" builtinId="9" hidden="1"/>
    <cellStyle name="Lien hypertexte visité" xfId="249" builtinId="9" hidden="1"/>
    <cellStyle name="Lien hypertexte visité" xfId="250" builtinId="9" hidden="1"/>
    <cellStyle name="Lien hypertexte visité" xfId="251" builtinId="9" hidden="1"/>
    <cellStyle name="Lien hypertexte visité" xfId="253" builtinId="9" hidden="1"/>
    <cellStyle name="Lien hypertexte visité" xfId="254" builtinId="9" hidden="1"/>
    <cellStyle name="Lien hypertexte visité" xfId="255" builtinId="9" hidden="1"/>
    <cellStyle name="Lien hypertexte visité" xfId="256" builtinId="9" hidden="1"/>
    <cellStyle name="Lien hypertexte visité" xfId="257" builtinId="9" hidden="1"/>
    <cellStyle name="Lien hypertexte visité" xfId="258" builtinId="9" hidden="1"/>
    <cellStyle name="Lien hypertexte visité" xfId="259" builtinId="9" hidden="1"/>
    <cellStyle name="Lien hypertexte visité" xfId="260" builtinId="9" hidden="1"/>
    <cellStyle name="Lien hypertexte visité" xfId="261" builtinId="9" hidden="1"/>
    <cellStyle name="Lien hypertexte visité" xfId="262" builtinId="9" hidden="1"/>
    <cellStyle name="Lien hypertexte visité" xfId="263" builtinId="9" hidden="1"/>
    <cellStyle name="Lien hypertexte visité" xfId="264" builtinId="9" hidden="1"/>
    <cellStyle name="Lien hypertexte visité" xfId="265" builtinId="9" hidden="1"/>
    <cellStyle name="Lien hypertexte visité" xfId="266" builtinId="9" hidden="1"/>
    <cellStyle name="Lien hypertexte visité" xfId="267" builtinId="9" hidden="1"/>
    <cellStyle name="Lien hypertexte visité" xfId="268" builtinId="9" hidden="1"/>
    <cellStyle name="Lien hypertexte visité" xfId="269" builtinId="9" hidden="1"/>
    <cellStyle name="Lien hypertexte visité" xfId="270" builtinId="9" hidden="1"/>
    <cellStyle name="Lien hypertexte visité" xfId="271" builtinId="9" hidden="1"/>
    <cellStyle name="Lien hypertexte visité" xfId="272" builtinId="9" hidden="1"/>
    <cellStyle name="Lien hypertexte visité" xfId="273" builtinId="9" hidden="1"/>
    <cellStyle name="Lien hypertexte visité" xfId="274" builtinId="9" hidden="1"/>
    <cellStyle name="Lien hypertexte visité" xfId="275" builtinId="9" hidden="1"/>
    <cellStyle name="Lien hypertexte visité" xfId="276" builtinId="9" hidden="1"/>
    <cellStyle name="Lien hypertexte visité" xfId="277" builtinId="9" hidden="1"/>
    <cellStyle name="Lien hypertexte visité" xfId="278" builtinId="9" hidden="1"/>
    <cellStyle name="Lien hypertexte visité" xfId="279" builtinId="9" hidden="1"/>
    <cellStyle name="Lien hypertexte visité" xfId="280" builtinId="9" hidden="1"/>
    <cellStyle name="Lien hypertexte visité" xfId="281" builtinId="9" hidden="1"/>
    <cellStyle name="Lien hypertexte visité" xfId="282" builtinId="9" hidden="1"/>
    <cellStyle name="Lien hypertexte visité" xfId="283" builtinId="9" hidden="1"/>
    <cellStyle name="Lien hypertexte visité" xfId="284" builtinId="9" hidden="1"/>
    <cellStyle name="Lien hypertexte visité" xfId="285" builtinId="9" hidden="1"/>
    <cellStyle name="Lien hypertexte visité" xfId="286" builtinId="9" hidden="1"/>
    <cellStyle name="Lien hypertexte visité" xfId="287" builtinId="9" hidden="1"/>
    <cellStyle name="Lien hypertexte visité" xfId="288" builtinId="9" hidden="1"/>
    <cellStyle name="Lien hypertexte visité" xfId="289" builtinId="9" hidden="1"/>
    <cellStyle name="Lien hypertexte visité" xfId="290" builtinId="9" hidden="1"/>
    <cellStyle name="Lien hypertexte visité" xfId="291" builtinId="9" hidden="1"/>
    <cellStyle name="Lien hypertexte visité" xfId="292" builtinId="9" hidden="1"/>
    <cellStyle name="Lien hypertexte visité" xfId="293" builtinId="9" hidden="1"/>
    <cellStyle name="Lien hypertexte visité" xfId="294" builtinId="9" hidden="1"/>
    <cellStyle name="Lien hypertexte visité" xfId="295" builtinId="9" hidden="1"/>
    <cellStyle name="Lien hypertexte visité" xfId="296" builtinId="9" hidden="1"/>
    <cellStyle name="Lien hypertexte visité" xfId="297" builtinId="9" hidden="1"/>
    <cellStyle name="Lien hypertexte visité" xfId="298" builtinId="9" hidden="1"/>
    <cellStyle name="Lien hypertexte visité" xfId="299" builtinId="9" hidden="1"/>
    <cellStyle name="Lien hypertexte visité" xfId="300" builtinId="9" hidden="1"/>
    <cellStyle name="Lien hypertexte visité" xfId="301" builtinId="9" hidden="1"/>
    <cellStyle name="Lien hypertexte visité" xfId="302" builtinId="9" hidden="1"/>
    <cellStyle name="Lien hypertexte visité" xfId="303" builtinId="9" hidden="1"/>
    <cellStyle name="Lien hypertexte visité" xfId="304" builtinId="9" hidden="1"/>
    <cellStyle name="Lien hypertexte visité" xfId="305" builtinId="9" hidden="1"/>
    <cellStyle name="Lien hypertexte visité" xfId="306" builtinId="9" hidden="1"/>
    <cellStyle name="Lien hypertexte visité" xfId="307" builtinId="9" hidden="1"/>
    <cellStyle name="Lien hypertexte visité" xfId="308" builtinId="9" hidden="1"/>
    <cellStyle name="Lien hypertexte visité" xfId="309" builtinId="9" hidden="1"/>
    <cellStyle name="Lien hypertexte visité" xfId="310" builtinId="9" hidden="1"/>
    <cellStyle name="Lien hypertexte visité" xfId="311" builtinId="9" hidden="1"/>
    <cellStyle name="Lien hypertexte visité" xfId="312" builtinId="9" hidden="1"/>
    <cellStyle name="Lien hypertexte visité" xfId="313" builtinId="9" hidden="1"/>
    <cellStyle name="Lien hypertexte visité" xfId="314" builtinId="9" hidden="1"/>
    <cellStyle name="Lien hypertexte visité" xfId="315" builtinId="9" hidden="1"/>
    <cellStyle name="Lien hypertexte visité" xfId="316" builtinId="9" hidden="1"/>
    <cellStyle name="Lien hypertexte visité" xfId="317" builtinId="9" hidden="1"/>
    <cellStyle name="Lien hypertexte visité" xfId="362" builtinId="9" hidden="1"/>
    <cellStyle name="Lien hypertexte visité" xfId="363" builtinId="9" hidden="1"/>
    <cellStyle name="Lien hypertexte visité" xfId="364" builtinId="9" hidden="1"/>
    <cellStyle name="Lien hypertexte visité" xfId="365" builtinId="9" hidden="1"/>
    <cellStyle name="Lien hypertexte visité" xfId="366" builtinId="9" hidden="1"/>
    <cellStyle name="Lien hypertexte visité" xfId="367" builtinId="9" hidden="1"/>
    <cellStyle name="Lien hypertexte visité" xfId="368" builtinId="9" hidden="1"/>
    <cellStyle name="Lien hypertexte visité" xfId="369" builtinId="9" hidden="1"/>
    <cellStyle name="Lien hypertexte visité" xfId="370" builtinId="9" hidden="1"/>
    <cellStyle name="Lien hypertexte visité" xfId="371" builtinId="9" hidden="1"/>
    <cellStyle name="Lien hypertexte visité" xfId="372" builtinId="9" hidden="1"/>
    <cellStyle name="Lien hypertexte visité" xfId="373" builtinId="9" hidden="1"/>
    <cellStyle name="Lien hypertexte visité" xfId="374" builtinId="9" hidden="1"/>
    <cellStyle name="Lien hypertexte visité" xfId="375" builtinId="9" hidden="1"/>
    <cellStyle name="Lien hypertexte visité" xfId="376" builtinId="9" hidden="1"/>
    <cellStyle name="Lien hypertexte visité" xfId="377" builtinId="9" hidden="1"/>
    <cellStyle name="Lien hypertexte visité" xfId="378" builtinId="9" hidden="1"/>
    <cellStyle name="Lien hypertexte visité" xfId="379" builtinId="9" hidden="1"/>
    <cellStyle name="Lien hypertexte visité" xfId="380" builtinId="9" hidden="1"/>
    <cellStyle name="Lien hypertexte visité" xfId="381" builtinId="9" hidden="1"/>
    <cellStyle name="Lien hypertexte visité" xfId="382" builtinId="9" hidden="1"/>
    <cellStyle name="Linked Cell 2" xfId="356"/>
    <cellStyle name="Monétaire0" xfId="6"/>
    <cellStyle name="Neutral 2" xfId="357"/>
    <cellStyle name="Normal" xfId="0" builtinId="0"/>
    <cellStyle name="Normal 2" xfId="7"/>
    <cellStyle name="Normal 3" xfId="8"/>
    <cellStyle name="Normal 3 2" xfId="318"/>
    <cellStyle name="Normal 4" xfId="9"/>
    <cellStyle name="Normal 5" xfId="163"/>
    <cellStyle name="Normal 6" xfId="10"/>
    <cellStyle name="Normal 7" xfId="224"/>
    <cellStyle name="Normal 8" xfId="319"/>
    <cellStyle name="Normal 9" xfId="383"/>
    <cellStyle name="Note 2" xfId="358"/>
    <cellStyle name="Output 2" xfId="359"/>
    <cellStyle name="Percent 2" xfId="320"/>
    <cellStyle name="Pourcentage" xfId="1" builtinId="5"/>
    <cellStyle name="Pourcentage 2" xfId="11"/>
    <cellStyle name="Pourcentage 3" xfId="12"/>
    <cellStyle name="Pourcentage 3 2" xfId="13"/>
    <cellStyle name="Pourcentage 4" xfId="225"/>
    <cellStyle name="Pourcentage 5" xfId="252"/>
    <cellStyle name="Pourcentage 6" xfId="384"/>
    <cellStyle name="Satisfaisant" xfId="165"/>
    <cellStyle name="Standard 11" xfId="14"/>
    <cellStyle name="style_col_headings" xfId="15"/>
    <cellStyle name="Titre" xfId="166"/>
    <cellStyle name="Titre 1" xfId="167"/>
    <cellStyle name="Titre 2" xfId="168"/>
    <cellStyle name="Titre 3" xfId="169"/>
    <cellStyle name="Titre 4" xfId="170"/>
    <cellStyle name="Total 2" xfId="360"/>
    <cellStyle name="Vérification" xfId="171"/>
    <cellStyle name="Virgule fixe" xfId="16"/>
    <cellStyle name="Warning Text 2" xfId="361"/>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9" Type="http://schemas.openxmlformats.org/officeDocument/2006/relationships/worksheet" Target="worksheets/sheet8.xml"/><Relationship Id="rId20" Type="http://schemas.openxmlformats.org/officeDocument/2006/relationships/sharedStrings" Target="sharedStrings.xml"/><Relationship Id="rId21" Type="http://schemas.openxmlformats.org/officeDocument/2006/relationships/calcChain" Target="calcChain.xml"/><Relationship Id="rId10" Type="http://schemas.openxmlformats.org/officeDocument/2006/relationships/chartsheet" Target="chartsheets/sheet2.xml"/><Relationship Id="rId11" Type="http://schemas.openxmlformats.org/officeDocument/2006/relationships/worksheet" Target="worksheets/sheet9.xml"/><Relationship Id="rId12" Type="http://schemas.openxmlformats.org/officeDocument/2006/relationships/chartsheet" Target="chartsheets/sheet3.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chartsheet" Target="chartsheets/sheet4.xml"/><Relationship Id="rId16" Type="http://schemas.openxmlformats.org/officeDocument/2006/relationships/chartsheet" Target="chartsheets/sheet5.xml"/><Relationship Id="rId17" Type="http://schemas.openxmlformats.org/officeDocument/2006/relationships/worksheet" Target="worksheets/sheet12.xml"/><Relationship Id="rId18" Type="http://schemas.openxmlformats.org/officeDocument/2006/relationships/theme" Target="theme/theme1.xml"/><Relationship Id="rId19" Type="http://schemas.openxmlformats.org/officeDocument/2006/relationships/styles" Target="styles.xml"/><Relationship Id="rId1" Type="http://schemas.openxmlformats.org/officeDocument/2006/relationships/chartsheet" Target="chartsheets/sheet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1.xml"/><Relationship Id="rId2" Type="http://schemas.openxmlformats.org/officeDocument/2006/relationships/chartUserShapes" Target="../drawings/drawing1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lineChart>
        <c:grouping val="standard"/>
        <c:varyColors val="0"/>
        <c:ser>
          <c:idx val="1"/>
          <c:order val="0"/>
          <c:tx>
            <c:v>Dans tous les paradis fiscaux</c:v>
          </c:tx>
          <c:spPr>
            <a:ln>
              <a:solidFill>
                <a:schemeClr val="tx1"/>
              </a:solidFill>
            </a:ln>
            <a:effectLst/>
          </c:spPr>
          <c:marker>
            <c:symbol val="circle"/>
            <c:size val="12"/>
            <c:spPr>
              <a:solidFill>
                <a:schemeClr val="bg1"/>
              </a:solidFill>
              <a:ln>
                <a:solidFill>
                  <a:schemeClr val="tx1"/>
                </a:solidFill>
              </a:ln>
              <a:effectLst/>
            </c:spPr>
          </c:marker>
          <c:cat>
            <c:numRef>
              <c:f>'Data-Fig1'!$A$3:$A$14</c:f>
              <c:numCache>
                <c:formatCode>General</c:formatCode>
                <c:ptCount val="12"/>
                <c:pt idx="0">
                  <c:v>1910.0</c:v>
                </c:pt>
                <c:pt idx="1">
                  <c:v>1920.0</c:v>
                </c:pt>
                <c:pt idx="2">
                  <c:v>1930.0</c:v>
                </c:pt>
                <c:pt idx="3">
                  <c:v>1940.0</c:v>
                </c:pt>
                <c:pt idx="4">
                  <c:v>1950.0</c:v>
                </c:pt>
                <c:pt idx="5">
                  <c:v>1960.0</c:v>
                </c:pt>
                <c:pt idx="6">
                  <c:v>1970.0</c:v>
                </c:pt>
                <c:pt idx="7">
                  <c:v>1980.0</c:v>
                </c:pt>
                <c:pt idx="8">
                  <c:v>1990.0</c:v>
                </c:pt>
                <c:pt idx="9">
                  <c:v>2000.0</c:v>
                </c:pt>
                <c:pt idx="10">
                  <c:v>2010.0</c:v>
                </c:pt>
                <c:pt idx="11">
                  <c:v>2013.0</c:v>
                </c:pt>
              </c:numCache>
            </c:numRef>
          </c:cat>
          <c:val>
            <c:numRef>
              <c:f>'Data-Fig1'!$L$3:$L$14</c:f>
              <c:numCache>
                <c:formatCode>0.0%</c:formatCode>
                <c:ptCount val="12"/>
                <c:pt idx="0">
                  <c:v>0.00403712238827545</c:v>
                </c:pt>
                <c:pt idx="1">
                  <c:v>0.0137152823956428</c:v>
                </c:pt>
                <c:pt idx="2">
                  <c:v>0.0218730873462637</c:v>
                </c:pt>
                <c:pt idx="3">
                  <c:v>0.0164563263483926</c:v>
                </c:pt>
                <c:pt idx="4">
                  <c:v>0.0199079625285766</c:v>
                </c:pt>
                <c:pt idx="5">
                  <c:v>0.0317702142547079</c:v>
                </c:pt>
                <c:pt idx="6">
                  <c:v>0.0454711925314217</c:v>
                </c:pt>
                <c:pt idx="7">
                  <c:v>0.056119978991146</c:v>
                </c:pt>
                <c:pt idx="8">
                  <c:v>0.0667687654508703</c:v>
                </c:pt>
                <c:pt idx="9">
                  <c:v>0.0774175519105946</c:v>
                </c:pt>
                <c:pt idx="10">
                  <c:v>0.0880663383703189</c:v>
                </c:pt>
                <c:pt idx="11">
                  <c:v>0.0987151248300432</c:v>
                </c:pt>
              </c:numCache>
            </c:numRef>
          </c:val>
          <c:smooth val="0"/>
        </c:ser>
        <c:ser>
          <c:idx val="0"/>
          <c:order val="1"/>
          <c:tx>
            <c:v>En Suisse</c:v>
          </c:tx>
          <c:spPr>
            <a:ln>
              <a:solidFill>
                <a:schemeClr val="tx1"/>
              </a:solidFill>
            </a:ln>
            <a:effectLst/>
          </c:spPr>
          <c:marker>
            <c:symbol val="circle"/>
            <c:size val="12"/>
            <c:spPr>
              <a:solidFill>
                <a:schemeClr val="tx1"/>
              </a:solidFill>
              <a:ln>
                <a:solidFill>
                  <a:schemeClr val="tx1"/>
                </a:solidFill>
              </a:ln>
              <a:effectLst/>
            </c:spPr>
          </c:marker>
          <c:cat>
            <c:numRef>
              <c:f>'Data-Fig1'!$A$3:$A$14</c:f>
              <c:numCache>
                <c:formatCode>General</c:formatCode>
                <c:ptCount val="12"/>
                <c:pt idx="0">
                  <c:v>1910.0</c:v>
                </c:pt>
                <c:pt idx="1">
                  <c:v>1920.0</c:v>
                </c:pt>
                <c:pt idx="2">
                  <c:v>1930.0</c:v>
                </c:pt>
                <c:pt idx="3">
                  <c:v>1940.0</c:v>
                </c:pt>
                <c:pt idx="4">
                  <c:v>1950.0</c:v>
                </c:pt>
                <c:pt idx="5">
                  <c:v>1960.0</c:v>
                </c:pt>
                <c:pt idx="6">
                  <c:v>1970.0</c:v>
                </c:pt>
                <c:pt idx="7">
                  <c:v>1980.0</c:v>
                </c:pt>
                <c:pt idx="8">
                  <c:v>1990.0</c:v>
                </c:pt>
                <c:pt idx="9">
                  <c:v>2000.0</c:v>
                </c:pt>
                <c:pt idx="10">
                  <c:v>2010.0</c:v>
                </c:pt>
                <c:pt idx="11">
                  <c:v>2013.0</c:v>
                </c:pt>
              </c:numCache>
            </c:numRef>
          </c:cat>
          <c:val>
            <c:numRef>
              <c:f>'Data-Fig1'!$K$3:$K$14</c:f>
              <c:numCache>
                <c:formatCode>0.0%</c:formatCode>
                <c:ptCount val="12"/>
                <c:pt idx="0">
                  <c:v>0.00403712238827545</c:v>
                </c:pt>
                <c:pt idx="1">
                  <c:v>0.0137152823956428</c:v>
                </c:pt>
                <c:pt idx="2">
                  <c:v>0.0218730873462637</c:v>
                </c:pt>
                <c:pt idx="3">
                  <c:v>0.0164563263483926</c:v>
                </c:pt>
                <c:pt idx="4">
                  <c:v>0.0199079625285766</c:v>
                </c:pt>
                <c:pt idx="5">
                  <c:v>0.0317702142547079</c:v>
                </c:pt>
                <c:pt idx="6">
                  <c:v>0.0454711925314217</c:v>
                </c:pt>
                <c:pt idx="7">
                  <c:v>0.0553636738218822</c:v>
                </c:pt>
                <c:pt idx="8">
                  <c:v>0.054864763141778</c:v>
                </c:pt>
                <c:pt idx="9">
                  <c:v>0.0588072661891313</c:v>
                </c:pt>
                <c:pt idx="10">
                  <c:v>0.0569814030519214</c:v>
                </c:pt>
                <c:pt idx="11">
                  <c:v>0.0602998556454009</c:v>
                </c:pt>
              </c:numCache>
            </c:numRef>
          </c:val>
          <c:smooth val="0"/>
        </c:ser>
        <c:dLbls>
          <c:showLegendKey val="0"/>
          <c:showVal val="0"/>
          <c:showCatName val="0"/>
          <c:showSerName val="0"/>
          <c:showPercent val="0"/>
          <c:showBubbleSize val="0"/>
        </c:dLbls>
        <c:marker val="1"/>
        <c:smooth val="0"/>
        <c:axId val="2085244584"/>
        <c:axId val="2085248472"/>
      </c:lineChart>
      <c:catAx>
        <c:axId val="2085244584"/>
        <c:scaling>
          <c:orientation val="minMax"/>
        </c:scaling>
        <c:delete val="0"/>
        <c:axPos val="b"/>
        <c:numFmt formatCode="General" sourceLinked="1"/>
        <c:majorTickMark val="out"/>
        <c:minorTickMark val="none"/>
        <c:tickLblPos val="nextTo"/>
        <c:txPr>
          <a:bodyPr/>
          <a:lstStyle/>
          <a:p>
            <a:pPr>
              <a:defRPr sz="2000">
                <a:latin typeface="Arial"/>
                <a:cs typeface="Arial"/>
              </a:defRPr>
            </a:pPr>
            <a:endParaRPr lang="fr-FR"/>
          </a:p>
        </c:txPr>
        <c:crossAx val="2085248472"/>
        <c:crosses val="autoZero"/>
        <c:auto val="1"/>
        <c:lblAlgn val="ctr"/>
        <c:lblOffset val="100"/>
        <c:noMultiLvlLbl val="0"/>
      </c:catAx>
      <c:valAx>
        <c:axId val="2085248472"/>
        <c:scaling>
          <c:orientation val="minMax"/>
          <c:max val="0.1"/>
        </c:scaling>
        <c:delete val="0"/>
        <c:axPos val="l"/>
        <c:majorGridlines>
          <c:spPr>
            <a:ln>
              <a:noFill/>
            </a:ln>
          </c:spPr>
        </c:majorGridlines>
        <c:numFmt formatCode="0%" sourceLinked="0"/>
        <c:majorTickMark val="out"/>
        <c:minorTickMark val="none"/>
        <c:tickLblPos val="nextTo"/>
        <c:txPr>
          <a:bodyPr/>
          <a:lstStyle/>
          <a:p>
            <a:pPr>
              <a:defRPr sz="2000">
                <a:latin typeface="Arial"/>
                <a:cs typeface="Arial"/>
              </a:defRPr>
            </a:pPr>
            <a:endParaRPr lang="fr-FR"/>
          </a:p>
        </c:txPr>
        <c:crossAx val="2085244584"/>
        <c:crosses val="autoZero"/>
        <c:crossBetween val="midCat"/>
        <c:majorUnit val="0.02"/>
      </c:valAx>
    </c:plotArea>
    <c:plotVisOnly val="1"/>
    <c:dispBlanksAs val="gap"/>
    <c:showDLblsOverMax val="0"/>
  </c:chart>
  <c:spPr>
    <a:ln>
      <a:noFill/>
    </a:ln>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453217485745"/>
          <c:y val="0.0294117647058823"/>
          <c:w val="0.846896551724138"/>
          <c:h val="0.877828054298642"/>
        </c:manualLayout>
      </c:layout>
      <c:lineChart>
        <c:grouping val="standard"/>
        <c:varyColors val="0"/>
        <c:ser>
          <c:idx val="6"/>
          <c:order val="0"/>
          <c:tx>
            <c:strRef>
              <c:f>'Data-Fig5'!$B$1</c:f>
              <c:strCache>
                <c:ptCount val="1"/>
                <c:pt idx="0">
                  <c:v>Tax havens</c:v>
                </c:pt>
              </c:strCache>
            </c:strRef>
          </c:tx>
          <c:spPr>
            <a:ln w="25400">
              <a:solidFill>
                <a:srgbClr val="000000"/>
              </a:solidFill>
              <a:prstDash val="solid"/>
            </a:ln>
          </c:spPr>
          <c:marker>
            <c:symbol val="square"/>
            <c:size val="10"/>
            <c:spPr>
              <a:solidFill>
                <a:srgbClr val="000000"/>
              </a:solidFill>
              <a:ln>
                <a:solidFill>
                  <a:srgbClr val="FFFFFF"/>
                </a:solidFill>
                <a:prstDash val="solid"/>
              </a:ln>
            </c:spPr>
          </c:marker>
          <c:cat>
            <c:numRef>
              <c:f>'Data-Fig5'!$A$8:$A$41</c:f>
              <c:numCache>
                <c:formatCode>General</c:formatCode>
                <c:ptCount val="34"/>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pt idx="31">
                  <c:v>2013.0</c:v>
                </c:pt>
                <c:pt idx="32">
                  <c:v>2014.0</c:v>
                </c:pt>
                <c:pt idx="33">
                  <c:v>2015.0</c:v>
                </c:pt>
              </c:numCache>
            </c:numRef>
          </c:cat>
          <c:val>
            <c:numRef>
              <c:f>'Data-Fig5'!$B$8:$B$41</c:f>
              <c:numCache>
                <c:formatCode>0%</c:formatCode>
                <c:ptCount val="34"/>
                <c:pt idx="0">
                  <c:v>0.26838302126886</c:v>
                </c:pt>
                <c:pt idx="1">
                  <c:v>0.289965759516186</c:v>
                </c:pt>
                <c:pt idx="2">
                  <c:v>0.314502266764508</c:v>
                </c:pt>
                <c:pt idx="3">
                  <c:v>0.321125104654684</c:v>
                </c:pt>
                <c:pt idx="4">
                  <c:v>0.337618272377053</c:v>
                </c:pt>
                <c:pt idx="5">
                  <c:v>0.346666327620404</c:v>
                </c:pt>
                <c:pt idx="6">
                  <c:v>0.343531144052068</c:v>
                </c:pt>
                <c:pt idx="7">
                  <c:v>0.365119278529865</c:v>
                </c:pt>
                <c:pt idx="8">
                  <c:v>0.364324270559566</c:v>
                </c:pt>
                <c:pt idx="9">
                  <c:v>0.355635479339396</c:v>
                </c:pt>
                <c:pt idx="10">
                  <c:v>0.348324343954144</c:v>
                </c:pt>
                <c:pt idx="11">
                  <c:v>0.357830132107358</c:v>
                </c:pt>
                <c:pt idx="12">
                  <c:v>0.379166529429202</c:v>
                </c:pt>
                <c:pt idx="13">
                  <c:v>0.389209717144212</c:v>
                </c:pt>
                <c:pt idx="14">
                  <c:v>0.405460901756976</c:v>
                </c:pt>
                <c:pt idx="15">
                  <c:v>0.41668206579988</c:v>
                </c:pt>
                <c:pt idx="16">
                  <c:v>0.418726414928139</c:v>
                </c:pt>
                <c:pt idx="17">
                  <c:v>0.421736452745067</c:v>
                </c:pt>
                <c:pt idx="18">
                  <c:v>0.454028591660595</c:v>
                </c:pt>
                <c:pt idx="19">
                  <c:v>0.465288909374849</c:v>
                </c:pt>
                <c:pt idx="20">
                  <c:v>0.478496286088798</c:v>
                </c:pt>
                <c:pt idx="21">
                  <c:v>0.474924784449395</c:v>
                </c:pt>
                <c:pt idx="22">
                  <c:v>0.502299813724131</c:v>
                </c:pt>
                <c:pt idx="23">
                  <c:v>0.584847374503227</c:v>
                </c:pt>
                <c:pt idx="24">
                  <c:v>0.599017183636421</c:v>
                </c:pt>
                <c:pt idx="25">
                  <c:v>0.626326963906582</c:v>
                </c:pt>
                <c:pt idx="26">
                  <c:v>0.614015989683535</c:v>
                </c:pt>
                <c:pt idx="27">
                  <c:v>0.631181618741866</c:v>
                </c:pt>
                <c:pt idx="28">
                  <c:v>0.630876755489271</c:v>
                </c:pt>
                <c:pt idx="29">
                  <c:v>0.597063536316109</c:v>
                </c:pt>
                <c:pt idx="30">
                  <c:v>0.622762653377365</c:v>
                </c:pt>
                <c:pt idx="31">
                  <c:v>0.618300169934523</c:v>
                </c:pt>
              </c:numCache>
            </c:numRef>
          </c:val>
          <c:smooth val="0"/>
        </c:ser>
        <c:ser>
          <c:idx val="0"/>
          <c:order val="1"/>
          <c:tx>
            <c:strRef>
              <c:f>'Data-Fig5'!$C$1</c:f>
              <c:strCache>
                <c:ptCount val="1"/>
                <c:pt idx="0">
                  <c:v>Europe</c:v>
                </c:pt>
              </c:strCache>
            </c:strRef>
          </c:tx>
          <c:spPr>
            <a:ln w="25400">
              <a:solidFill>
                <a:srgbClr val="000000"/>
              </a:solidFill>
              <a:prstDash val="solid"/>
            </a:ln>
          </c:spPr>
          <c:marker>
            <c:symbol val="diamond"/>
            <c:size val="10"/>
            <c:spPr>
              <a:solidFill>
                <a:srgbClr val="FFFFFF"/>
              </a:solidFill>
              <a:ln>
                <a:solidFill>
                  <a:srgbClr val="000000"/>
                </a:solidFill>
                <a:prstDash val="solid"/>
              </a:ln>
            </c:spPr>
          </c:marker>
          <c:cat>
            <c:numRef>
              <c:f>'Data-Fig5'!$A$8:$A$41</c:f>
              <c:numCache>
                <c:formatCode>General</c:formatCode>
                <c:ptCount val="34"/>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pt idx="31">
                  <c:v>2013.0</c:v>
                </c:pt>
                <c:pt idx="32">
                  <c:v>2014.0</c:v>
                </c:pt>
                <c:pt idx="33">
                  <c:v>2015.0</c:v>
                </c:pt>
              </c:numCache>
            </c:numRef>
          </c:cat>
          <c:val>
            <c:numRef>
              <c:f>'Data-Fig5'!$C$8:$C$41</c:f>
              <c:numCache>
                <c:formatCode>0%</c:formatCode>
                <c:ptCount val="34"/>
                <c:pt idx="0">
                  <c:v>0.392701327031449</c:v>
                </c:pt>
                <c:pt idx="1">
                  <c:v>0.355078263963002</c:v>
                </c:pt>
                <c:pt idx="2">
                  <c:v>0.307325016837386</c:v>
                </c:pt>
                <c:pt idx="3">
                  <c:v>0.303810321178545</c:v>
                </c:pt>
                <c:pt idx="4">
                  <c:v>0.305888231596254</c:v>
                </c:pt>
                <c:pt idx="5">
                  <c:v>0.31276382037329</c:v>
                </c:pt>
                <c:pt idx="6">
                  <c:v>0.316495087727981</c:v>
                </c:pt>
                <c:pt idx="7">
                  <c:v>0.319327521046212</c:v>
                </c:pt>
                <c:pt idx="8">
                  <c:v>0.332327208596819</c:v>
                </c:pt>
                <c:pt idx="9">
                  <c:v>0.335669398853347</c:v>
                </c:pt>
                <c:pt idx="10">
                  <c:v>0.348774156807237</c:v>
                </c:pt>
                <c:pt idx="11">
                  <c:v>0.342066289909324</c:v>
                </c:pt>
                <c:pt idx="12">
                  <c:v>0.326891406738908</c:v>
                </c:pt>
                <c:pt idx="13">
                  <c:v>0.322205479661613</c:v>
                </c:pt>
                <c:pt idx="14">
                  <c:v>0.304789811112901</c:v>
                </c:pt>
                <c:pt idx="15">
                  <c:v>0.289709436835219</c:v>
                </c:pt>
                <c:pt idx="16">
                  <c:v>0.290599796344776</c:v>
                </c:pt>
                <c:pt idx="17">
                  <c:v>0.280984499402682</c:v>
                </c:pt>
                <c:pt idx="18">
                  <c:v>0.257475463784923</c:v>
                </c:pt>
                <c:pt idx="19">
                  <c:v>0.263926057912588</c:v>
                </c:pt>
                <c:pt idx="20">
                  <c:v>0.250176452794676</c:v>
                </c:pt>
                <c:pt idx="21">
                  <c:v>0.251704549278806</c:v>
                </c:pt>
                <c:pt idx="22">
                  <c:v>0.246149394452717</c:v>
                </c:pt>
                <c:pt idx="23">
                  <c:v>0.146514839764368</c:v>
                </c:pt>
                <c:pt idx="24">
                  <c:v>0.144654650492079</c:v>
                </c:pt>
                <c:pt idx="25">
                  <c:v>0.147600498324297</c:v>
                </c:pt>
                <c:pt idx="26">
                  <c:v>0.15679435943921</c:v>
                </c:pt>
                <c:pt idx="27">
                  <c:v>0.127275077476764</c:v>
                </c:pt>
                <c:pt idx="28">
                  <c:v>0.125519438842898</c:v>
                </c:pt>
                <c:pt idx="29">
                  <c:v>0.130317630196542</c:v>
                </c:pt>
                <c:pt idx="30">
                  <c:v>0.105807593515392</c:v>
                </c:pt>
                <c:pt idx="31">
                  <c:v>0.116313913496307</c:v>
                </c:pt>
              </c:numCache>
            </c:numRef>
          </c:val>
          <c:smooth val="0"/>
        </c:ser>
        <c:dLbls>
          <c:showLegendKey val="0"/>
          <c:showVal val="0"/>
          <c:showCatName val="0"/>
          <c:showSerName val="0"/>
          <c:showPercent val="0"/>
          <c:showBubbleSize val="0"/>
        </c:dLbls>
        <c:marker val="1"/>
        <c:smooth val="0"/>
        <c:axId val="2101896040"/>
        <c:axId val="2101901784"/>
      </c:lineChart>
      <c:catAx>
        <c:axId val="210189604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800" b="0" i="0" u="none" strike="noStrike" baseline="0">
                <a:solidFill>
                  <a:srgbClr val="000000"/>
                </a:solidFill>
                <a:latin typeface="Arial"/>
                <a:ea typeface="Verdana"/>
                <a:cs typeface="Arial"/>
              </a:defRPr>
            </a:pPr>
            <a:endParaRPr lang="fr-FR"/>
          </a:p>
        </c:txPr>
        <c:crossAx val="2101901784"/>
        <c:crosses val="autoZero"/>
        <c:auto val="1"/>
        <c:lblAlgn val="ctr"/>
        <c:lblOffset val="100"/>
        <c:tickLblSkip val="4"/>
        <c:tickMarkSkip val="4"/>
        <c:noMultiLvlLbl val="0"/>
      </c:catAx>
      <c:valAx>
        <c:axId val="2101901784"/>
        <c:scaling>
          <c:orientation val="minMax"/>
        </c:scaling>
        <c:delete val="0"/>
        <c:axPos val="l"/>
        <c:title>
          <c:tx>
            <c:rich>
              <a:bodyPr rot="-5400000" vert="horz"/>
              <a:lstStyle/>
              <a:p>
                <a:pPr>
                  <a:defRPr sz="1600">
                    <a:latin typeface="Arial"/>
                    <a:cs typeface="Arial"/>
                  </a:defRPr>
                </a:pPr>
                <a:r>
                  <a:rPr lang="fr-FR" sz="1800">
                    <a:latin typeface="Arial"/>
                    <a:cs typeface="Arial"/>
                  </a:rPr>
                  <a:t>% of foreign wealth</a:t>
                </a:r>
                <a:r>
                  <a:rPr lang="fr-FR" sz="1800" baseline="0">
                    <a:latin typeface="Arial"/>
                    <a:cs typeface="Arial"/>
                  </a:rPr>
                  <a:t> held in Siwterland</a:t>
                </a:r>
                <a:endParaRPr lang="fr-FR" sz="1800">
                  <a:latin typeface="Arial"/>
                  <a:cs typeface="Arial"/>
                </a:endParaRPr>
              </a:p>
            </c:rich>
          </c:tx>
          <c:layout>
            <c:manualLayout>
              <c:xMode val="edge"/>
              <c:yMode val="edge"/>
              <c:x val="0.002030627206082"/>
              <c:y val="0.144041935368939"/>
            </c:manualLayout>
          </c:layout>
          <c:overlay val="0"/>
        </c:title>
        <c:numFmt formatCode="0%" sourceLinked="0"/>
        <c:majorTickMark val="in"/>
        <c:minorTickMark val="none"/>
        <c:tickLblPos val="nextTo"/>
        <c:spPr>
          <a:ln w="3175">
            <a:solidFill>
              <a:srgbClr val="000000"/>
            </a:solidFill>
            <a:prstDash val="solid"/>
          </a:ln>
        </c:spPr>
        <c:txPr>
          <a:bodyPr rot="0" vert="horz"/>
          <a:lstStyle/>
          <a:p>
            <a:pPr>
              <a:defRPr sz="1800" b="0" i="0" u="none" strike="noStrike" baseline="0">
                <a:solidFill>
                  <a:srgbClr val="000000"/>
                </a:solidFill>
                <a:latin typeface="Arial"/>
                <a:ea typeface="Verdana"/>
                <a:cs typeface="Arial"/>
              </a:defRPr>
            </a:pPr>
            <a:endParaRPr lang="fr-FR"/>
          </a:p>
        </c:txPr>
        <c:crossAx val="2101896040"/>
        <c:crosses val="autoZero"/>
        <c:crossBetween val="midCat"/>
      </c:valAx>
      <c:spPr>
        <a:noFill/>
        <a:ln w="12700">
          <a:noFill/>
          <a:prstDash val="solid"/>
        </a:ln>
      </c:spPr>
    </c:plotArea>
    <c:plotVisOnly val="1"/>
    <c:dispBlanksAs val="gap"/>
    <c:showDLblsOverMax val="0"/>
  </c:chart>
  <c:spPr>
    <a:noFill/>
    <a:ln w="9525">
      <a:noFill/>
    </a:ln>
  </c:spPr>
  <c:txPr>
    <a:bodyPr/>
    <a:lstStyle/>
    <a:p>
      <a:pPr>
        <a:defRPr sz="1000" b="0" i="0" u="none" strike="noStrike" baseline="0">
          <a:solidFill>
            <a:srgbClr val="000000"/>
          </a:solidFill>
          <a:latin typeface="Verdana"/>
          <a:ea typeface="Verdana"/>
          <a:cs typeface="Verdana"/>
        </a:defRPr>
      </a:pPr>
      <a:endParaRPr lang="fr-FR"/>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lineChart>
        <c:grouping val="standard"/>
        <c:varyColors val="0"/>
        <c:ser>
          <c:idx val="0"/>
          <c:order val="0"/>
          <c:tx>
            <c:v>Finance</c:v>
          </c:tx>
          <c:spPr>
            <a:ln w="25400">
              <a:solidFill>
                <a:schemeClr val="tx1"/>
              </a:solidFill>
            </a:ln>
            <a:effectLst/>
          </c:spPr>
          <c:marker>
            <c:symbol val="square"/>
            <c:size val="10"/>
            <c:spPr>
              <a:solidFill>
                <a:schemeClr val="tx1"/>
              </a:solidFill>
              <a:ln>
                <a:solidFill>
                  <a:schemeClr val="bg1"/>
                </a:solidFill>
              </a:ln>
              <a:effectLst/>
            </c:spPr>
          </c:marker>
          <c:cat>
            <c:numRef>
              <c:f>'Data-Fig6'!$A$2:$A$45</c:f>
              <c:numCache>
                <c:formatCode>General</c:formatCode>
                <c:ptCount val="44"/>
                <c:pt idx="0">
                  <c:v>1970.0</c:v>
                </c:pt>
                <c:pt idx="1">
                  <c:v>1971.0</c:v>
                </c:pt>
                <c:pt idx="2">
                  <c:v>1972.0</c:v>
                </c:pt>
                <c:pt idx="3">
                  <c:v>1973.0</c:v>
                </c:pt>
                <c:pt idx="4">
                  <c:v>1974.0</c:v>
                </c:pt>
                <c:pt idx="5">
                  <c:v>1975.0</c:v>
                </c:pt>
                <c:pt idx="6">
                  <c:v>1976.0</c:v>
                </c:pt>
                <c:pt idx="7">
                  <c:v>1977.0</c:v>
                </c:pt>
                <c:pt idx="8">
                  <c:v>1978.0</c:v>
                </c:pt>
                <c:pt idx="9">
                  <c:v>1979.0</c:v>
                </c:pt>
                <c:pt idx="10">
                  <c:v>1980.0</c:v>
                </c:pt>
                <c:pt idx="11">
                  <c:v>1981.0</c:v>
                </c:pt>
                <c:pt idx="12">
                  <c:v>1982.0</c:v>
                </c:pt>
                <c:pt idx="13">
                  <c:v>1983.0</c:v>
                </c:pt>
                <c:pt idx="14">
                  <c:v>1984.0</c:v>
                </c:pt>
                <c:pt idx="15">
                  <c:v>1985.0</c:v>
                </c:pt>
                <c:pt idx="16">
                  <c:v>1986.0</c:v>
                </c:pt>
                <c:pt idx="17">
                  <c:v>1987.0</c:v>
                </c:pt>
                <c:pt idx="18">
                  <c:v>1988.0</c:v>
                </c:pt>
                <c:pt idx="19">
                  <c:v>1989.0</c:v>
                </c:pt>
                <c:pt idx="20">
                  <c:v>1990.0</c:v>
                </c:pt>
                <c:pt idx="21">
                  <c:v>1991.0</c:v>
                </c:pt>
                <c:pt idx="22">
                  <c:v>1992.0</c:v>
                </c:pt>
                <c:pt idx="23">
                  <c:v>1993.0</c:v>
                </c:pt>
                <c:pt idx="24">
                  <c:v>1994.0</c:v>
                </c:pt>
                <c:pt idx="25">
                  <c:v>1995.0</c:v>
                </c:pt>
                <c:pt idx="26">
                  <c:v>1996.0</c:v>
                </c:pt>
                <c:pt idx="27">
                  <c:v>1997.0</c:v>
                </c:pt>
                <c:pt idx="28">
                  <c:v>1998.0</c:v>
                </c:pt>
                <c:pt idx="29">
                  <c:v>1999.0</c:v>
                </c:pt>
                <c:pt idx="30">
                  <c:v>2000.0</c:v>
                </c:pt>
                <c:pt idx="31">
                  <c:v>2001.0</c:v>
                </c:pt>
                <c:pt idx="32">
                  <c:v>2002.0</c:v>
                </c:pt>
                <c:pt idx="33">
                  <c:v>2003.0</c:v>
                </c:pt>
                <c:pt idx="34">
                  <c:v>2004.0</c:v>
                </c:pt>
                <c:pt idx="35">
                  <c:v>2005.0</c:v>
                </c:pt>
                <c:pt idx="36">
                  <c:v>2006.0</c:v>
                </c:pt>
                <c:pt idx="37">
                  <c:v>2007.0</c:v>
                </c:pt>
                <c:pt idx="38">
                  <c:v>2008.0</c:v>
                </c:pt>
                <c:pt idx="39">
                  <c:v>2009.0</c:v>
                </c:pt>
                <c:pt idx="40">
                  <c:v>2010.0</c:v>
                </c:pt>
                <c:pt idx="41">
                  <c:v>2011.0</c:v>
                </c:pt>
                <c:pt idx="42">
                  <c:v>2012.0</c:v>
                </c:pt>
                <c:pt idx="43">
                  <c:v>2013.0</c:v>
                </c:pt>
              </c:numCache>
            </c:numRef>
          </c:cat>
          <c:val>
            <c:numRef>
              <c:f>'Data-Fig6'!$B$2:$B$45</c:f>
              <c:numCache>
                <c:formatCode>0%</c:formatCode>
                <c:ptCount val="44"/>
                <c:pt idx="0">
                  <c:v>0.0180888106942649</c:v>
                </c:pt>
                <c:pt idx="1">
                  <c:v>0.0414279581454246</c:v>
                </c:pt>
                <c:pt idx="2">
                  <c:v>0.0733907824185143</c:v>
                </c:pt>
                <c:pt idx="3">
                  <c:v>0.0632359957448832</c:v>
                </c:pt>
                <c:pt idx="4">
                  <c:v>0.0603472976045397</c:v>
                </c:pt>
                <c:pt idx="5">
                  <c:v>0.158581485176697</c:v>
                </c:pt>
                <c:pt idx="6">
                  <c:v>0.174546797434155</c:v>
                </c:pt>
                <c:pt idx="7">
                  <c:v>0.195245523313946</c:v>
                </c:pt>
                <c:pt idx="8">
                  <c:v>0.18482959501195</c:v>
                </c:pt>
                <c:pt idx="9">
                  <c:v>0.140426511772885</c:v>
                </c:pt>
                <c:pt idx="10">
                  <c:v>0.11177974899384</c:v>
                </c:pt>
                <c:pt idx="11">
                  <c:v>0.138038825442769</c:v>
                </c:pt>
                <c:pt idx="12">
                  <c:v>0.247998762093083</c:v>
                </c:pt>
                <c:pt idx="13">
                  <c:v>0.29805198988466</c:v>
                </c:pt>
                <c:pt idx="14">
                  <c:v>0.26489531623047</c:v>
                </c:pt>
                <c:pt idx="15">
                  <c:v>0.261459091686465</c:v>
                </c:pt>
                <c:pt idx="16">
                  <c:v>0.252237377417299</c:v>
                </c:pt>
                <c:pt idx="17">
                  <c:v>0.24499974695108</c:v>
                </c:pt>
                <c:pt idx="18">
                  <c:v>0.23583320379287</c:v>
                </c:pt>
                <c:pt idx="19">
                  <c:v>0.208770194684009</c:v>
                </c:pt>
                <c:pt idx="20">
                  <c:v>0.214706653413107</c:v>
                </c:pt>
                <c:pt idx="21">
                  <c:v>0.240698494819418</c:v>
                </c:pt>
                <c:pt idx="22">
                  <c:v>0.246666136517731</c:v>
                </c:pt>
                <c:pt idx="23">
                  <c:v>0.239630264057135</c:v>
                </c:pt>
                <c:pt idx="24">
                  <c:v>0.2976783312316</c:v>
                </c:pt>
                <c:pt idx="25">
                  <c:v>0.309502793910915</c:v>
                </c:pt>
                <c:pt idx="26">
                  <c:v>0.319737531736873</c:v>
                </c:pt>
                <c:pt idx="27">
                  <c:v>0.292176472278615</c:v>
                </c:pt>
                <c:pt idx="28">
                  <c:v>0.297873459745503</c:v>
                </c:pt>
                <c:pt idx="29">
                  <c:v>0.333382946657771</c:v>
                </c:pt>
                <c:pt idx="30">
                  <c:v>0.353426195486065</c:v>
                </c:pt>
                <c:pt idx="31">
                  <c:v>0.327180713785558</c:v>
                </c:pt>
                <c:pt idx="32">
                  <c:v>0.331969063837213</c:v>
                </c:pt>
                <c:pt idx="33">
                  <c:v>0.3438202703474</c:v>
                </c:pt>
                <c:pt idx="34">
                  <c:v>0.339502270998232</c:v>
                </c:pt>
                <c:pt idx="35">
                  <c:v>0.367191022582225</c:v>
                </c:pt>
                <c:pt idx="36">
                  <c:v>0.40077527399993</c:v>
                </c:pt>
                <c:pt idx="37">
                  <c:v>0.396380101034109</c:v>
                </c:pt>
                <c:pt idx="38">
                  <c:v>0.399139577152042</c:v>
                </c:pt>
                <c:pt idx="39">
                  <c:v>0.413502055609025</c:v>
                </c:pt>
                <c:pt idx="40">
                  <c:v>0.4183283125337</c:v>
                </c:pt>
                <c:pt idx="41">
                  <c:v>0.408054168449113</c:v>
                </c:pt>
                <c:pt idx="42">
                  <c:v>0.408054168449113</c:v>
                </c:pt>
                <c:pt idx="43">
                  <c:v>0.408054168449113</c:v>
                </c:pt>
              </c:numCache>
            </c:numRef>
          </c:val>
          <c:smooth val="0"/>
        </c:ser>
        <c:ser>
          <c:idx val="1"/>
          <c:order val="1"/>
          <c:tx>
            <c:v>Industrie</c:v>
          </c:tx>
          <c:spPr>
            <a:ln w="25400">
              <a:solidFill>
                <a:schemeClr val="tx1"/>
              </a:solidFill>
            </a:ln>
            <a:effectLst/>
          </c:spPr>
          <c:marker>
            <c:symbol val="diamond"/>
            <c:size val="10"/>
            <c:spPr>
              <a:solidFill>
                <a:schemeClr val="bg1"/>
              </a:solidFill>
              <a:ln>
                <a:solidFill>
                  <a:schemeClr val="tx1"/>
                </a:solidFill>
              </a:ln>
              <a:effectLst/>
            </c:spPr>
          </c:marker>
          <c:cat>
            <c:numRef>
              <c:f>'Data-Fig6'!$A$2:$A$45</c:f>
              <c:numCache>
                <c:formatCode>General</c:formatCode>
                <c:ptCount val="44"/>
                <c:pt idx="0">
                  <c:v>1970.0</c:v>
                </c:pt>
                <c:pt idx="1">
                  <c:v>1971.0</c:v>
                </c:pt>
                <c:pt idx="2">
                  <c:v>1972.0</c:v>
                </c:pt>
                <c:pt idx="3">
                  <c:v>1973.0</c:v>
                </c:pt>
                <c:pt idx="4">
                  <c:v>1974.0</c:v>
                </c:pt>
                <c:pt idx="5">
                  <c:v>1975.0</c:v>
                </c:pt>
                <c:pt idx="6">
                  <c:v>1976.0</c:v>
                </c:pt>
                <c:pt idx="7">
                  <c:v>1977.0</c:v>
                </c:pt>
                <c:pt idx="8">
                  <c:v>1978.0</c:v>
                </c:pt>
                <c:pt idx="9">
                  <c:v>1979.0</c:v>
                </c:pt>
                <c:pt idx="10">
                  <c:v>1980.0</c:v>
                </c:pt>
                <c:pt idx="11">
                  <c:v>1981.0</c:v>
                </c:pt>
                <c:pt idx="12">
                  <c:v>1982.0</c:v>
                </c:pt>
                <c:pt idx="13">
                  <c:v>1983.0</c:v>
                </c:pt>
                <c:pt idx="14">
                  <c:v>1984.0</c:v>
                </c:pt>
                <c:pt idx="15">
                  <c:v>1985.0</c:v>
                </c:pt>
                <c:pt idx="16">
                  <c:v>1986.0</c:v>
                </c:pt>
                <c:pt idx="17">
                  <c:v>1987.0</c:v>
                </c:pt>
                <c:pt idx="18">
                  <c:v>1988.0</c:v>
                </c:pt>
                <c:pt idx="19">
                  <c:v>1989.0</c:v>
                </c:pt>
                <c:pt idx="20">
                  <c:v>1990.0</c:v>
                </c:pt>
                <c:pt idx="21">
                  <c:v>1991.0</c:v>
                </c:pt>
                <c:pt idx="22">
                  <c:v>1992.0</c:v>
                </c:pt>
                <c:pt idx="23">
                  <c:v>1993.0</c:v>
                </c:pt>
                <c:pt idx="24">
                  <c:v>1994.0</c:v>
                </c:pt>
                <c:pt idx="25">
                  <c:v>1995.0</c:v>
                </c:pt>
                <c:pt idx="26">
                  <c:v>1996.0</c:v>
                </c:pt>
                <c:pt idx="27">
                  <c:v>1997.0</c:v>
                </c:pt>
                <c:pt idx="28">
                  <c:v>1998.0</c:v>
                </c:pt>
                <c:pt idx="29">
                  <c:v>1999.0</c:v>
                </c:pt>
                <c:pt idx="30">
                  <c:v>2000.0</c:v>
                </c:pt>
                <c:pt idx="31">
                  <c:v>2001.0</c:v>
                </c:pt>
                <c:pt idx="32">
                  <c:v>2002.0</c:v>
                </c:pt>
                <c:pt idx="33">
                  <c:v>2003.0</c:v>
                </c:pt>
                <c:pt idx="34">
                  <c:v>2004.0</c:v>
                </c:pt>
                <c:pt idx="35">
                  <c:v>2005.0</c:v>
                </c:pt>
                <c:pt idx="36">
                  <c:v>2006.0</c:v>
                </c:pt>
                <c:pt idx="37">
                  <c:v>2007.0</c:v>
                </c:pt>
                <c:pt idx="38">
                  <c:v>2008.0</c:v>
                </c:pt>
                <c:pt idx="39">
                  <c:v>2009.0</c:v>
                </c:pt>
                <c:pt idx="40">
                  <c:v>2010.0</c:v>
                </c:pt>
                <c:pt idx="41">
                  <c:v>2011.0</c:v>
                </c:pt>
                <c:pt idx="42">
                  <c:v>2012.0</c:v>
                </c:pt>
                <c:pt idx="43">
                  <c:v>2013.0</c:v>
                </c:pt>
              </c:numCache>
            </c:numRef>
          </c:cat>
          <c:val>
            <c:numRef>
              <c:f>'Data-Fig6'!$C$2:$C$45</c:f>
              <c:numCache>
                <c:formatCode>0%</c:formatCode>
                <c:ptCount val="44"/>
                <c:pt idx="0">
                  <c:v>0.450128176595486</c:v>
                </c:pt>
                <c:pt idx="1">
                  <c:v>0.390530997197539</c:v>
                </c:pt>
                <c:pt idx="2">
                  <c:v>0.362508885397733</c:v>
                </c:pt>
                <c:pt idx="3">
                  <c:v>0.392114042011473</c:v>
                </c:pt>
                <c:pt idx="4">
                  <c:v>0.412945219918096</c:v>
                </c:pt>
                <c:pt idx="5">
                  <c:v>0.278334338931757</c:v>
                </c:pt>
                <c:pt idx="6">
                  <c:v>0.29064718741234</c:v>
                </c:pt>
                <c:pt idx="7">
                  <c:v>0.259206746277734</c:v>
                </c:pt>
                <c:pt idx="8">
                  <c:v>0.268563038519489</c:v>
                </c:pt>
                <c:pt idx="9">
                  <c:v>0.28289279754718</c:v>
                </c:pt>
                <c:pt idx="10">
                  <c:v>0.279250495249455</c:v>
                </c:pt>
                <c:pt idx="11">
                  <c:v>0.264206992764144</c:v>
                </c:pt>
                <c:pt idx="12">
                  <c:v>0.239896428727148</c:v>
                </c:pt>
                <c:pt idx="13">
                  <c:v>0.218481511676271</c:v>
                </c:pt>
                <c:pt idx="14">
                  <c:v>0.237873228866501</c:v>
                </c:pt>
                <c:pt idx="15">
                  <c:v>0.242142905780951</c:v>
                </c:pt>
                <c:pt idx="16">
                  <c:v>0.245362835241594</c:v>
                </c:pt>
                <c:pt idx="17">
                  <c:v>0.221810872121224</c:v>
                </c:pt>
                <c:pt idx="18">
                  <c:v>0.226556649103152</c:v>
                </c:pt>
                <c:pt idx="19">
                  <c:v>0.243443128922378</c:v>
                </c:pt>
                <c:pt idx="20">
                  <c:v>0.222278289011523</c:v>
                </c:pt>
                <c:pt idx="21">
                  <c:v>0.19186689125642</c:v>
                </c:pt>
                <c:pt idx="22">
                  <c:v>0.181027108647606</c:v>
                </c:pt>
                <c:pt idx="23">
                  <c:v>0.173927055498812</c:v>
                </c:pt>
                <c:pt idx="24">
                  <c:v>0.157006871805972</c:v>
                </c:pt>
                <c:pt idx="25">
                  <c:v>0.152732378298927</c:v>
                </c:pt>
                <c:pt idx="26">
                  <c:v>0.140694437661767</c:v>
                </c:pt>
                <c:pt idx="27">
                  <c:v>0.147037506181035</c:v>
                </c:pt>
                <c:pt idx="28">
                  <c:v>0.146238182353167</c:v>
                </c:pt>
                <c:pt idx="29">
                  <c:v>0.128706373335427</c:v>
                </c:pt>
                <c:pt idx="30">
                  <c:v>0.126130028435439</c:v>
                </c:pt>
                <c:pt idx="31">
                  <c:v>0.124293395156119</c:v>
                </c:pt>
                <c:pt idx="32">
                  <c:v>0.117160735672308</c:v>
                </c:pt>
                <c:pt idx="33">
                  <c:v>0.115461752326192</c:v>
                </c:pt>
                <c:pt idx="34">
                  <c:v>0.113924050632911</c:v>
                </c:pt>
                <c:pt idx="35">
                  <c:v>0.105524631278788</c:v>
                </c:pt>
                <c:pt idx="36">
                  <c:v>0.0978694027653267</c:v>
                </c:pt>
                <c:pt idx="37">
                  <c:v>0.106119720413759</c:v>
                </c:pt>
                <c:pt idx="38">
                  <c:v>0.0883671004212361</c:v>
                </c:pt>
                <c:pt idx="39">
                  <c:v>0.0664645329231497</c:v>
                </c:pt>
                <c:pt idx="40">
                  <c:v>0.0728449832062405</c:v>
                </c:pt>
                <c:pt idx="41">
                  <c:v>0.0777483905094892</c:v>
                </c:pt>
                <c:pt idx="42">
                  <c:v>0.0777483905094892</c:v>
                </c:pt>
                <c:pt idx="43">
                  <c:v>0.0777483905094892</c:v>
                </c:pt>
              </c:numCache>
            </c:numRef>
          </c:val>
          <c:smooth val="0"/>
        </c:ser>
        <c:dLbls>
          <c:showLegendKey val="0"/>
          <c:showVal val="0"/>
          <c:showCatName val="0"/>
          <c:showSerName val="0"/>
          <c:showPercent val="0"/>
          <c:showBubbleSize val="0"/>
        </c:dLbls>
        <c:marker val="1"/>
        <c:smooth val="0"/>
        <c:axId val="2102623096"/>
        <c:axId val="2102628904"/>
      </c:lineChart>
      <c:catAx>
        <c:axId val="2102623096"/>
        <c:scaling>
          <c:orientation val="minMax"/>
        </c:scaling>
        <c:delete val="0"/>
        <c:axPos val="b"/>
        <c:numFmt formatCode="General" sourceLinked="1"/>
        <c:majorTickMark val="out"/>
        <c:minorTickMark val="none"/>
        <c:tickLblPos val="nextTo"/>
        <c:txPr>
          <a:bodyPr/>
          <a:lstStyle/>
          <a:p>
            <a:pPr>
              <a:defRPr sz="1800">
                <a:latin typeface="Arial"/>
                <a:cs typeface="Arial"/>
              </a:defRPr>
            </a:pPr>
            <a:endParaRPr lang="fr-FR"/>
          </a:p>
        </c:txPr>
        <c:crossAx val="2102628904"/>
        <c:crosses val="autoZero"/>
        <c:auto val="1"/>
        <c:lblAlgn val="ctr"/>
        <c:lblOffset val="100"/>
        <c:tickLblSkip val="5"/>
        <c:tickMarkSkip val="5"/>
        <c:noMultiLvlLbl val="0"/>
      </c:catAx>
      <c:valAx>
        <c:axId val="2102628904"/>
        <c:scaling>
          <c:orientation val="minMax"/>
        </c:scaling>
        <c:delete val="0"/>
        <c:axPos val="l"/>
        <c:numFmt formatCode="0%" sourceLinked="0"/>
        <c:majorTickMark val="out"/>
        <c:minorTickMark val="none"/>
        <c:tickLblPos val="nextTo"/>
        <c:txPr>
          <a:bodyPr/>
          <a:lstStyle/>
          <a:p>
            <a:pPr>
              <a:defRPr sz="1800">
                <a:latin typeface="Arial"/>
                <a:cs typeface="Arial"/>
              </a:defRPr>
            </a:pPr>
            <a:endParaRPr lang="fr-FR"/>
          </a:p>
        </c:txPr>
        <c:crossAx val="2102623096"/>
        <c:crossesAt val="1.0"/>
        <c:crossBetween val="between"/>
        <c:majorUnit val="0.1"/>
      </c:valAx>
      <c:spPr>
        <a:noFill/>
        <a:ln w="25400">
          <a:noFill/>
        </a:ln>
      </c:spPr>
    </c:plotArea>
    <c:plotVisOnly val="1"/>
    <c:dispBlanksAs val="gap"/>
    <c:showDLblsOverMax val="0"/>
  </c:chart>
  <c:spPr>
    <a:ln>
      <a:noFill/>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a:pPr>
            <a:r>
              <a:rPr lang="fr-FR"/>
              <a:t>The share of tax havens in U.S. corporate profits made abroad</a:t>
            </a:r>
          </a:p>
        </c:rich>
      </c:tx>
      <c:layout>
        <c:manualLayout>
          <c:xMode val="edge"/>
          <c:yMode val="edge"/>
          <c:x val="0.186654575074667"/>
          <c:y val="0.00680890795030184"/>
        </c:manualLayout>
      </c:layout>
      <c:overlay val="0"/>
    </c:title>
    <c:autoTitleDeleted val="0"/>
    <c:plotArea>
      <c:layout>
        <c:manualLayout>
          <c:layoutTarget val="inner"/>
          <c:xMode val="edge"/>
          <c:yMode val="edge"/>
          <c:x val="0.110164648384469"/>
          <c:y val="0.0815345423451028"/>
          <c:w val="0.873569372793918"/>
          <c:h val="0.743434394510712"/>
        </c:manualLayout>
      </c:layout>
      <c:areaChart>
        <c:grouping val="stacked"/>
        <c:varyColors val="0"/>
        <c:ser>
          <c:idx val="1"/>
          <c:order val="0"/>
          <c:tx>
            <c:strRef>
              <c:f>'DataFig8-9'!$CI$3</c:f>
              <c:strCache>
                <c:ptCount val="1"/>
                <c:pt idx="0">
                  <c:v>Ireland</c:v>
                </c:pt>
              </c:strCache>
            </c:strRef>
          </c:tx>
          <c:spPr>
            <a:solidFill>
              <a:schemeClr val="tx1">
                <a:lumMod val="65000"/>
                <a:lumOff val="35000"/>
              </a:schemeClr>
            </a:solidFill>
            <a:ln w="12700">
              <a:solidFill>
                <a:schemeClr val="tx1"/>
              </a:solidFill>
            </a:ln>
          </c:spPr>
          <c:cat>
            <c:numRef>
              <c:f>'DataFig8-9'!$B$58:$B$89</c:f>
              <c:numCache>
                <c:formatCode>General</c:formatCode>
                <c:ptCount val="32"/>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pt idx="31">
                  <c:v>2013.0</c:v>
                </c:pt>
              </c:numCache>
            </c:numRef>
          </c:cat>
          <c:val>
            <c:numRef>
              <c:f>'DataFig8-9'!$CI$58:$CI$89</c:f>
              <c:numCache>
                <c:formatCode>0%</c:formatCode>
                <c:ptCount val="32"/>
                <c:pt idx="0">
                  <c:v>0.0169566618334139</c:v>
                </c:pt>
                <c:pt idx="1">
                  <c:v>0.0188921496698459</c:v>
                </c:pt>
                <c:pt idx="2">
                  <c:v>0.0171404410329799</c:v>
                </c:pt>
                <c:pt idx="3">
                  <c:v>0.0246021266245048</c:v>
                </c:pt>
                <c:pt idx="4">
                  <c:v>0.0249355670103093</c:v>
                </c:pt>
                <c:pt idx="5">
                  <c:v>0.0261317078045368</c:v>
                </c:pt>
                <c:pt idx="6">
                  <c:v>0.022513782968669</c:v>
                </c:pt>
                <c:pt idx="7">
                  <c:v>0.0238461681099223</c:v>
                </c:pt>
                <c:pt idx="8">
                  <c:v>0.0247051927453279</c:v>
                </c:pt>
                <c:pt idx="9">
                  <c:v>0.0298730969339758</c:v>
                </c:pt>
                <c:pt idx="10">
                  <c:v>0.0359339464056165</c:v>
                </c:pt>
                <c:pt idx="11">
                  <c:v>0.0295549081355989</c:v>
                </c:pt>
                <c:pt idx="12">
                  <c:v>0.022366532825025</c:v>
                </c:pt>
                <c:pt idx="13">
                  <c:v>0.0246376479747212</c:v>
                </c:pt>
                <c:pt idx="14">
                  <c:v>0.0211765711477231</c:v>
                </c:pt>
                <c:pt idx="15">
                  <c:v>0.0224058629310838</c:v>
                </c:pt>
                <c:pt idx="16">
                  <c:v>0.0503440822268296</c:v>
                </c:pt>
                <c:pt idx="17">
                  <c:v>0.0364413894427537</c:v>
                </c:pt>
                <c:pt idx="18">
                  <c:v>0.0431813421895102</c:v>
                </c:pt>
                <c:pt idx="19">
                  <c:v>0.0469058157394868</c:v>
                </c:pt>
                <c:pt idx="20">
                  <c:v>0.0508644149191612</c:v>
                </c:pt>
                <c:pt idx="21">
                  <c:v>0.0552895528531564</c:v>
                </c:pt>
                <c:pt idx="22">
                  <c:v>0.0623539982030548</c:v>
                </c:pt>
                <c:pt idx="23">
                  <c:v>0.0628298826307485</c:v>
                </c:pt>
                <c:pt idx="24">
                  <c:v>0.0587444182115917</c:v>
                </c:pt>
                <c:pt idx="25">
                  <c:v>0.0627974771369101</c:v>
                </c:pt>
                <c:pt idx="26">
                  <c:v>0.077176972368267</c:v>
                </c:pt>
                <c:pt idx="27">
                  <c:v>0.0730445625354739</c:v>
                </c:pt>
                <c:pt idx="28">
                  <c:v>0.0646304522215969</c:v>
                </c:pt>
                <c:pt idx="29">
                  <c:v>0.0705143507312013</c:v>
                </c:pt>
                <c:pt idx="30">
                  <c:v>0.0886511440537681</c:v>
                </c:pt>
                <c:pt idx="31">
                  <c:v>0.0767058459141913</c:v>
                </c:pt>
              </c:numCache>
            </c:numRef>
          </c:val>
        </c:ser>
        <c:ser>
          <c:idx val="5"/>
          <c:order val="1"/>
          <c:tx>
            <c:strRef>
              <c:f>'DataFig8-9'!$CJ$3</c:f>
              <c:strCache>
                <c:ptCount val="1"/>
                <c:pt idx="0">
                  <c:v>Netherlands</c:v>
                </c:pt>
              </c:strCache>
            </c:strRef>
          </c:tx>
          <c:spPr>
            <a:solidFill>
              <a:schemeClr val="bg1">
                <a:lumMod val="65000"/>
              </a:schemeClr>
            </a:solidFill>
            <a:ln w="12700">
              <a:solidFill>
                <a:schemeClr val="tx1"/>
              </a:solidFill>
            </a:ln>
          </c:spPr>
          <c:cat>
            <c:numRef>
              <c:f>'DataFig8-9'!$B$58:$B$89</c:f>
              <c:numCache>
                <c:formatCode>General</c:formatCode>
                <c:ptCount val="32"/>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pt idx="31">
                  <c:v>2013.0</c:v>
                </c:pt>
              </c:numCache>
            </c:numRef>
          </c:cat>
          <c:val>
            <c:numRef>
              <c:f>'DataFig8-9'!$CJ$58:$CJ$89</c:f>
              <c:numCache>
                <c:formatCode>0%</c:formatCode>
                <c:ptCount val="32"/>
                <c:pt idx="0">
                  <c:v>0.0432173352666344</c:v>
                </c:pt>
                <c:pt idx="1">
                  <c:v>0.052494497432135</c:v>
                </c:pt>
                <c:pt idx="2">
                  <c:v>0.0394522864762896</c:v>
                </c:pt>
                <c:pt idx="3">
                  <c:v>0.0526096323580513</c:v>
                </c:pt>
                <c:pt idx="4">
                  <c:v>0.0751288659793814</c:v>
                </c:pt>
                <c:pt idx="5">
                  <c:v>0.0743479564304986</c:v>
                </c:pt>
                <c:pt idx="6">
                  <c:v>0.0571873139059108</c:v>
                </c:pt>
                <c:pt idx="7">
                  <c:v>0.0580207309610784</c:v>
                </c:pt>
                <c:pt idx="8">
                  <c:v>0.0709778635956141</c:v>
                </c:pt>
                <c:pt idx="9">
                  <c:v>0.069287922130282</c:v>
                </c:pt>
                <c:pt idx="10">
                  <c:v>0.0605557203599327</c:v>
                </c:pt>
                <c:pt idx="11">
                  <c:v>0.0402317239521059</c:v>
                </c:pt>
                <c:pt idx="12">
                  <c:v>0.0826967399655007</c:v>
                </c:pt>
                <c:pt idx="13">
                  <c:v>0.0853616651020081</c:v>
                </c:pt>
                <c:pt idx="14">
                  <c:v>0.102912579866231</c:v>
                </c:pt>
                <c:pt idx="15">
                  <c:v>0.110578849934157</c:v>
                </c:pt>
                <c:pt idx="16">
                  <c:v>0.111142970576558</c:v>
                </c:pt>
                <c:pt idx="17">
                  <c:v>0.119337461083709</c:v>
                </c:pt>
                <c:pt idx="18">
                  <c:v>0.100245340035305</c:v>
                </c:pt>
                <c:pt idx="19">
                  <c:v>0.0992647392960038</c:v>
                </c:pt>
                <c:pt idx="20">
                  <c:v>0.0940931647190651</c:v>
                </c:pt>
                <c:pt idx="21">
                  <c:v>0.100452170965418</c:v>
                </c:pt>
                <c:pt idx="22">
                  <c:v>0.132062323318651</c:v>
                </c:pt>
                <c:pt idx="23">
                  <c:v>0.124644600315584</c:v>
                </c:pt>
                <c:pt idx="24">
                  <c:v>0.1172060477321</c:v>
                </c:pt>
                <c:pt idx="25">
                  <c:v>0.126357295202963</c:v>
                </c:pt>
                <c:pt idx="26">
                  <c:v>0.122945688299394</c:v>
                </c:pt>
                <c:pt idx="27">
                  <c:v>0.166078008699002</c:v>
                </c:pt>
                <c:pt idx="28">
                  <c:v>0.158312280743765</c:v>
                </c:pt>
                <c:pt idx="29">
                  <c:v>0.171555099445603</c:v>
                </c:pt>
                <c:pt idx="30">
                  <c:v>0.163425007350745</c:v>
                </c:pt>
                <c:pt idx="31">
                  <c:v>0.166969184204713</c:v>
                </c:pt>
              </c:numCache>
            </c:numRef>
          </c:val>
        </c:ser>
        <c:ser>
          <c:idx val="2"/>
          <c:order val="2"/>
          <c:tx>
            <c:strRef>
              <c:f>'DataFig8-9'!$CK$3</c:f>
              <c:strCache>
                <c:ptCount val="1"/>
                <c:pt idx="0">
                  <c:v>Luxembourg</c:v>
                </c:pt>
              </c:strCache>
            </c:strRef>
          </c:tx>
          <c:spPr>
            <a:solidFill>
              <a:schemeClr val="bg1">
                <a:lumMod val="85000"/>
              </a:schemeClr>
            </a:solidFill>
            <a:ln w="12700">
              <a:solidFill>
                <a:schemeClr val="tx1"/>
              </a:solidFill>
            </a:ln>
          </c:spPr>
          <c:cat>
            <c:numRef>
              <c:f>'DataFig8-9'!$B$58:$B$89</c:f>
              <c:numCache>
                <c:formatCode>General</c:formatCode>
                <c:ptCount val="32"/>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pt idx="31">
                  <c:v>2013.0</c:v>
                </c:pt>
              </c:numCache>
            </c:numRef>
          </c:cat>
          <c:val>
            <c:numRef>
              <c:f>'DataFig8-9'!$CK$58:$CK$89</c:f>
              <c:numCache>
                <c:formatCode>0%</c:formatCode>
                <c:ptCount val="32"/>
                <c:pt idx="0">
                  <c:v>0.0064846141453198</c:v>
                </c:pt>
                <c:pt idx="1">
                  <c:v>0.00623624358033749</c:v>
                </c:pt>
                <c:pt idx="2">
                  <c:v>0.00400052039289664</c:v>
                </c:pt>
                <c:pt idx="3">
                  <c:v>0.00257140871499062</c:v>
                </c:pt>
                <c:pt idx="4">
                  <c:v>0.00367268041237113</c:v>
                </c:pt>
                <c:pt idx="5">
                  <c:v>0.0020985310282802</c:v>
                </c:pt>
                <c:pt idx="6">
                  <c:v>0.00199781009278291</c:v>
                </c:pt>
                <c:pt idx="7">
                  <c:v>0.00337480761742291</c:v>
                </c:pt>
                <c:pt idx="8">
                  <c:v>0.00305151368871112</c:v>
                </c:pt>
                <c:pt idx="9">
                  <c:v>0.0036861404957091</c:v>
                </c:pt>
                <c:pt idx="10">
                  <c:v>0.00399485810343123</c:v>
                </c:pt>
                <c:pt idx="11">
                  <c:v>0.00678668260891531</c:v>
                </c:pt>
                <c:pt idx="12">
                  <c:v>0.0178294461275313</c:v>
                </c:pt>
                <c:pt idx="13">
                  <c:v>0.0147802990405972</c:v>
                </c:pt>
                <c:pt idx="14">
                  <c:v>0.0160694061585144</c:v>
                </c:pt>
                <c:pt idx="15">
                  <c:v>0.0148672633929423</c:v>
                </c:pt>
                <c:pt idx="16">
                  <c:v>0.0192222859411531</c:v>
                </c:pt>
                <c:pt idx="17">
                  <c:v>0.0311417777311365</c:v>
                </c:pt>
                <c:pt idx="18">
                  <c:v>0.0216243305508183</c:v>
                </c:pt>
                <c:pt idx="19">
                  <c:v>0.0461605576711594</c:v>
                </c:pt>
                <c:pt idx="20">
                  <c:v>0.0603249559788698</c:v>
                </c:pt>
                <c:pt idx="21">
                  <c:v>0.0567604704515051</c:v>
                </c:pt>
                <c:pt idx="22">
                  <c:v>0.037976902680078</c:v>
                </c:pt>
                <c:pt idx="23">
                  <c:v>0.0449173707227901</c:v>
                </c:pt>
                <c:pt idx="24">
                  <c:v>0.0570115154185601</c:v>
                </c:pt>
                <c:pt idx="25">
                  <c:v>0.056950008137347</c:v>
                </c:pt>
                <c:pt idx="26">
                  <c:v>0.0528357008708398</c:v>
                </c:pt>
                <c:pt idx="27">
                  <c:v>0.059575519278671</c:v>
                </c:pt>
                <c:pt idx="28">
                  <c:v>0.0761030160079501</c:v>
                </c:pt>
                <c:pt idx="29">
                  <c:v>0.0533291688511606</c:v>
                </c:pt>
                <c:pt idx="30">
                  <c:v>0.0643624299364016</c:v>
                </c:pt>
                <c:pt idx="31">
                  <c:v>0.0824426715980441</c:v>
                </c:pt>
              </c:numCache>
            </c:numRef>
          </c:val>
        </c:ser>
        <c:ser>
          <c:idx val="4"/>
          <c:order val="3"/>
          <c:tx>
            <c:strRef>
              <c:f>'DataFig8-9'!$CL$3</c:f>
              <c:strCache>
                <c:ptCount val="1"/>
                <c:pt idx="0">
                  <c:v>Switzerland</c:v>
                </c:pt>
              </c:strCache>
            </c:strRef>
          </c:tx>
          <c:spPr>
            <a:pattFill prst="pct10">
              <a:fgClr>
                <a:schemeClr val="tx1"/>
              </a:fgClr>
              <a:bgClr>
                <a:prstClr val="white"/>
              </a:bgClr>
            </a:pattFill>
            <a:ln w="12700">
              <a:solidFill>
                <a:schemeClr val="tx1"/>
              </a:solidFill>
            </a:ln>
          </c:spPr>
          <c:cat>
            <c:numRef>
              <c:f>'DataFig8-9'!$B$58:$B$89</c:f>
              <c:numCache>
                <c:formatCode>General</c:formatCode>
                <c:ptCount val="32"/>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pt idx="31">
                  <c:v>2013.0</c:v>
                </c:pt>
              </c:numCache>
            </c:numRef>
          </c:cat>
          <c:val>
            <c:numRef>
              <c:f>'DataFig8-9'!$CL$58:$CL$89</c:f>
              <c:numCache>
                <c:formatCode>0%</c:formatCode>
                <c:ptCount val="32"/>
                <c:pt idx="0">
                  <c:v>0.0577573707104881</c:v>
                </c:pt>
                <c:pt idx="1">
                  <c:v>0.0514306676449009</c:v>
                </c:pt>
                <c:pt idx="2">
                  <c:v>0.0533402719052885</c:v>
                </c:pt>
                <c:pt idx="3">
                  <c:v>0.0513934255333936</c:v>
                </c:pt>
                <c:pt idx="4">
                  <c:v>0.0536726804123711</c:v>
                </c:pt>
                <c:pt idx="5">
                  <c:v>0.0675776956130708</c:v>
                </c:pt>
                <c:pt idx="6">
                  <c:v>0.0521159498242311</c:v>
                </c:pt>
                <c:pt idx="7">
                  <c:v>0.070555730682935</c:v>
                </c:pt>
                <c:pt idx="8">
                  <c:v>0.0762533618371147</c:v>
                </c:pt>
                <c:pt idx="9">
                  <c:v>0.0617428533031274</c:v>
                </c:pt>
                <c:pt idx="10">
                  <c:v>0.0536141599920894</c:v>
                </c:pt>
                <c:pt idx="11">
                  <c:v>0.0723463734191071</c:v>
                </c:pt>
                <c:pt idx="12">
                  <c:v>0.0647658254453738</c:v>
                </c:pt>
                <c:pt idx="13">
                  <c:v>0.0480960776681245</c:v>
                </c:pt>
                <c:pt idx="14">
                  <c:v>0.0472252494818044</c:v>
                </c:pt>
                <c:pt idx="15">
                  <c:v>0.0483901750100196</c:v>
                </c:pt>
                <c:pt idx="16">
                  <c:v>0.0678459570338347</c:v>
                </c:pt>
                <c:pt idx="17">
                  <c:v>0.0584706335047399</c:v>
                </c:pt>
                <c:pt idx="18">
                  <c:v>0.0376013523621458</c:v>
                </c:pt>
                <c:pt idx="19">
                  <c:v>0.0603113724563524</c:v>
                </c:pt>
                <c:pt idx="20">
                  <c:v>0.087409956779254</c:v>
                </c:pt>
                <c:pt idx="21">
                  <c:v>0.0765300872260189</c:v>
                </c:pt>
                <c:pt idx="22">
                  <c:v>0.0635242039751934</c:v>
                </c:pt>
                <c:pt idx="23">
                  <c:v>0.0564262515769999</c:v>
                </c:pt>
                <c:pt idx="24">
                  <c:v>0.0467949518930401</c:v>
                </c:pt>
                <c:pt idx="25">
                  <c:v>0.0415233113577377</c:v>
                </c:pt>
                <c:pt idx="26">
                  <c:v>0.0499320531156318</c:v>
                </c:pt>
                <c:pt idx="27">
                  <c:v>0.0500089695593741</c:v>
                </c:pt>
                <c:pt idx="28">
                  <c:v>0.0451622945127573</c:v>
                </c:pt>
                <c:pt idx="29">
                  <c:v>0.0423684005041998</c:v>
                </c:pt>
                <c:pt idx="30">
                  <c:v>0.044164665952043</c:v>
                </c:pt>
                <c:pt idx="31">
                  <c:v>0.0484111566342438</c:v>
                </c:pt>
              </c:numCache>
            </c:numRef>
          </c:val>
        </c:ser>
        <c:ser>
          <c:idx val="6"/>
          <c:order val="4"/>
          <c:tx>
            <c:strRef>
              <c:f>'DataFig8-9'!$CM$3</c:f>
              <c:strCache>
                <c:ptCount val="1"/>
                <c:pt idx="0">
                  <c:v>Bermuda &amp; other Caribbean</c:v>
                </c:pt>
              </c:strCache>
            </c:strRef>
          </c:tx>
          <c:spPr>
            <a:solidFill>
              <a:schemeClr val="bg1"/>
            </a:solidFill>
            <a:ln w="12700">
              <a:solidFill>
                <a:schemeClr val="tx1"/>
              </a:solidFill>
            </a:ln>
          </c:spPr>
          <c:cat>
            <c:numRef>
              <c:f>'DataFig8-9'!$B$58:$B$89</c:f>
              <c:numCache>
                <c:formatCode>General</c:formatCode>
                <c:ptCount val="32"/>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pt idx="31">
                  <c:v>2013.0</c:v>
                </c:pt>
              </c:numCache>
            </c:numRef>
          </c:cat>
          <c:val>
            <c:numRef>
              <c:f>'DataFig8-9'!$CM$58:$CM$89</c:f>
              <c:numCache>
                <c:formatCode>0%</c:formatCode>
                <c:ptCount val="32"/>
                <c:pt idx="0">
                  <c:v>0.0847833091670694</c:v>
                </c:pt>
                <c:pt idx="1">
                  <c:v>0.0193323550990462</c:v>
                </c:pt>
                <c:pt idx="2">
                  <c:v>0.00995251414818188</c:v>
                </c:pt>
                <c:pt idx="3">
                  <c:v>0.0120578219473209</c:v>
                </c:pt>
                <c:pt idx="4">
                  <c:v>0.0192654639175258</c:v>
                </c:pt>
                <c:pt idx="5">
                  <c:v>0.0109423403617468</c:v>
                </c:pt>
                <c:pt idx="6">
                  <c:v>0.0378239237758611</c:v>
                </c:pt>
                <c:pt idx="7">
                  <c:v>0.0511969441302453</c:v>
                </c:pt>
                <c:pt idx="8">
                  <c:v>0.0520481346114061</c:v>
                </c:pt>
                <c:pt idx="9">
                  <c:v>0.0614548735769002</c:v>
                </c:pt>
                <c:pt idx="10">
                  <c:v>0.0832196183130624</c:v>
                </c:pt>
                <c:pt idx="11">
                  <c:v>0.0647176706353884</c:v>
                </c:pt>
                <c:pt idx="12">
                  <c:v>0.0800150753040428</c:v>
                </c:pt>
                <c:pt idx="13">
                  <c:v>0.0611476198108671</c:v>
                </c:pt>
                <c:pt idx="14">
                  <c:v>0.0584118640083766</c:v>
                </c:pt>
                <c:pt idx="15">
                  <c:v>0.0675229497872015</c:v>
                </c:pt>
                <c:pt idx="16">
                  <c:v>0.0754113547134854</c:v>
                </c:pt>
                <c:pt idx="17">
                  <c:v>0.0824063385454927</c:v>
                </c:pt>
                <c:pt idx="18">
                  <c:v>0.0808350537055321</c:v>
                </c:pt>
                <c:pt idx="19">
                  <c:v>0.10670823146625</c:v>
                </c:pt>
                <c:pt idx="20">
                  <c:v>0.0837201856891308</c:v>
                </c:pt>
                <c:pt idx="21">
                  <c:v>0.0838786220589214</c:v>
                </c:pt>
                <c:pt idx="22">
                  <c:v>0.096474042907545</c:v>
                </c:pt>
                <c:pt idx="23">
                  <c:v>0.101350978567514</c:v>
                </c:pt>
                <c:pt idx="24">
                  <c:v>0.0940666986722084</c:v>
                </c:pt>
                <c:pt idx="25">
                  <c:v>0.118919474527249</c:v>
                </c:pt>
                <c:pt idx="26">
                  <c:v>0.128378894221716</c:v>
                </c:pt>
                <c:pt idx="27">
                  <c:v>0.150353341822556</c:v>
                </c:pt>
                <c:pt idx="28">
                  <c:v>0.13418182253565</c:v>
                </c:pt>
                <c:pt idx="29">
                  <c:v>0.131785782011668</c:v>
                </c:pt>
                <c:pt idx="30">
                  <c:v>0.125402554586518</c:v>
                </c:pt>
                <c:pt idx="31">
                  <c:v>0.13214968127481</c:v>
                </c:pt>
              </c:numCache>
            </c:numRef>
          </c:val>
        </c:ser>
        <c:ser>
          <c:idx val="0"/>
          <c:order val="5"/>
          <c:tx>
            <c:strRef>
              <c:f>'DataFig8-9'!$CP$3</c:f>
              <c:strCache>
                <c:ptCount val="1"/>
                <c:pt idx="0">
                  <c:v>Singapore</c:v>
                </c:pt>
              </c:strCache>
            </c:strRef>
          </c:tx>
          <c:spPr>
            <a:solidFill>
              <a:sysClr val="window" lastClr="FFFFFF">
                <a:lumMod val="95000"/>
              </a:sysClr>
            </a:solidFill>
            <a:ln>
              <a:solidFill>
                <a:sysClr val="windowText" lastClr="000000"/>
              </a:solidFill>
            </a:ln>
          </c:spPr>
          <c:cat>
            <c:numRef>
              <c:f>'DataFig8-9'!$B$58:$B$89</c:f>
              <c:numCache>
                <c:formatCode>General</c:formatCode>
                <c:ptCount val="32"/>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pt idx="31">
                  <c:v>2013.0</c:v>
                </c:pt>
              </c:numCache>
            </c:numRef>
          </c:cat>
          <c:val>
            <c:numRef>
              <c:f>'DataFig8-9'!$CP$58:$CP$89</c:f>
              <c:numCache>
                <c:formatCode>0%</c:formatCode>
                <c:ptCount val="32"/>
                <c:pt idx="0">
                  <c:v>0.0190510713710327</c:v>
                </c:pt>
                <c:pt idx="1">
                  <c:v>0.0192223037417461</c:v>
                </c:pt>
                <c:pt idx="2">
                  <c:v>0.0170428673648605</c:v>
                </c:pt>
                <c:pt idx="3">
                  <c:v>0.0139690041003544</c:v>
                </c:pt>
                <c:pt idx="4">
                  <c:v>0.0167203608247423</c:v>
                </c:pt>
                <c:pt idx="5">
                  <c:v>0.0182122514240032</c:v>
                </c:pt>
                <c:pt idx="6">
                  <c:v>0.015848012755249</c:v>
                </c:pt>
                <c:pt idx="7">
                  <c:v>0.0134806875706948</c:v>
                </c:pt>
                <c:pt idx="8">
                  <c:v>0.0194296945038273</c:v>
                </c:pt>
                <c:pt idx="9">
                  <c:v>0.0218480618964425</c:v>
                </c:pt>
                <c:pt idx="10">
                  <c:v>0.0304360723820825</c:v>
                </c:pt>
                <c:pt idx="11">
                  <c:v>0.0325356595544029</c:v>
                </c:pt>
                <c:pt idx="12">
                  <c:v>0.0309478597416905</c:v>
                </c:pt>
                <c:pt idx="13">
                  <c:v>0.0282325464245644</c:v>
                </c:pt>
                <c:pt idx="14">
                  <c:v>0.0293929098019104</c:v>
                </c:pt>
                <c:pt idx="15">
                  <c:v>0.0330648701261523</c:v>
                </c:pt>
                <c:pt idx="16">
                  <c:v>0.0195310776831797</c:v>
                </c:pt>
                <c:pt idx="17">
                  <c:v>0.0227725889390282</c:v>
                </c:pt>
                <c:pt idx="18">
                  <c:v>0.0302561110612452</c:v>
                </c:pt>
                <c:pt idx="19">
                  <c:v>0.0303011024366303</c:v>
                </c:pt>
                <c:pt idx="20">
                  <c:v>0.0355210501040499</c:v>
                </c:pt>
                <c:pt idx="21">
                  <c:v>0.0362402619807146</c:v>
                </c:pt>
                <c:pt idx="22">
                  <c:v>0.0377752941949905</c:v>
                </c:pt>
                <c:pt idx="23">
                  <c:v>0.0581476182244176</c:v>
                </c:pt>
                <c:pt idx="24">
                  <c:v>0.0511748883642318</c:v>
                </c:pt>
                <c:pt idx="25">
                  <c:v>0.0543774644026759</c:v>
                </c:pt>
                <c:pt idx="26">
                  <c:v>0.0437583024985113</c:v>
                </c:pt>
                <c:pt idx="27">
                  <c:v>0.0302847614538332</c:v>
                </c:pt>
                <c:pt idx="28">
                  <c:v>0.0386417787143353</c:v>
                </c:pt>
                <c:pt idx="29">
                  <c:v>0.047825359465459</c:v>
                </c:pt>
                <c:pt idx="30">
                  <c:v>0.0489038707750579</c:v>
                </c:pt>
                <c:pt idx="31">
                  <c:v>0.0516314311546756</c:v>
                </c:pt>
              </c:numCache>
            </c:numRef>
          </c:val>
        </c:ser>
        <c:dLbls>
          <c:showLegendKey val="0"/>
          <c:showVal val="0"/>
          <c:showCatName val="0"/>
          <c:showSerName val="0"/>
          <c:showPercent val="0"/>
          <c:showBubbleSize val="0"/>
        </c:dLbls>
        <c:axId val="2097680296"/>
        <c:axId val="2097683528"/>
      </c:areaChart>
      <c:catAx>
        <c:axId val="2097680296"/>
        <c:scaling>
          <c:orientation val="minMax"/>
        </c:scaling>
        <c:delete val="0"/>
        <c:axPos val="b"/>
        <c:numFmt formatCode="General" sourceLinked="1"/>
        <c:majorTickMark val="none"/>
        <c:minorTickMark val="none"/>
        <c:tickLblPos val="nextTo"/>
        <c:txPr>
          <a:bodyPr rot="-5400000" vert="horz"/>
          <a:lstStyle/>
          <a:p>
            <a:pPr>
              <a:defRPr sz="1600"/>
            </a:pPr>
            <a:endParaRPr lang="fr-FR"/>
          </a:p>
        </c:txPr>
        <c:crossAx val="2097683528"/>
        <c:crosses val="autoZero"/>
        <c:auto val="1"/>
        <c:lblAlgn val="ctr"/>
        <c:lblOffset val="100"/>
        <c:tickLblSkip val="2"/>
        <c:tickMarkSkip val="2"/>
        <c:noMultiLvlLbl val="0"/>
      </c:catAx>
      <c:valAx>
        <c:axId val="2097683528"/>
        <c:scaling>
          <c:orientation val="minMax"/>
          <c:max val="0.57"/>
          <c:min val="0.0"/>
        </c:scaling>
        <c:delete val="0"/>
        <c:axPos val="l"/>
        <c:title>
          <c:tx>
            <c:rich>
              <a:bodyPr rot="-5400000" vert="horz"/>
              <a:lstStyle/>
              <a:p>
                <a:pPr>
                  <a:defRPr sz="1600" b="0"/>
                </a:pPr>
                <a:r>
                  <a:rPr lang="fr-FR" sz="1400" b="0" i="0" u="none" strike="noStrike" baseline="0" smtClean="0"/>
                  <a:t>% of U.S. corporate profits made abroad</a:t>
                </a:r>
                <a:endParaRPr lang="fr-FR" sz="1400"/>
              </a:p>
            </c:rich>
          </c:tx>
          <c:layout>
            <c:manualLayout>
              <c:xMode val="edge"/>
              <c:yMode val="edge"/>
              <c:x val="0.000276079283193049"/>
              <c:y val="0.217498334361857"/>
            </c:manualLayout>
          </c:layout>
          <c:overlay val="0"/>
        </c:title>
        <c:numFmt formatCode="0%" sourceLinked="1"/>
        <c:majorTickMark val="none"/>
        <c:minorTickMark val="none"/>
        <c:tickLblPos val="nextTo"/>
        <c:txPr>
          <a:bodyPr/>
          <a:lstStyle/>
          <a:p>
            <a:pPr>
              <a:defRPr sz="1600"/>
            </a:pPr>
            <a:endParaRPr lang="fr-FR"/>
          </a:p>
        </c:txPr>
        <c:crossAx val="2097680296"/>
        <c:crosses val="autoZero"/>
        <c:crossBetween val="midCat"/>
      </c:valAx>
    </c:plotArea>
    <c:plotVisOnly val="1"/>
    <c:dispBlanksAs val="zero"/>
    <c:showDLblsOverMax val="0"/>
  </c:chart>
  <c:spPr>
    <a:ln>
      <a:noFill/>
    </a:ln>
  </c:spPr>
  <c:txPr>
    <a:bodyPr/>
    <a:lstStyle/>
    <a:p>
      <a:pPr>
        <a:defRPr>
          <a:latin typeface="Arial"/>
          <a:cs typeface="Arial"/>
        </a:defRPr>
      </a:pPr>
      <a:endParaRPr lang="fr-FR"/>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Nominal and effective corporate tax rates on</a:t>
            </a:r>
            <a:r>
              <a:rPr lang="fr-FR" sz="2000" baseline="0">
                <a:latin typeface="Arial"/>
                <a:cs typeface="Arial"/>
              </a:rPr>
              <a:t> US corporate profits</a:t>
            </a:r>
            <a:endParaRPr lang="fr-FR" sz="2000">
              <a:latin typeface="Arial"/>
              <a:cs typeface="Arial"/>
            </a:endParaRPr>
          </a:p>
        </c:rich>
      </c:tx>
      <c:layout>
        <c:manualLayout>
          <c:xMode val="edge"/>
          <c:yMode val="edge"/>
          <c:x val="0.162101330437144"/>
          <c:y val="0.00451508889443118"/>
        </c:manualLayout>
      </c:layout>
      <c:overlay val="0"/>
    </c:title>
    <c:autoTitleDeleted val="0"/>
    <c:plotArea>
      <c:layout>
        <c:manualLayout>
          <c:layoutTarget val="inner"/>
          <c:xMode val="edge"/>
          <c:yMode val="edge"/>
          <c:x val="0.0997052402932392"/>
          <c:y val="0.102642836260382"/>
          <c:w val="0.871359978278577"/>
          <c:h val="0.757918947608692"/>
        </c:manualLayout>
      </c:layout>
      <c:lineChart>
        <c:grouping val="standard"/>
        <c:varyColors val="0"/>
        <c:ser>
          <c:idx val="0"/>
          <c:order val="0"/>
          <c:tx>
            <c:strRef>
              <c:f>'DataFig8-9'!$N$3</c:f>
              <c:strCache>
                <c:ptCount val="1"/>
                <c:pt idx="0">
                  <c:v>(Foreign profits inflows, % BEA profits)</c:v>
                </c:pt>
              </c:strCache>
            </c:strRef>
          </c:tx>
          <c:spPr>
            <a:ln w="38100">
              <a:solidFill>
                <a:schemeClr val="tx1"/>
              </a:solidFill>
            </a:ln>
            <a:effectLst/>
          </c:spPr>
          <c:marker>
            <c:symbol val="circle"/>
            <c:size val="11"/>
            <c:spPr>
              <a:solidFill>
                <a:schemeClr val="bg1"/>
              </a:solidFill>
              <a:ln w="25400">
                <a:solidFill>
                  <a:schemeClr val="tx1"/>
                </a:solidFill>
              </a:ln>
              <a:effectLst/>
            </c:spPr>
          </c:marker>
          <c:cat>
            <c:strRef>
              <c:f>'DataFig8-9'!$B$96:$B$156</c:f>
              <c:strCache>
                <c:ptCount val="7"/>
                <c:pt idx="0">
                  <c:v>1950-59</c:v>
                </c:pt>
                <c:pt idx="1">
                  <c:v>1960-69</c:v>
                </c:pt>
                <c:pt idx="2">
                  <c:v>1970-70</c:v>
                </c:pt>
                <c:pt idx="3">
                  <c:v>1980-89</c:v>
                </c:pt>
                <c:pt idx="4">
                  <c:v>1990-99</c:v>
                </c:pt>
                <c:pt idx="5">
                  <c:v>2000-09</c:v>
                </c:pt>
                <c:pt idx="6">
                  <c:v>2010-13</c:v>
                </c:pt>
              </c:strCache>
            </c:strRef>
          </c:cat>
          <c:val>
            <c:numRef>
              <c:f>'DataFig8-9'!$AU$96:$AU$156</c:f>
              <c:numCache>
                <c:formatCode>0%</c:formatCode>
                <c:ptCount val="7"/>
                <c:pt idx="0">
                  <c:v>0.509</c:v>
                </c:pt>
                <c:pt idx="1">
                  <c:v>0.5076</c:v>
                </c:pt>
                <c:pt idx="2">
                  <c:v>0.4792</c:v>
                </c:pt>
                <c:pt idx="3">
                  <c:v>0.43</c:v>
                </c:pt>
                <c:pt idx="4">
                  <c:v>0.347</c:v>
                </c:pt>
                <c:pt idx="5">
                  <c:v>0.35</c:v>
                </c:pt>
                <c:pt idx="6">
                  <c:v>0.35</c:v>
                </c:pt>
              </c:numCache>
            </c:numRef>
          </c:val>
          <c:smooth val="0"/>
        </c:ser>
        <c:ser>
          <c:idx val="1"/>
          <c:order val="1"/>
          <c:spPr>
            <a:effectLst/>
          </c:spPr>
          <c:marker>
            <c:spPr>
              <a:effectLst/>
            </c:spPr>
          </c:marker>
          <c:cat>
            <c:strRef>
              <c:f>'DataFig8-9'!$B$96:$B$156</c:f>
              <c:strCache>
                <c:ptCount val="7"/>
                <c:pt idx="0">
                  <c:v>1950-59</c:v>
                </c:pt>
                <c:pt idx="1">
                  <c:v>1960-69</c:v>
                </c:pt>
                <c:pt idx="2">
                  <c:v>1970-70</c:v>
                </c:pt>
                <c:pt idx="3">
                  <c:v>1980-89</c:v>
                </c:pt>
                <c:pt idx="4">
                  <c:v>1990-99</c:v>
                </c:pt>
                <c:pt idx="5">
                  <c:v>2000-09</c:v>
                </c:pt>
                <c:pt idx="6">
                  <c:v>2010-13</c:v>
                </c:pt>
              </c:strCache>
            </c:strRef>
          </c:cat>
          <c:val>
            <c:numRef>
              <c:f>'DataFig8-9'!$AV$96:$AV$156</c:f>
              <c:numCache>
                <c:formatCode>0%</c:formatCode>
                <c:ptCount val="7"/>
                <c:pt idx="0">
                  <c:v>0.455574194064933</c:v>
                </c:pt>
                <c:pt idx="1">
                  <c:v>0.360306260245398</c:v>
                </c:pt>
                <c:pt idx="2">
                  <c:v>0.340131453771902</c:v>
                </c:pt>
                <c:pt idx="3">
                  <c:v>0.269413593096391</c:v>
                </c:pt>
                <c:pt idx="4">
                  <c:v>0.265945515775754</c:v>
                </c:pt>
                <c:pt idx="5">
                  <c:v>0.207868769541693</c:v>
                </c:pt>
                <c:pt idx="6">
                  <c:v>0.149727700863531</c:v>
                </c:pt>
              </c:numCache>
            </c:numRef>
          </c:val>
          <c:smooth val="0"/>
        </c:ser>
        <c:ser>
          <c:idx val="2"/>
          <c:order val="2"/>
          <c:spPr>
            <a:effectLst/>
          </c:spPr>
          <c:marker>
            <c:spPr>
              <a:effectLst/>
            </c:spPr>
          </c:marker>
          <c:cat>
            <c:strRef>
              <c:f>'DataFig8-9'!$B$96:$B$156</c:f>
              <c:strCache>
                <c:ptCount val="7"/>
                <c:pt idx="0">
                  <c:v>1950-59</c:v>
                </c:pt>
                <c:pt idx="1">
                  <c:v>1960-69</c:v>
                </c:pt>
                <c:pt idx="2">
                  <c:v>1970-70</c:v>
                </c:pt>
                <c:pt idx="3">
                  <c:v>1980-89</c:v>
                </c:pt>
                <c:pt idx="4">
                  <c:v>1990-99</c:v>
                </c:pt>
                <c:pt idx="5">
                  <c:v>2000-09</c:v>
                </c:pt>
                <c:pt idx="6">
                  <c:v>2010-13</c:v>
                </c:pt>
              </c:strCache>
            </c:strRef>
          </c:cat>
          <c:val>
            <c:numRef>
              <c:f>'DataFig8-9'!$AY$96:$AY$156</c:f>
              <c:numCache>
                <c:formatCode>0%</c:formatCode>
                <c:ptCount val="7"/>
                <c:pt idx="0">
                  <c:v>0.465756382531526</c:v>
                </c:pt>
                <c:pt idx="1">
                  <c:v>0.379469458082419</c:v>
                </c:pt>
                <c:pt idx="2">
                  <c:v>0.40466498573895</c:v>
                </c:pt>
                <c:pt idx="3">
                  <c:v>0.324644358032431</c:v>
                </c:pt>
                <c:pt idx="4">
                  <c:v>0.302745195268028</c:v>
                </c:pt>
                <c:pt idx="5">
                  <c:v>0.248010027853512</c:v>
                </c:pt>
                <c:pt idx="6">
                  <c:v>0.192948072862308</c:v>
                </c:pt>
              </c:numCache>
            </c:numRef>
          </c:val>
          <c:smooth val="0"/>
        </c:ser>
        <c:dLbls>
          <c:showLegendKey val="0"/>
          <c:showVal val="0"/>
          <c:showCatName val="0"/>
          <c:showSerName val="0"/>
          <c:showPercent val="0"/>
          <c:showBubbleSize val="0"/>
        </c:dLbls>
        <c:marker val="1"/>
        <c:smooth val="0"/>
        <c:axId val="2097615944"/>
        <c:axId val="2097620568"/>
      </c:lineChart>
      <c:catAx>
        <c:axId val="2097615944"/>
        <c:scaling>
          <c:orientation val="minMax"/>
        </c:scaling>
        <c:delete val="0"/>
        <c:axPos val="b"/>
        <c:numFmt formatCode="General" sourceLinked="1"/>
        <c:majorTickMark val="none"/>
        <c:minorTickMark val="none"/>
        <c:tickLblPos val="nextTo"/>
        <c:txPr>
          <a:bodyPr/>
          <a:lstStyle/>
          <a:p>
            <a:pPr>
              <a:defRPr sz="1600">
                <a:latin typeface="Arial"/>
                <a:cs typeface="Arial"/>
              </a:defRPr>
            </a:pPr>
            <a:endParaRPr lang="fr-FR"/>
          </a:p>
        </c:txPr>
        <c:crossAx val="2097620568"/>
        <c:crosses val="autoZero"/>
        <c:auto val="1"/>
        <c:lblAlgn val="ctr"/>
        <c:lblOffset val="100"/>
        <c:tickLblSkip val="1"/>
        <c:tickMarkSkip val="1"/>
        <c:noMultiLvlLbl val="0"/>
      </c:catAx>
      <c:valAx>
        <c:axId val="2097620568"/>
        <c:scaling>
          <c:orientation val="minMax"/>
          <c:max val="0.55"/>
          <c:min val="0.0"/>
        </c:scaling>
        <c:delete val="0"/>
        <c:axPos val="l"/>
        <c:title>
          <c:tx>
            <c:rich>
              <a:bodyPr rot="-5400000" vert="horz"/>
              <a:lstStyle/>
              <a:p>
                <a:pPr>
                  <a:defRPr/>
                </a:pPr>
                <a:r>
                  <a:rPr lang="fr-FR" sz="1400" b="0">
                    <a:latin typeface="Arial"/>
                    <a:cs typeface="Arial"/>
                  </a:rPr>
                  <a:t>%</a:t>
                </a:r>
                <a:r>
                  <a:rPr lang="fr-FR" sz="1400" b="0" baseline="0">
                    <a:latin typeface="Arial"/>
                    <a:cs typeface="Arial"/>
                  </a:rPr>
                  <a:t> of US corporate profits</a:t>
                </a:r>
                <a:endParaRPr lang="fr-FR" sz="1400" b="0">
                  <a:latin typeface="Arial"/>
                  <a:cs typeface="Arial"/>
                </a:endParaRPr>
              </a:p>
            </c:rich>
          </c:tx>
          <c:layout>
            <c:manualLayout>
              <c:xMode val="edge"/>
              <c:yMode val="edge"/>
              <c:x val="0.0"/>
              <c:y val="0.302117737381478"/>
            </c:manualLayout>
          </c:layout>
          <c:overlay val="0"/>
        </c:title>
        <c:numFmt formatCode="0%" sourceLinked="0"/>
        <c:majorTickMark val="none"/>
        <c:minorTickMark val="none"/>
        <c:tickLblPos val="nextTo"/>
        <c:txPr>
          <a:bodyPr/>
          <a:lstStyle/>
          <a:p>
            <a:pPr>
              <a:defRPr sz="1600">
                <a:latin typeface="Arial"/>
                <a:cs typeface="Arial"/>
              </a:defRPr>
            </a:pPr>
            <a:endParaRPr lang="fr-FR"/>
          </a:p>
        </c:txPr>
        <c:crossAx val="2097615944"/>
        <c:crosses val="autoZero"/>
        <c:crossBetween val="between"/>
        <c:majorUnit val="0.05"/>
      </c:valAx>
    </c:plotArea>
    <c:plotVisOnly val="1"/>
    <c:dispBlanksAs val="gap"/>
    <c:showDLblsOverMax val="0"/>
  </c:chart>
  <c:spPr>
    <a:ln>
      <a:noFill/>
    </a:ln>
  </c:spPr>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0900500317861671"/>
          <c:y val="0.168217930407064"/>
          <c:w val="0.868957555956091"/>
          <c:h val="0.664166229777144"/>
        </c:manualLayout>
      </c:layout>
      <c:lineChart>
        <c:grouping val="standard"/>
        <c:varyColors val="0"/>
        <c:ser>
          <c:idx val="0"/>
          <c:order val="0"/>
          <c:tx>
            <c:strRef>
              <c:f>'DataFig8-9'!$K$3</c:f>
              <c:strCache>
                <c:ptCount val="1"/>
                <c:pt idx="0">
                  <c:v>(net foreign profits % of BEA profits)</c:v>
                </c:pt>
              </c:strCache>
            </c:strRef>
          </c:tx>
          <c:marker>
            <c:symbol val="none"/>
          </c:marker>
          <c:cat>
            <c:numRef>
              <c:f>'DataFig8-9'!$B$26:$B$89</c:f>
              <c:numCache>
                <c:formatCode>General</c:formatCode>
                <c:ptCount val="64"/>
                <c:pt idx="0">
                  <c:v>1950.0</c:v>
                </c:pt>
                <c:pt idx="1">
                  <c:v>1951.0</c:v>
                </c:pt>
                <c:pt idx="2">
                  <c:v>1952.0</c:v>
                </c:pt>
                <c:pt idx="3">
                  <c:v>1953.0</c:v>
                </c:pt>
                <c:pt idx="4">
                  <c:v>1954.0</c:v>
                </c:pt>
                <c:pt idx="5">
                  <c:v>1955.0</c:v>
                </c:pt>
                <c:pt idx="6">
                  <c:v>1956.0</c:v>
                </c:pt>
                <c:pt idx="7">
                  <c:v>1957.0</c:v>
                </c:pt>
                <c:pt idx="8">
                  <c:v>1958.0</c:v>
                </c:pt>
                <c:pt idx="9">
                  <c:v>1959.0</c:v>
                </c:pt>
                <c:pt idx="10">
                  <c:v>1960.0</c:v>
                </c:pt>
                <c:pt idx="11">
                  <c:v>1961.0</c:v>
                </c:pt>
                <c:pt idx="12">
                  <c:v>1962.0</c:v>
                </c:pt>
                <c:pt idx="13">
                  <c:v>1963.0</c:v>
                </c:pt>
                <c:pt idx="14">
                  <c:v>1964.0</c:v>
                </c:pt>
                <c:pt idx="15">
                  <c:v>1965.0</c:v>
                </c:pt>
                <c:pt idx="16">
                  <c:v>1966.0</c:v>
                </c:pt>
                <c:pt idx="17">
                  <c:v>1967.0</c:v>
                </c:pt>
                <c:pt idx="18">
                  <c:v>1968.0</c:v>
                </c:pt>
                <c:pt idx="19">
                  <c:v>1969.0</c:v>
                </c:pt>
                <c:pt idx="20">
                  <c:v>1970.0</c:v>
                </c:pt>
                <c:pt idx="21">
                  <c:v>1971.0</c:v>
                </c:pt>
                <c:pt idx="22">
                  <c:v>1972.0</c:v>
                </c:pt>
                <c:pt idx="23">
                  <c:v>1973.0</c:v>
                </c:pt>
                <c:pt idx="24">
                  <c:v>1974.0</c:v>
                </c:pt>
                <c:pt idx="25">
                  <c:v>1975.0</c:v>
                </c:pt>
                <c:pt idx="26">
                  <c:v>1976.0</c:v>
                </c:pt>
                <c:pt idx="27">
                  <c:v>1977.0</c:v>
                </c:pt>
                <c:pt idx="28">
                  <c:v>1978.0</c:v>
                </c:pt>
                <c:pt idx="29">
                  <c:v>1979.0</c:v>
                </c:pt>
                <c:pt idx="30">
                  <c:v>1980.0</c:v>
                </c:pt>
                <c:pt idx="31">
                  <c:v>1981.0</c:v>
                </c:pt>
                <c:pt idx="32">
                  <c:v>1982.0</c:v>
                </c:pt>
                <c:pt idx="33">
                  <c:v>1983.0</c:v>
                </c:pt>
                <c:pt idx="34">
                  <c:v>1984.0</c:v>
                </c:pt>
                <c:pt idx="35">
                  <c:v>1985.0</c:v>
                </c:pt>
                <c:pt idx="36">
                  <c:v>1986.0</c:v>
                </c:pt>
                <c:pt idx="37">
                  <c:v>1987.0</c:v>
                </c:pt>
                <c:pt idx="38">
                  <c:v>1988.0</c:v>
                </c:pt>
                <c:pt idx="39">
                  <c:v>1989.0</c:v>
                </c:pt>
                <c:pt idx="40">
                  <c:v>1990.0</c:v>
                </c:pt>
                <c:pt idx="41">
                  <c:v>1991.0</c:v>
                </c:pt>
                <c:pt idx="42">
                  <c:v>1992.0</c:v>
                </c:pt>
                <c:pt idx="43">
                  <c:v>1993.0</c:v>
                </c:pt>
                <c:pt idx="44">
                  <c:v>1994.0</c:v>
                </c:pt>
                <c:pt idx="45">
                  <c:v>1995.0</c:v>
                </c:pt>
                <c:pt idx="46">
                  <c:v>1996.0</c:v>
                </c:pt>
                <c:pt idx="47">
                  <c:v>1997.0</c:v>
                </c:pt>
                <c:pt idx="48">
                  <c:v>1998.0</c:v>
                </c:pt>
                <c:pt idx="49">
                  <c:v>1999.0</c:v>
                </c:pt>
                <c:pt idx="50">
                  <c:v>2000.0</c:v>
                </c:pt>
                <c:pt idx="51">
                  <c:v>2001.0</c:v>
                </c:pt>
                <c:pt idx="52">
                  <c:v>2002.0</c:v>
                </c:pt>
                <c:pt idx="53">
                  <c:v>2003.0</c:v>
                </c:pt>
                <c:pt idx="54">
                  <c:v>2004.0</c:v>
                </c:pt>
                <c:pt idx="55">
                  <c:v>2005.0</c:v>
                </c:pt>
                <c:pt idx="56">
                  <c:v>2006.0</c:v>
                </c:pt>
                <c:pt idx="57">
                  <c:v>2007.0</c:v>
                </c:pt>
                <c:pt idx="58">
                  <c:v>2008.0</c:v>
                </c:pt>
                <c:pt idx="59">
                  <c:v>2009.0</c:v>
                </c:pt>
                <c:pt idx="60">
                  <c:v>2010.0</c:v>
                </c:pt>
                <c:pt idx="61">
                  <c:v>2011.0</c:v>
                </c:pt>
                <c:pt idx="62">
                  <c:v>2012.0</c:v>
                </c:pt>
                <c:pt idx="63">
                  <c:v>2013.0</c:v>
                </c:pt>
              </c:numCache>
            </c:numRef>
          </c:cat>
          <c:val>
            <c:numRef>
              <c:f>'DataFig8-9'!$K$26:$K$89</c:f>
              <c:numCache>
                <c:formatCode>0%</c:formatCode>
                <c:ptCount val="64"/>
                <c:pt idx="0">
                  <c:v>0.03601108033241</c:v>
                </c:pt>
                <c:pt idx="1">
                  <c:v>0.0412621359223301</c:v>
                </c:pt>
                <c:pt idx="2">
                  <c:v>0.0478589420654912</c:v>
                </c:pt>
                <c:pt idx="3">
                  <c:v>0.0446650124069479</c:v>
                </c:pt>
                <c:pt idx="4">
                  <c:v>0.0506329113924051</c:v>
                </c:pt>
                <c:pt idx="5">
                  <c:v>0.047808764940239</c:v>
                </c:pt>
                <c:pt idx="6">
                  <c:v>0.0564516129032258</c:v>
                </c:pt>
                <c:pt idx="7">
                  <c:v>0.0631364562118126</c:v>
                </c:pt>
                <c:pt idx="8">
                  <c:v>0.0569476082004556</c:v>
                </c:pt>
                <c:pt idx="9">
                  <c:v>0.0486486486486486</c:v>
                </c:pt>
                <c:pt idx="10">
                  <c:v>0.056672760511883</c:v>
                </c:pt>
                <c:pt idx="11">
                  <c:v>0.0590339892665474</c:v>
                </c:pt>
                <c:pt idx="12">
                  <c:v>0.059375</c:v>
                </c:pt>
                <c:pt idx="13">
                  <c:v>0.0581560283687943</c:v>
                </c:pt>
                <c:pt idx="14">
                  <c:v>0.0579150579150579</c:v>
                </c:pt>
                <c:pt idx="15">
                  <c:v>0.0526315789473684</c:v>
                </c:pt>
                <c:pt idx="16">
                  <c:v>0.0468262226847034</c:v>
                </c:pt>
                <c:pt idx="17">
                  <c:v>0.0511182108626198</c:v>
                </c:pt>
                <c:pt idx="18">
                  <c:v>0.0550639134709931</c:v>
                </c:pt>
                <c:pt idx="19">
                  <c:v>0.0670731707317073</c:v>
                </c:pt>
                <c:pt idx="20">
                  <c:v>0.0823665893271461</c:v>
                </c:pt>
                <c:pt idx="21">
                  <c:v>0.0785288270377734</c:v>
                </c:pt>
                <c:pt idx="22">
                  <c:v>0.0810580204778157</c:v>
                </c:pt>
                <c:pt idx="23">
                  <c:v>0.111694152923538</c:v>
                </c:pt>
                <c:pt idx="24">
                  <c:v>0.139220365950676</c:v>
                </c:pt>
                <c:pt idx="25">
                  <c:v>0.105111591072714</c:v>
                </c:pt>
                <c:pt idx="26">
                  <c:v>0.0946643717728055</c:v>
                </c:pt>
                <c:pt idx="27">
                  <c:v>0.0928085519922254</c:v>
                </c:pt>
                <c:pt idx="28">
                  <c:v>0.0959765297569153</c:v>
                </c:pt>
                <c:pt idx="29">
                  <c:v>0.138955823293173</c:v>
                </c:pt>
                <c:pt idx="30">
                  <c:v>0.158765652951699</c:v>
                </c:pt>
                <c:pt idx="31">
                  <c:v>0.12</c:v>
                </c:pt>
                <c:pt idx="32">
                  <c:v>0.141800782949108</c:v>
                </c:pt>
                <c:pt idx="33">
                  <c:v>0.125446747676912</c:v>
                </c:pt>
                <c:pt idx="34">
                  <c:v>0.108316069843149</c:v>
                </c:pt>
                <c:pt idx="35">
                  <c:v>0.107475317348378</c:v>
                </c:pt>
                <c:pt idx="36">
                  <c:v>0.121763255240444</c:v>
                </c:pt>
                <c:pt idx="37">
                  <c:v>0.131147540983607</c:v>
                </c:pt>
                <c:pt idx="38">
                  <c:v>0.137382501807664</c:v>
                </c:pt>
                <c:pt idx="39">
                  <c:v>0.161999034282955</c:v>
                </c:pt>
                <c:pt idx="40">
                  <c:v>0.182406519654842</c:v>
                </c:pt>
                <c:pt idx="41">
                  <c:v>0.169510303567472</c:v>
                </c:pt>
                <c:pt idx="42">
                  <c:v>0.153797601514833</c:v>
                </c:pt>
                <c:pt idx="43">
                  <c:v>0.147318007662835</c:v>
                </c:pt>
                <c:pt idx="44">
                  <c:v>0.125422093584178</c:v>
                </c:pt>
                <c:pt idx="45">
                  <c:v>0.132147937411095</c:v>
                </c:pt>
                <c:pt idx="46">
                  <c:v>0.12975448416232</c:v>
                </c:pt>
                <c:pt idx="47">
                  <c:v>0.124278124278124</c:v>
                </c:pt>
                <c:pt idx="48">
                  <c:v>0.127844795423455</c:v>
                </c:pt>
                <c:pt idx="49">
                  <c:v>0.146952541556251</c:v>
                </c:pt>
                <c:pt idx="50">
                  <c:v>0.187147977470558</c:v>
                </c:pt>
                <c:pt idx="51">
                  <c:v>0.225994694960212</c:v>
                </c:pt>
                <c:pt idx="52">
                  <c:v>0.175044091710758</c:v>
                </c:pt>
                <c:pt idx="53">
                  <c:v>0.157705414615676</c:v>
                </c:pt>
                <c:pt idx="54">
                  <c:v>0.159744408945687</c:v>
                </c:pt>
                <c:pt idx="55">
                  <c:v>0.161805508560601</c:v>
                </c:pt>
                <c:pt idx="56">
                  <c:v>0.155602793805041</c:v>
                </c:pt>
                <c:pt idx="57">
                  <c:v>0.231131458469588</c:v>
                </c:pt>
                <c:pt idx="58">
                  <c:v>0.316473426192514</c:v>
                </c:pt>
                <c:pt idx="59">
                  <c:v>0.255690765926986</c:v>
                </c:pt>
                <c:pt idx="60">
                  <c:v>0.22629409070087</c:v>
                </c:pt>
                <c:pt idx="61">
                  <c:v>0.232247054937796</c:v>
                </c:pt>
                <c:pt idx="62">
                  <c:v>0.200069210994661</c:v>
                </c:pt>
                <c:pt idx="63">
                  <c:v>0.1925658550477</c:v>
                </c:pt>
              </c:numCache>
            </c:numRef>
          </c:val>
          <c:smooth val="0"/>
        </c:ser>
        <c:dLbls>
          <c:showLegendKey val="0"/>
          <c:showVal val="0"/>
          <c:showCatName val="0"/>
          <c:showSerName val="0"/>
          <c:showPercent val="0"/>
          <c:showBubbleSize val="0"/>
        </c:dLbls>
        <c:marker val="1"/>
        <c:smooth val="0"/>
        <c:axId val="2098496008"/>
        <c:axId val="2098499016"/>
      </c:lineChart>
      <c:catAx>
        <c:axId val="2098496008"/>
        <c:scaling>
          <c:orientation val="minMax"/>
        </c:scaling>
        <c:delete val="0"/>
        <c:axPos val="b"/>
        <c:numFmt formatCode="General" sourceLinked="1"/>
        <c:majorTickMark val="out"/>
        <c:minorTickMark val="none"/>
        <c:tickLblPos val="nextTo"/>
        <c:crossAx val="2098499016"/>
        <c:crosses val="autoZero"/>
        <c:auto val="1"/>
        <c:lblAlgn val="ctr"/>
        <c:lblOffset val="100"/>
        <c:noMultiLvlLbl val="0"/>
      </c:catAx>
      <c:valAx>
        <c:axId val="2098499016"/>
        <c:scaling>
          <c:orientation val="minMax"/>
        </c:scaling>
        <c:delete val="0"/>
        <c:axPos val="l"/>
        <c:majorGridlines/>
        <c:numFmt formatCode="0%" sourceLinked="1"/>
        <c:majorTickMark val="out"/>
        <c:minorTickMark val="none"/>
        <c:tickLblPos val="nextTo"/>
        <c:crossAx val="2098496008"/>
        <c:crosses val="autoZero"/>
        <c:crossBetween val="between"/>
      </c:valAx>
    </c:plotArea>
    <c:legend>
      <c:legendPos val="r"/>
      <c:layout>
        <c:manualLayout>
          <c:xMode val="edge"/>
          <c:yMode val="edge"/>
          <c:x val="0.186996679407191"/>
          <c:y val="0.316351199952827"/>
          <c:w val="0.344106071604355"/>
          <c:h val="0.121769286212938"/>
        </c:manualLayout>
      </c:layout>
      <c:overlay val="0"/>
    </c:legend>
    <c:plotVisOnly val="1"/>
    <c:dispBlanksAs val="gap"/>
    <c:showDLblsOverMax val="0"/>
  </c:chart>
  <c:printSettings>
    <c:headerFooter/>
    <c:pageMargins b="1.0" l="0.75" r="0.75" t="1.0"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0932248468941382"/>
          <c:y val="0.211111111111111"/>
          <c:w val="0.818185914260717"/>
          <c:h val="0.756481481481481"/>
        </c:manualLayout>
      </c:layout>
      <c:lineChart>
        <c:grouping val="standard"/>
        <c:varyColors val="0"/>
        <c:ser>
          <c:idx val="0"/>
          <c:order val="0"/>
          <c:tx>
            <c:strRef>
              <c:f>'DataFig8-9'!$BK$3</c:f>
              <c:strCache>
                <c:ptCount val="1"/>
                <c:pt idx="0">
                  <c:v>(Retained foreign, % of BEA profits)</c:v>
                </c:pt>
              </c:strCache>
            </c:strRef>
          </c:tx>
          <c:marker>
            <c:symbol val="none"/>
          </c:marker>
          <c:val>
            <c:numRef>
              <c:f>'DataFig8-9'!$BK$5:$BK$89</c:f>
              <c:numCache>
                <c:formatCode>0%</c:formatCode>
                <c:ptCount val="85"/>
                <c:pt idx="0">
                  <c:v>0.0</c:v>
                </c:pt>
                <c:pt idx="1">
                  <c:v>0.0</c:v>
                </c:pt>
                <c:pt idx="2">
                  <c:v>0.0</c:v>
                </c:pt>
                <c:pt idx="3">
                  <c:v>0.0</c:v>
                </c:pt>
                <c:pt idx="4">
                  <c:v>0.0</c:v>
                </c:pt>
                <c:pt idx="5">
                  <c:v>0.0</c:v>
                </c:pt>
                <c:pt idx="6">
                  <c:v>0.0</c:v>
                </c:pt>
                <c:pt idx="7">
                  <c:v>0.0</c:v>
                </c:pt>
                <c:pt idx="8">
                  <c:v>0.028169014084507</c:v>
                </c:pt>
                <c:pt idx="9">
                  <c:v>0.0</c:v>
                </c:pt>
                <c:pt idx="10">
                  <c:v>0.0303030303030303</c:v>
                </c:pt>
                <c:pt idx="11">
                  <c:v>0.0</c:v>
                </c:pt>
                <c:pt idx="12">
                  <c:v>0.0127388535031847</c:v>
                </c:pt>
                <c:pt idx="13">
                  <c:v>0.00480769230769229</c:v>
                </c:pt>
                <c:pt idx="14">
                  <c:v>0.00803212851405623</c:v>
                </c:pt>
                <c:pt idx="15">
                  <c:v>0.00400000000000002</c:v>
                </c:pt>
                <c:pt idx="16">
                  <c:v>0.00975609756097562</c:v>
                </c:pt>
                <c:pt idx="17">
                  <c:v>0.0164835164835165</c:v>
                </c:pt>
                <c:pt idx="18">
                  <c:v>0.012396694214876</c:v>
                </c:pt>
                <c:pt idx="19">
                  <c:v>0.0127388535031847</c:v>
                </c:pt>
                <c:pt idx="20">
                  <c:v>0.0103092783505154</c:v>
                </c:pt>
                <c:pt idx="21">
                  <c:v>0.00831024930747924</c:v>
                </c:pt>
                <c:pt idx="22">
                  <c:v>0.0145631067961165</c:v>
                </c:pt>
                <c:pt idx="23">
                  <c:v>0.0201511335012594</c:v>
                </c:pt>
                <c:pt idx="24">
                  <c:v>0.0148883374689826</c:v>
                </c:pt>
                <c:pt idx="25">
                  <c:v>0.0151898734177215</c:v>
                </c:pt>
                <c:pt idx="26">
                  <c:v>0.0139442231075698</c:v>
                </c:pt>
                <c:pt idx="27">
                  <c:v>0.0201612903225806</c:v>
                </c:pt>
                <c:pt idx="28">
                  <c:v>0.0244399185336049</c:v>
                </c:pt>
                <c:pt idx="29">
                  <c:v>0.0182232346241458</c:v>
                </c:pt>
                <c:pt idx="30">
                  <c:v>0.0144144144144144</c:v>
                </c:pt>
                <c:pt idx="31">
                  <c:v>0.020109689213894</c:v>
                </c:pt>
                <c:pt idx="32">
                  <c:v>0.0178890876565295</c:v>
                </c:pt>
                <c:pt idx="33">
                  <c:v>0.0171875</c:v>
                </c:pt>
                <c:pt idx="34">
                  <c:v>0.0198581560283688</c:v>
                </c:pt>
                <c:pt idx="35">
                  <c:v>0.0167310167310167</c:v>
                </c:pt>
                <c:pt idx="36">
                  <c:v>0.0156774916013438</c:v>
                </c:pt>
                <c:pt idx="37">
                  <c:v>0.0176899063475547</c:v>
                </c:pt>
                <c:pt idx="38">
                  <c:v>0.0170394036208733</c:v>
                </c:pt>
                <c:pt idx="39">
                  <c:v>0.0226155358898722</c:v>
                </c:pt>
                <c:pt idx="40">
                  <c:v>0.0284552845528456</c:v>
                </c:pt>
                <c:pt idx="41">
                  <c:v>0.037122969837587</c:v>
                </c:pt>
                <c:pt idx="42">
                  <c:v>0.0318091451292247</c:v>
                </c:pt>
                <c:pt idx="43">
                  <c:v>0.0392491467576792</c:v>
                </c:pt>
                <c:pt idx="44">
                  <c:v>0.06071964017991</c:v>
                </c:pt>
                <c:pt idx="45">
                  <c:v>0.0612569610182975</c:v>
                </c:pt>
                <c:pt idx="46">
                  <c:v>0.0583153347732181</c:v>
                </c:pt>
                <c:pt idx="47">
                  <c:v>0.0436029833620195</c:v>
                </c:pt>
                <c:pt idx="48">
                  <c:v>0.0393586005830903</c:v>
                </c:pt>
                <c:pt idx="49">
                  <c:v>0.0490360435875943</c:v>
                </c:pt>
                <c:pt idx="50">
                  <c:v>0.0742971887550201</c:v>
                </c:pt>
                <c:pt idx="51">
                  <c:v>0.0836314847942755</c:v>
                </c:pt>
                <c:pt idx="52">
                  <c:v>0.0573737373737374</c:v>
                </c:pt>
                <c:pt idx="53">
                  <c:v>0.0704654197477163</c:v>
                </c:pt>
                <c:pt idx="54">
                  <c:v>0.0822015725518227</c:v>
                </c:pt>
                <c:pt idx="55">
                  <c:v>0.0716188221367268</c:v>
                </c:pt>
                <c:pt idx="56">
                  <c:v>0.0739069111424541</c:v>
                </c:pt>
                <c:pt idx="57">
                  <c:v>0.0665844636251541</c:v>
                </c:pt>
                <c:pt idx="58">
                  <c:v>0.0855191256830601</c:v>
                </c:pt>
                <c:pt idx="59">
                  <c:v>0.0604965051819716</c:v>
                </c:pt>
                <c:pt idx="60">
                  <c:v>0.0857073877353935</c:v>
                </c:pt>
                <c:pt idx="61">
                  <c:v>0.12248322147651</c:v>
                </c:pt>
                <c:pt idx="62">
                  <c:v>0.115444272102814</c:v>
                </c:pt>
                <c:pt idx="63">
                  <c:v>0.0948874395118872</c:v>
                </c:pt>
                <c:pt idx="64">
                  <c:v>0.107854406130268</c:v>
                </c:pt>
                <c:pt idx="65">
                  <c:v>0.063997427239106</c:v>
                </c:pt>
                <c:pt idx="66">
                  <c:v>0.0854907539118065</c:v>
                </c:pt>
                <c:pt idx="67">
                  <c:v>0.0783615316117542</c:v>
                </c:pt>
                <c:pt idx="68">
                  <c:v>0.0696465696465696</c:v>
                </c:pt>
                <c:pt idx="69">
                  <c:v>0.0752393980848153</c:v>
                </c:pt>
                <c:pt idx="70">
                  <c:v>0.096844133943628</c:v>
                </c:pt>
                <c:pt idx="71">
                  <c:v>0.149641577060932</c:v>
                </c:pt>
                <c:pt idx="72">
                  <c:v>0.172148541114058</c:v>
                </c:pt>
                <c:pt idx="73">
                  <c:v>0.122244268077601</c:v>
                </c:pt>
                <c:pt idx="74">
                  <c:v>0.12731919727376</c:v>
                </c:pt>
                <c:pt idx="75">
                  <c:v>0.111275617548508</c:v>
                </c:pt>
                <c:pt idx="76">
                  <c:v>-0.0147526561548352</c:v>
                </c:pt>
                <c:pt idx="77">
                  <c:v>0.108229577892499</c:v>
                </c:pt>
                <c:pt idx="78">
                  <c:v>0.139306736429039</c:v>
                </c:pt>
                <c:pt idx="79">
                  <c:v>0.175939615594117</c:v>
                </c:pt>
                <c:pt idx="80">
                  <c:v>0.171152469577666</c:v>
                </c:pt>
                <c:pt idx="81">
                  <c:v>0.156779661016949</c:v>
                </c:pt>
                <c:pt idx="82">
                  <c:v>0.14697787074755</c:v>
                </c:pt>
                <c:pt idx="83">
                  <c:v>0.111231955704963</c:v>
                </c:pt>
                <c:pt idx="84">
                  <c:v>0.128245289287579</c:v>
                </c:pt>
              </c:numCache>
            </c:numRef>
          </c:val>
          <c:smooth val="0"/>
        </c:ser>
        <c:dLbls>
          <c:showLegendKey val="0"/>
          <c:showVal val="0"/>
          <c:showCatName val="0"/>
          <c:showSerName val="0"/>
          <c:showPercent val="0"/>
          <c:showBubbleSize val="0"/>
        </c:dLbls>
        <c:marker val="1"/>
        <c:smooth val="0"/>
        <c:axId val="2095737160"/>
        <c:axId val="2095740104"/>
      </c:lineChart>
      <c:catAx>
        <c:axId val="2095737160"/>
        <c:scaling>
          <c:orientation val="minMax"/>
        </c:scaling>
        <c:delete val="0"/>
        <c:axPos val="b"/>
        <c:majorTickMark val="out"/>
        <c:minorTickMark val="none"/>
        <c:tickLblPos val="nextTo"/>
        <c:crossAx val="2095740104"/>
        <c:crosses val="autoZero"/>
        <c:auto val="1"/>
        <c:lblAlgn val="ctr"/>
        <c:lblOffset val="100"/>
        <c:noMultiLvlLbl val="0"/>
      </c:catAx>
      <c:valAx>
        <c:axId val="2095740104"/>
        <c:scaling>
          <c:orientation val="minMax"/>
        </c:scaling>
        <c:delete val="0"/>
        <c:axPos val="l"/>
        <c:majorGridlines/>
        <c:numFmt formatCode="0%" sourceLinked="1"/>
        <c:majorTickMark val="out"/>
        <c:minorTickMark val="none"/>
        <c:tickLblPos val="nextTo"/>
        <c:crossAx val="2095737160"/>
        <c:crosses val="autoZero"/>
        <c:crossBetween val="between"/>
      </c:valAx>
    </c:plotArea>
    <c:legend>
      <c:legendPos val="r"/>
      <c:layout>
        <c:manualLayout>
          <c:xMode val="edge"/>
          <c:yMode val="edge"/>
          <c:x val="0.0968967629046369"/>
          <c:y val="0.209338363954506"/>
          <c:w val="0.325577200905151"/>
          <c:h val="0.152723085521802"/>
        </c:manualLayout>
      </c:layout>
      <c:overlay val="0"/>
    </c:legend>
    <c:plotVisOnly val="1"/>
    <c:dispBlanksAs val="gap"/>
    <c:showDLblsOverMax val="0"/>
  </c:chart>
  <c:printSettings>
    <c:headerFooter/>
    <c:pageMargins b="1.0" l="0.75" r="0.75" t="1.0"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0826314922061737"/>
          <c:y val="0.219043217595865"/>
          <c:w val="0.882858355624972"/>
          <c:h val="0.720771848935962"/>
        </c:manualLayout>
      </c:layout>
      <c:lineChart>
        <c:grouping val="standard"/>
        <c:varyColors val="0"/>
        <c:ser>
          <c:idx val="0"/>
          <c:order val="0"/>
          <c:tx>
            <c:strRef>
              <c:f>'DataFig8-9'!$BO$3</c:f>
              <c:strCache>
                <c:ptCount val="1"/>
                <c:pt idx="0">
                  <c:v>(Retained abroad, % of foreign profits)</c:v>
                </c:pt>
              </c:strCache>
            </c:strRef>
          </c:tx>
          <c:marker>
            <c:symbol val="none"/>
          </c:marker>
          <c:val>
            <c:numRef>
              <c:f>'DataFig8-9'!$BO$26:$BO$89</c:f>
              <c:numCache>
                <c:formatCode>0%</c:formatCode>
                <c:ptCount val="64"/>
                <c:pt idx="0">
                  <c:v>0.230769230769231</c:v>
                </c:pt>
                <c:pt idx="1">
                  <c:v>0.352941176470588</c:v>
                </c:pt>
                <c:pt idx="2">
                  <c:v>0.421052631578947</c:v>
                </c:pt>
                <c:pt idx="3">
                  <c:v>0.333333333333333</c:v>
                </c:pt>
                <c:pt idx="4">
                  <c:v>0.3</c:v>
                </c:pt>
                <c:pt idx="5">
                  <c:v>0.291666666666668</c:v>
                </c:pt>
                <c:pt idx="6">
                  <c:v>0.357142857142856</c:v>
                </c:pt>
                <c:pt idx="7">
                  <c:v>0.387096774193548</c:v>
                </c:pt>
                <c:pt idx="8">
                  <c:v>0.32</c:v>
                </c:pt>
                <c:pt idx="9">
                  <c:v>0.296296296296297</c:v>
                </c:pt>
                <c:pt idx="10">
                  <c:v>0.35483870967742</c:v>
                </c:pt>
                <c:pt idx="11">
                  <c:v>0.303030303030303</c:v>
                </c:pt>
                <c:pt idx="12">
                  <c:v>0.289473684210526</c:v>
                </c:pt>
                <c:pt idx="13">
                  <c:v>0.341463414634146</c:v>
                </c:pt>
                <c:pt idx="14">
                  <c:v>0.288888888888888</c:v>
                </c:pt>
                <c:pt idx="15">
                  <c:v>0.297872340425532</c:v>
                </c:pt>
                <c:pt idx="16">
                  <c:v>0.377777777777778</c:v>
                </c:pt>
                <c:pt idx="17">
                  <c:v>0.333333333333334</c:v>
                </c:pt>
                <c:pt idx="18">
                  <c:v>0.410714285714286</c:v>
                </c:pt>
                <c:pt idx="19">
                  <c:v>0.424242424242425</c:v>
                </c:pt>
                <c:pt idx="20">
                  <c:v>0.450704225352113</c:v>
                </c:pt>
                <c:pt idx="21">
                  <c:v>0.405063291139241</c:v>
                </c:pt>
                <c:pt idx="22">
                  <c:v>0.48421052631579</c:v>
                </c:pt>
                <c:pt idx="23">
                  <c:v>0.543624161073826</c:v>
                </c:pt>
                <c:pt idx="24">
                  <c:v>0.44</c:v>
                </c:pt>
                <c:pt idx="25">
                  <c:v>0.554794520547945</c:v>
                </c:pt>
                <c:pt idx="26">
                  <c:v>0.460606060606061</c:v>
                </c:pt>
                <c:pt idx="27">
                  <c:v>0.424083769633507</c:v>
                </c:pt>
                <c:pt idx="28">
                  <c:v>0.510917030567686</c:v>
                </c:pt>
                <c:pt idx="29">
                  <c:v>0.534682080924855</c:v>
                </c:pt>
                <c:pt idx="30">
                  <c:v>0.526760563380282</c:v>
                </c:pt>
                <c:pt idx="31">
                  <c:v>0.478114478114478</c:v>
                </c:pt>
                <c:pt idx="32">
                  <c:v>0.496932515337423</c:v>
                </c:pt>
                <c:pt idx="33">
                  <c:v>0.655270655270655</c:v>
                </c:pt>
                <c:pt idx="34">
                  <c:v>0.66120218579235</c:v>
                </c:pt>
                <c:pt idx="35">
                  <c:v>0.68766404199475</c:v>
                </c:pt>
                <c:pt idx="36">
                  <c:v>0.546835443037974</c:v>
                </c:pt>
                <c:pt idx="37">
                  <c:v>0.652083333333333</c:v>
                </c:pt>
                <c:pt idx="38">
                  <c:v>0.440350877192983</c:v>
                </c:pt>
                <c:pt idx="39">
                  <c:v>0.529061102831595</c:v>
                </c:pt>
                <c:pt idx="40">
                  <c:v>0.671484888304862</c:v>
                </c:pt>
                <c:pt idx="41">
                  <c:v>0.681045751633987</c:v>
                </c:pt>
                <c:pt idx="42">
                  <c:v>0.616963064295486</c:v>
                </c:pt>
                <c:pt idx="43">
                  <c:v>0.732119635890767</c:v>
                </c:pt>
                <c:pt idx="44">
                  <c:v>0.51025641025641</c:v>
                </c:pt>
                <c:pt idx="45">
                  <c:v>0.646932185145317</c:v>
                </c:pt>
                <c:pt idx="46">
                  <c:v>0.603921568627451</c:v>
                </c:pt>
                <c:pt idx="47">
                  <c:v>0.560408921933085</c:v>
                </c:pt>
                <c:pt idx="48">
                  <c:v>0.58852140077821</c:v>
                </c:pt>
                <c:pt idx="49">
                  <c:v>0.659016393442623</c:v>
                </c:pt>
                <c:pt idx="50">
                  <c:v>0.799589603283174</c:v>
                </c:pt>
                <c:pt idx="51">
                  <c:v>0.761737089201878</c:v>
                </c:pt>
                <c:pt idx="52">
                  <c:v>0.698362720403022</c:v>
                </c:pt>
                <c:pt idx="53">
                  <c:v>0.807322929171669</c:v>
                </c:pt>
                <c:pt idx="54">
                  <c:v>0.696585365853658</c:v>
                </c:pt>
                <c:pt idx="55">
                  <c:v>-0.0911752404851527</c:v>
                </c:pt>
                <c:pt idx="56">
                  <c:v>0.695550351288056</c:v>
                </c:pt>
                <c:pt idx="57">
                  <c:v>0.602716468590832</c:v>
                </c:pt>
                <c:pt idx="58">
                  <c:v>0.555938037865749</c:v>
                </c:pt>
                <c:pt idx="59">
                  <c:v>0.669372900335946</c:v>
                </c:pt>
                <c:pt idx="60">
                  <c:v>0.692813765182186</c:v>
                </c:pt>
                <c:pt idx="61">
                  <c:v>0.632851386584499</c:v>
                </c:pt>
                <c:pt idx="62">
                  <c:v>0.55596738324685</c:v>
                </c:pt>
                <c:pt idx="63">
                  <c:v>0.66598145998319</c:v>
                </c:pt>
              </c:numCache>
            </c:numRef>
          </c:val>
          <c:smooth val="0"/>
        </c:ser>
        <c:dLbls>
          <c:showLegendKey val="0"/>
          <c:showVal val="0"/>
          <c:showCatName val="0"/>
          <c:showSerName val="0"/>
          <c:showPercent val="0"/>
          <c:showBubbleSize val="0"/>
        </c:dLbls>
        <c:marker val="1"/>
        <c:smooth val="0"/>
        <c:axId val="2095531912"/>
        <c:axId val="2095534856"/>
      </c:lineChart>
      <c:catAx>
        <c:axId val="2095531912"/>
        <c:scaling>
          <c:orientation val="minMax"/>
        </c:scaling>
        <c:delete val="0"/>
        <c:axPos val="b"/>
        <c:majorTickMark val="out"/>
        <c:minorTickMark val="none"/>
        <c:tickLblPos val="nextTo"/>
        <c:crossAx val="2095534856"/>
        <c:crosses val="autoZero"/>
        <c:auto val="1"/>
        <c:lblAlgn val="ctr"/>
        <c:lblOffset val="100"/>
        <c:noMultiLvlLbl val="0"/>
      </c:catAx>
      <c:valAx>
        <c:axId val="2095534856"/>
        <c:scaling>
          <c:orientation val="minMax"/>
          <c:min val="-0.1"/>
        </c:scaling>
        <c:delete val="0"/>
        <c:axPos val="l"/>
        <c:majorGridlines/>
        <c:numFmt formatCode="0%" sourceLinked="1"/>
        <c:majorTickMark val="out"/>
        <c:minorTickMark val="none"/>
        <c:tickLblPos val="nextTo"/>
        <c:crossAx val="2095531912"/>
        <c:crosses val="autoZero"/>
        <c:crossBetween val="between"/>
      </c:valAx>
    </c:plotArea>
    <c:legend>
      <c:legendPos val="r"/>
      <c:layout>
        <c:manualLayout>
          <c:xMode val="edge"/>
          <c:yMode val="edge"/>
          <c:x val="0.319201480556687"/>
          <c:y val="0.610998104403616"/>
          <c:w val="0.336619519023902"/>
          <c:h val="0.151835848716476"/>
        </c:manualLayout>
      </c:layout>
      <c:overlay val="0"/>
    </c:legend>
    <c:plotVisOnly val="1"/>
    <c:dispBlanksAs val="gap"/>
    <c:showDLblsOverMax val="0"/>
  </c:chart>
  <c:printSettings>
    <c:headerFooter/>
    <c:pageMargins b="1.0" l="0.75" r="0.75" t="1.0"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0932248468941382"/>
          <c:y val="0.211111111111111"/>
          <c:w val="0.881775153105862"/>
          <c:h val="0.634506415864683"/>
        </c:manualLayout>
      </c:layout>
      <c:lineChart>
        <c:grouping val="standard"/>
        <c:varyColors val="0"/>
        <c:ser>
          <c:idx val="0"/>
          <c:order val="0"/>
          <c:tx>
            <c:strRef>
              <c:f>'DataFig8-9'!$BH$3</c:f>
              <c:strCache>
                <c:ptCount val="1"/>
                <c:pt idx="0">
                  <c:v>(retained earnings % BEA profits)</c:v>
                </c:pt>
              </c:strCache>
            </c:strRef>
          </c:tx>
          <c:marker>
            <c:symbol val="none"/>
          </c:marker>
          <c:cat>
            <c:numRef>
              <c:f>'DataFig8-9'!$B$26:$B$89</c:f>
              <c:numCache>
                <c:formatCode>General</c:formatCode>
                <c:ptCount val="64"/>
                <c:pt idx="0">
                  <c:v>1950.0</c:v>
                </c:pt>
                <c:pt idx="1">
                  <c:v>1951.0</c:v>
                </c:pt>
                <c:pt idx="2">
                  <c:v>1952.0</c:v>
                </c:pt>
                <c:pt idx="3">
                  <c:v>1953.0</c:v>
                </c:pt>
                <c:pt idx="4">
                  <c:v>1954.0</c:v>
                </c:pt>
                <c:pt idx="5">
                  <c:v>1955.0</c:v>
                </c:pt>
                <c:pt idx="6">
                  <c:v>1956.0</c:v>
                </c:pt>
                <c:pt idx="7">
                  <c:v>1957.0</c:v>
                </c:pt>
                <c:pt idx="8">
                  <c:v>1958.0</c:v>
                </c:pt>
                <c:pt idx="9">
                  <c:v>1959.0</c:v>
                </c:pt>
                <c:pt idx="10">
                  <c:v>1960.0</c:v>
                </c:pt>
                <c:pt idx="11">
                  <c:v>1961.0</c:v>
                </c:pt>
                <c:pt idx="12">
                  <c:v>1962.0</c:v>
                </c:pt>
                <c:pt idx="13">
                  <c:v>1963.0</c:v>
                </c:pt>
                <c:pt idx="14">
                  <c:v>1964.0</c:v>
                </c:pt>
                <c:pt idx="15">
                  <c:v>1965.0</c:v>
                </c:pt>
                <c:pt idx="16">
                  <c:v>1966.0</c:v>
                </c:pt>
                <c:pt idx="17">
                  <c:v>1967.0</c:v>
                </c:pt>
                <c:pt idx="18">
                  <c:v>1968.0</c:v>
                </c:pt>
                <c:pt idx="19">
                  <c:v>1969.0</c:v>
                </c:pt>
                <c:pt idx="20">
                  <c:v>1970.0</c:v>
                </c:pt>
                <c:pt idx="21">
                  <c:v>1971.0</c:v>
                </c:pt>
                <c:pt idx="22">
                  <c:v>1972.0</c:v>
                </c:pt>
                <c:pt idx="23">
                  <c:v>1973.0</c:v>
                </c:pt>
                <c:pt idx="24">
                  <c:v>1974.0</c:v>
                </c:pt>
                <c:pt idx="25">
                  <c:v>1975.0</c:v>
                </c:pt>
                <c:pt idx="26">
                  <c:v>1976.0</c:v>
                </c:pt>
                <c:pt idx="27">
                  <c:v>1977.0</c:v>
                </c:pt>
                <c:pt idx="28">
                  <c:v>1978.0</c:v>
                </c:pt>
                <c:pt idx="29">
                  <c:v>1979.0</c:v>
                </c:pt>
                <c:pt idx="30">
                  <c:v>1980.0</c:v>
                </c:pt>
                <c:pt idx="31">
                  <c:v>1981.0</c:v>
                </c:pt>
                <c:pt idx="32">
                  <c:v>1982.0</c:v>
                </c:pt>
                <c:pt idx="33">
                  <c:v>1983.0</c:v>
                </c:pt>
                <c:pt idx="34">
                  <c:v>1984.0</c:v>
                </c:pt>
                <c:pt idx="35">
                  <c:v>1985.0</c:v>
                </c:pt>
                <c:pt idx="36">
                  <c:v>1986.0</c:v>
                </c:pt>
                <c:pt idx="37">
                  <c:v>1987.0</c:v>
                </c:pt>
                <c:pt idx="38">
                  <c:v>1988.0</c:v>
                </c:pt>
                <c:pt idx="39">
                  <c:v>1989.0</c:v>
                </c:pt>
                <c:pt idx="40">
                  <c:v>1990.0</c:v>
                </c:pt>
                <c:pt idx="41">
                  <c:v>1991.0</c:v>
                </c:pt>
                <c:pt idx="42">
                  <c:v>1992.0</c:v>
                </c:pt>
                <c:pt idx="43">
                  <c:v>1993.0</c:v>
                </c:pt>
                <c:pt idx="44">
                  <c:v>1994.0</c:v>
                </c:pt>
                <c:pt idx="45">
                  <c:v>1995.0</c:v>
                </c:pt>
                <c:pt idx="46">
                  <c:v>1996.0</c:v>
                </c:pt>
                <c:pt idx="47">
                  <c:v>1997.0</c:v>
                </c:pt>
                <c:pt idx="48">
                  <c:v>1998.0</c:v>
                </c:pt>
                <c:pt idx="49">
                  <c:v>1999.0</c:v>
                </c:pt>
                <c:pt idx="50">
                  <c:v>2000.0</c:v>
                </c:pt>
                <c:pt idx="51">
                  <c:v>2001.0</c:v>
                </c:pt>
                <c:pt idx="52">
                  <c:v>2002.0</c:v>
                </c:pt>
                <c:pt idx="53">
                  <c:v>2003.0</c:v>
                </c:pt>
                <c:pt idx="54">
                  <c:v>2004.0</c:v>
                </c:pt>
                <c:pt idx="55">
                  <c:v>2005.0</c:v>
                </c:pt>
                <c:pt idx="56">
                  <c:v>2006.0</c:v>
                </c:pt>
                <c:pt idx="57">
                  <c:v>2007.0</c:v>
                </c:pt>
                <c:pt idx="58">
                  <c:v>2008.0</c:v>
                </c:pt>
                <c:pt idx="59">
                  <c:v>2009.0</c:v>
                </c:pt>
                <c:pt idx="60">
                  <c:v>2010.0</c:v>
                </c:pt>
                <c:pt idx="61">
                  <c:v>2011.0</c:v>
                </c:pt>
                <c:pt idx="62">
                  <c:v>2012.0</c:v>
                </c:pt>
                <c:pt idx="63">
                  <c:v>2013.0</c:v>
                </c:pt>
              </c:numCache>
            </c:numRef>
          </c:cat>
          <c:val>
            <c:numRef>
              <c:f>'DataFig8-9'!$BH$26:$BH$89</c:f>
              <c:numCache>
                <c:formatCode>0%</c:formatCode>
                <c:ptCount val="64"/>
                <c:pt idx="0">
                  <c:v>0.257617728531856</c:v>
                </c:pt>
                <c:pt idx="1">
                  <c:v>0.245145631067961</c:v>
                </c:pt>
                <c:pt idx="2">
                  <c:v>0.294710327455919</c:v>
                </c:pt>
                <c:pt idx="3">
                  <c:v>0.275434243176179</c:v>
                </c:pt>
                <c:pt idx="4">
                  <c:v>0.318987341772152</c:v>
                </c:pt>
                <c:pt idx="5">
                  <c:v>0.350597609561753</c:v>
                </c:pt>
                <c:pt idx="6">
                  <c:v>0.330645161290323</c:v>
                </c:pt>
                <c:pt idx="7">
                  <c:v>0.325865580448065</c:v>
                </c:pt>
                <c:pt idx="8">
                  <c:v>0.302961275626424</c:v>
                </c:pt>
                <c:pt idx="9">
                  <c:v>0.345945945945946</c:v>
                </c:pt>
                <c:pt idx="10">
                  <c:v>0.338208409506398</c:v>
                </c:pt>
                <c:pt idx="11">
                  <c:v>0.343470483005367</c:v>
                </c:pt>
                <c:pt idx="12">
                  <c:v>0.3890625</c:v>
                </c:pt>
                <c:pt idx="13">
                  <c:v>0.395744680851064</c:v>
                </c:pt>
                <c:pt idx="14">
                  <c:v>0.404118404118404</c:v>
                </c:pt>
                <c:pt idx="15">
                  <c:v>0.425531914893617</c:v>
                </c:pt>
                <c:pt idx="16">
                  <c:v>0.432882414151925</c:v>
                </c:pt>
                <c:pt idx="17">
                  <c:v>0.420660276890309</c:v>
                </c:pt>
                <c:pt idx="18">
                  <c:v>0.379547689282203</c:v>
                </c:pt>
                <c:pt idx="19">
                  <c:v>0.347560975609756</c:v>
                </c:pt>
                <c:pt idx="20">
                  <c:v>0.315545243619489</c:v>
                </c:pt>
                <c:pt idx="21">
                  <c:v>0.372763419483101</c:v>
                </c:pt>
                <c:pt idx="22">
                  <c:v>0.409556313993174</c:v>
                </c:pt>
                <c:pt idx="23">
                  <c:v>0.401049475262369</c:v>
                </c:pt>
                <c:pt idx="24">
                  <c:v>0.315831344470963</c:v>
                </c:pt>
                <c:pt idx="25">
                  <c:v>0.390928725701944</c:v>
                </c:pt>
                <c:pt idx="26">
                  <c:v>0.401606425702811</c:v>
                </c:pt>
                <c:pt idx="27">
                  <c:v>0.420796890184645</c:v>
                </c:pt>
                <c:pt idx="28">
                  <c:v>0.431265716680637</c:v>
                </c:pt>
                <c:pt idx="29">
                  <c:v>0.407228915662651</c:v>
                </c:pt>
                <c:pt idx="30">
                  <c:v>0.323345259391771</c:v>
                </c:pt>
                <c:pt idx="31">
                  <c:v>0.361212121212121</c:v>
                </c:pt>
                <c:pt idx="32">
                  <c:v>0.372335798173119</c:v>
                </c:pt>
                <c:pt idx="33">
                  <c:v>0.413509649749821</c:v>
                </c:pt>
                <c:pt idx="34">
                  <c:v>0.442438591299201</c:v>
                </c:pt>
                <c:pt idx="35">
                  <c:v>0.444287729196051</c:v>
                </c:pt>
                <c:pt idx="36">
                  <c:v>0.334463625154131</c:v>
                </c:pt>
                <c:pt idx="37">
                  <c:v>0.336612021857923</c:v>
                </c:pt>
                <c:pt idx="38">
                  <c:v>0.345384429983128</c:v>
                </c:pt>
                <c:pt idx="39">
                  <c:v>0.26605504587156</c:v>
                </c:pt>
                <c:pt idx="40">
                  <c:v>0.246164908916587</c:v>
                </c:pt>
                <c:pt idx="41">
                  <c:v>0.292931531132284</c:v>
                </c:pt>
                <c:pt idx="42">
                  <c:v>0.288449400378708</c:v>
                </c:pt>
                <c:pt idx="43">
                  <c:v>0.278927203065134</c:v>
                </c:pt>
                <c:pt idx="44">
                  <c:v>0.310017687731146</c:v>
                </c:pt>
                <c:pt idx="45">
                  <c:v>0.32176386913229</c:v>
                </c:pt>
                <c:pt idx="46">
                  <c:v>0.319425009540771</c:v>
                </c:pt>
                <c:pt idx="47">
                  <c:v>0.324439824439824</c:v>
                </c:pt>
                <c:pt idx="48">
                  <c:v>0.247108568585997</c:v>
                </c:pt>
                <c:pt idx="49">
                  <c:v>0.269212238014936</c:v>
                </c:pt>
                <c:pt idx="50">
                  <c:v>0.168202764976958</c:v>
                </c:pt>
                <c:pt idx="51">
                  <c:v>0.238992042440318</c:v>
                </c:pt>
                <c:pt idx="52">
                  <c:v>0.346891534391534</c:v>
                </c:pt>
                <c:pt idx="53">
                  <c:v>0.358386974630822</c:v>
                </c:pt>
                <c:pt idx="54">
                  <c:v>0.321982389152965</c:v>
                </c:pt>
                <c:pt idx="55">
                  <c:v>0.328077417608446</c:v>
                </c:pt>
                <c:pt idx="56">
                  <c:v>0.271545703006377</c:v>
                </c:pt>
                <c:pt idx="57">
                  <c:v>0.173054283845651</c:v>
                </c:pt>
                <c:pt idx="58">
                  <c:v>0.130184421445802</c:v>
                </c:pt>
                <c:pt idx="59">
                  <c:v>0.395776664280601</c:v>
                </c:pt>
                <c:pt idx="60">
                  <c:v>0.464899221255153</c:v>
                </c:pt>
                <c:pt idx="61">
                  <c:v>0.403996476934933</c:v>
                </c:pt>
                <c:pt idx="62">
                  <c:v>0.351443543602927</c:v>
                </c:pt>
                <c:pt idx="63">
                  <c:v>0.319426645782904</c:v>
                </c:pt>
              </c:numCache>
            </c:numRef>
          </c:val>
          <c:smooth val="0"/>
        </c:ser>
        <c:dLbls>
          <c:showLegendKey val="0"/>
          <c:showVal val="0"/>
          <c:showCatName val="0"/>
          <c:showSerName val="0"/>
          <c:showPercent val="0"/>
          <c:showBubbleSize val="0"/>
        </c:dLbls>
        <c:marker val="1"/>
        <c:smooth val="0"/>
        <c:axId val="2095565640"/>
        <c:axId val="2095568648"/>
      </c:lineChart>
      <c:catAx>
        <c:axId val="2095565640"/>
        <c:scaling>
          <c:orientation val="minMax"/>
        </c:scaling>
        <c:delete val="0"/>
        <c:axPos val="b"/>
        <c:numFmt formatCode="General" sourceLinked="1"/>
        <c:majorTickMark val="out"/>
        <c:minorTickMark val="none"/>
        <c:tickLblPos val="nextTo"/>
        <c:crossAx val="2095568648"/>
        <c:crosses val="autoZero"/>
        <c:auto val="1"/>
        <c:lblAlgn val="ctr"/>
        <c:lblOffset val="100"/>
        <c:noMultiLvlLbl val="0"/>
      </c:catAx>
      <c:valAx>
        <c:axId val="2095568648"/>
        <c:scaling>
          <c:orientation val="minMax"/>
        </c:scaling>
        <c:delete val="0"/>
        <c:axPos val="l"/>
        <c:majorGridlines/>
        <c:numFmt formatCode="0%" sourceLinked="1"/>
        <c:majorTickMark val="out"/>
        <c:minorTickMark val="none"/>
        <c:tickLblPos val="nextTo"/>
        <c:crossAx val="2095565640"/>
        <c:crosses val="autoZero"/>
        <c:crossBetween val="between"/>
      </c:valAx>
    </c:plotArea>
    <c:legend>
      <c:legendPos val="r"/>
      <c:layout>
        <c:manualLayout>
          <c:xMode val="edge"/>
          <c:yMode val="edge"/>
          <c:x val="0.2"/>
          <c:y val="0.667671697287839"/>
          <c:w val="0.323952733510614"/>
          <c:h val="0.152388946088306"/>
        </c:manualLayout>
      </c:layout>
      <c:overlay val="0"/>
    </c:legend>
    <c:plotVisOnly val="1"/>
    <c:dispBlanksAs val="gap"/>
    <c:showDLblsOverMax val="0"/>
  </c:chart>
  <c:printSettings>
    <c:headerFooter/>
    <c:pageMargins b="1.0" l="0.75" r="0.75" t="1.0"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0932248468941382"/>
          <c:y val="0.178703703703704"/>
          <c:w val="0.880701006124234"/>
          <c:h val="0.68827172645086"/>
        </c:manualLayout>
      </c:layout>
      <c:lineChart>
        <c:grouping val="standard"/>
        <c:varyColors val="0"/>
        <c:ser>
          <c:idx val="0"/>
          <c:order val="0"/>
          <c:tx>
            <c:strRef>
              <c:f>'DataFig8-9'!$E$3</c:f>
              <c:strCache>
                <c:ptCount val="1"/>
                <c:pt idx="0">
                  <c:v>(corporate profits % national income)</c:v>
                </c:pt>
              </c:strCache>
            </c:strRef>
          </c:tx>
          <c:marker>
            <c:symbol val="none"/>
          </c:marker>
          <c:cat>
            <c:numRef>
              <c:f>'DataFig8-9'!$B$21:$B$89</c:f>
              <c:numCache>
                <c:formatCode>General</c:formatCode>
                <c:ptCount val="69"/>
                <c:pt idx="0">
                  <c:v>1945.0</c:v>
                </c:pt>
                <c:pt idx="1">
                  <c:v>1946.0</c:v>
                </c:pt>
                <c:pt idx="2">
                  <c:v>1947.0</c:v>
                </c:pt>
                <c:pt idx="3">
                  <c:v>1948.0</c:v>
                </c:pt>
                <c:pt idx="4">
                  <c:v>1949.0</c:v>
                </c:pt>
                <c:pt idx="5">
                  <c:v>1950.0</c:v>
                </c:pt>
                <c:pt idx="6">
                  <c:v>1951.0</c:v>
                </c:pt>
                <c:pt idx="7">
                  <c:v>1952.0</c:v>
                </c:pt>
                <c:pt idx="8">
                  <c:v>1953.0</c:v>
                </c:pt>
                <c:pt idx="9">
                  <c:v>1954.0</c:v>
                </c:pt>
                <c:pt idx="10">
                  <c:v>1955.0</c:v>
                </c:pt>
                <c:pt idx="11">
                  <c:v>1956.0</c:v>
                </c:pt>
                <c:pt idx="12">
                  <c:v>1957.0</c:v>
                </c:pt>
                <c:pt idx="13">
                  <c:v>1958.0</c:v>
                </c:pt>
                <c:pt idx="14">
                  <c:v>1959.0</c:v>
                </c:pt>
                <c:pt idx="15">
                  <c:v>1960.0</c:v>
                </c:pt>
                <c:pt idx="16">
                  <c:v>1961.0</c:v>
                </c:pt>
                <c:pt idx="17">
                  <c:v>1962.0</c:v>
                </c:pt>
                <c:pt idx="18">
                  <c:v>1963.0</c:v>
                </c:pt>
                <c:pt idx="19">
                  <c:v>1964.0</c:v>
                </c:pt>
                <c:pt idx="20">
                  <c:v>1965.0</c:v>
                </c:pt>
                <c:pt idx="21">
                  <c:v>1966.0</c:v>
                </c:pt>
                <c:pt idx="22">
                  <c:v>1967.0</c:v>
                </c:pt>
                <c:pt idx="23">
                  <c:v>1968.0</c:v>
                </c:pt>
                <c:pt idx="24">
                  <c:v>1969.0</c:v>
                </c:pt>
                <c:pt idx="25">
                  <c:v>1970.0</c:v>
                </c:pt>
                <c:pt idx="26">
                  <c:v>1971.0</c:v>
                </c:pt>
                <c:pt idx="27">
                  <c:v>1972.0</c:v>
                </c:pt>
                <c:pt idx="28">
                  <c:v>1973.0</c:v>
                </c:pt>
                <c:pt idx="29">
                  <c:v>1974.0</c:v>
                </c:pt>
                <c:pt idx="30">
                  <c:v>1975.0</c:v>
                </c:pt>
                <c:pt idx="31">
                  <c:v>1976.0</c:v>
                </c:pt>
                <c:pt idx="32">
                  <c:v>1977.0</c:v>
                </c:pt>
                <c:pt idx="33">
                  <c:v>1978.0</c:v>
                </c:pt>
                <c:pt idx="34">
                  <c:v>1979.0</c:v>
                </c:pt>
                <c:pt idx="35">
                  <c:v>1980.0</c:v>
                </c:pt>
                <c:pt idx="36">
                  <c:v>1981.0</c:v>
                </c:pt>
                <c:pt idx="37">
                  <c:v>1982.0</c:v>
                </c:pt>
                <c:pt idx="38">
                  <c:v>1983.0</c:v>
                </c:pt>
                <c:pt idx="39">
                  <c:v>1984.0</c:v>
                </c:pt>
                <c:pt idx="40">
                  <c:v>1985.0</c:v>
                </c:pt>
                <c:pt idx="41">
                  <c:v>1986.0</c:v>
                </c:pt>
                <c:pt idx="42">
                  <c:v>1987.0</c:v>
                </c:pt>
                <c:pt idx="43">
                  <c:v>1988.0</c:v>
                </c:pt>
                <c:pt idx="44">
                  <c:v>1989.0</c:v>
                </c:pt>
                <c:pt idx="45">
                  <c:v>1990.0</c:v>
                </c:pt>
                <c:pt idx="46">
                  <c:v>1991.0</c:v>
                </c:pt>
                <c:pt idx="47">
                  <c:v>1992.0</c:v>
                </c:pt>
                <c:pt idx="48">
                  <c:v>1993.0</c:v>
                </c:pt>
                <c:pt idx="49">
                  <c:v>1994.0</c:v>
                </c:pt>
                <c:pt idx="50">
                  <c:v>1995.0</c:v>
                </c:pt>
                <c:pt idx="51">
                  <c:v>1996.0</c:v>
                </c:pt>
                <c:pt idx="52">
                  <c:v>1997.0</c:v>
                </c:pt>
                <c:pt idx="53">
                  <c:v>1998.0</c:v>
                </c:pt>
                <c:pt idx="54">
                  <c:v>1999.0</c:v>
                </c:pt>
                <c:pt idx="55">
                  <c:v>2000.0</c:v>
                </c:pt>
                <c:pt idx="56">
                  <c:v>2001.0</c:v>
                </c:pt>
                <c:pt idx="57">
                  <c:v>2002.0</c:v>
                </c:pt>
                <c:pt idx="58">
                  <c:v>2003.0</c:v>
                </c:pt>
                <c:pt idx="59">
                  <c:v>2004.0</c:v>
                </c:pt>
                <c:pt idx="60">
                  <c:v>2005.0</c:v>
                </c:pt>
                <c:pt idx="61">
                  <c:v>2006.0</c:v>
                </c:pt>
                <c:pt idx="62">
                  <c:v>2007.0</c:v>
                </c:pt>
                <c:pt idx="63">
                  <c:v>2008.0</c:v>
                </c:pt>
                <c:pt idx="64">
                  <c:v>2009.0</c:v>
                </c:pt>
                <c:pt idx="65">
                  <c:v>2010.0</c:v>
                </c:pt>
                <c:pt idx="66">
                  <c:v>2011.0</c:v>
                </c:pt>
                <c:pt idx="67">
                  <c:v>2012.0</c:v>
                </c:pt>
                <c:pt idx="68">
                  <c:v>2013.0</c:v>
                </c:pt>
              </c:numCache>
            </c:numRef>
          </c:cat>
          <c:val>
            <c:numRef>
              <c:f>'DataFig8-9'!$E$21:$E$89</c:f>
              <c:numCache>
                <c:formatCode>0%</c:formatCode>
                <c:ptCount val="69"/>
                <c:pt idx="0">
                  <c:v>0.101787487586892</c:v>
                </c:pt>
                <c:pt idx="1">
                  <c:v>0.0903225806451613</c:v>
                </c:pt>
                <c:pt idx="2">
                  <c:v>0.110502283105023</c:v>
                </c:pt>
                <c:pt idx="3">
                  <c:v>0.128110975112199</c:v>
                </c:pt>
                <c:pt idx="4">
                  <c:v>0.12125</c:v>
                </c:pt>
                <c:pt idx="5">
                  <c:v>0.135205992509363</c:v>
                </c:pt>
                <c:pt idx="6">
                  <c:v>0.133766233766234</c:v>
                </c:pt>
                <c:pt idx="7">
                  <c:v>0.121592649310873</c:v>
                </c:pt>
                <c:pt idx="8">
                  <c:v>0.117015098722416</c:v>
                </c:pt>
                <c:pt idx="9">
                  <c:v>0.114692218350755</c:v>
                </c:pt>
                <c:pt idx="10">
                  <c:v>0.132944915254237</c:v>
                </c:pt>
                <c:pt idx="11">
                  <c:v>0.123721626340733</c:v>
                </c:pt>
                <c:pt idx="12">
                  <c:v>0.117072007629948</c:v>
                </c:pt>
                <c:pt idx="13">
                  <c:v>0.104127134724858</c:v>
                </c:pt>
                <c:pt idx="14">
                  <c:v>0.120757180156658</c:v>
                </c:pt>
                <c:pt idx="15">
                  <c:v>0.113982079599917</c:v>
                </c:pt>
                <c:pt idx="16">
                  <c:v>0.112429605792438</c:v>
                </c:pt>
                <c:pt idx="17">
                  <c:v>0.119581464872945</c:v>
                </c:pt>
                <c:pt idx="18">
                  <c:v>0.124426403106248</c:v>
                </c:pt>
                <c:pt idx="19">
                  <c:v>0.127733026467204</c:v>
                </c:pt>
                <c:pt idx="20">
                  <c:v>0.13524155686809</c:v>
                </c:pt>
                <c:pt idx="21">
                  <c:v>0.133527858830068</c:v>
                </c:pt>
                <c:pt idx="22">
                  <c:v>0.123520126282557</c:v>
                </c:pt>
                <c:pt idx="23">
                  <c:v>0.122220886912631</c:v>
                </c:pt>
                <c:pt idx="24">
                  <c:v>0.109394107837688</c:v>
                </c:pt>
                <c:pt idx="25">
                  <c:v>0.0916923731517923</c:v>
                </c:pt>
                <c:pt idx="26">
                  <c:v>0.0989183874139626</c:v>
                </c:pt>
                <c:pt idx="27">
                  <c:v>0.104363312555654</c:v>
                </c:pt>
                <c:pt idx="28">
                  <c:v>0.10612569610183</c:v>
                </c:pt>
                <c:pt idx="29">
                  <c:v>0.0930559668344684</c:v>
                </c:pt>
                <c:pt idx="30">
                  <c:v>0.0957204879057267</c:v>
                </c:pt>
                <c:pt idx="31">
                  <c:v>0.107939063661135</c:v>
                </c:pt>
                <c:pt idx="32">
                  <c:v>0.114415967087341</c:v>
                </c:pt>
                <c:pt idx="33">
                  <c:v>0.117542736095374</c:v>
                </c:pt>
                <c:pt idx="34">
                  <c:v>0.110755270883373</c:v>
                </c:pt>
                <c:pt idx="35">
                  <c:v>0.0921377946266688</c:v>
                </c:pt>
                <c:pt idx="36">
                  <c:v>0.0909224495793688</c:v>
                </c:pt>
                <c:pt idx="37" formatCode="0.0%">
                  <c:v>0.0809393043233347</c:v>
                </c:pt>
                <c:pt idx="38" formatCode="0.0%">
                  <c:v>0.0914229701029243</c:v>
                </c:pt>
                <c:pt idx="39" formatCode="0.0%">
                  <c:v>0.0981126596980255</c:v>
                </c:pt>
                <c:pt idx="40" formatCode="0.0%">
                  <c:v>0.0962217034905814</c:v>
                </c:pt>
                <c:pt idx="41" formatCode="0.0%">
                  <c:v>0.0842991528506834</c:v>
                </c:pt>
                <c:pt idx="42" formatCode="0.0%">
                  <c:v>0.0888522043115168</c:v>
                </c:pt>
                <c:pt idx="43" formatCode="0.0%">
                  <c:v>0.0923354252904259</c:v>
                </c:pt>
                <c:pt idx="44" formatCode="0.0%">
                  <c:v>0.0866128560076952</c:v>
                </c:pt>
                <c:pt idx="45">
                  <c:v>0.0828418816147415</c:v>
                </c:pt>
                <c:pt idx="46">
                  <c:v>0.087021075567382</c:v>
                </c:pt>
                <c:pt idx="47">
                  <c:v>0.086422895794316</c:v>
                </c:pt>
                <c:pt idx="48">
                  <c:v>0.0907068881629248</c:v>
                </c:pt>
                <c:pt idx="49">
                  <c:v>0.101283345819354</c:v>
                </c:pt>
                <c:pt idx="50">
                  <c:v>0.108496025927927</c:v>
                </c:pt>
                <c:pt idx="51">
                  <c:v>0.113937443835696</c:v>
                </c:pt>
                <c:pt idx="52">
                  <c:v>0.117310714866403</c:v>
                </c:pt>
                <c:pt idx="53">
                  <c:v>0.102337953240935</c:v>
                </c:pt>
                <c:pt idx="54">
                  <c:v>0.0997309115371678</c:v>
                </c:pt>
                <c:pt idx="55">
                  <c:v>0.0877062984169754</c:v>
                </c:pt>
                <c:pt idx="56">
                  <c:v>0.0820939398558456</c:v>
                </c:pt>
                <c:pt idx="57">
                  <c:v>0.0961342828077314</c:v>
                </c:pt>
                <c:pt idx="58" formatCode="0.0%">
                  <c:v>0.107094341152856</c:v>
                </c:pt>
                <c:pt idx="59" formatCode="0.0%">
                  <c:v>0.121744822548359</c:v>
                </c:pt>
                <c:pt idx="60" formatCode="0.0%">
                  <c:v>0.131470310859624</c:v>
                </c:pt>
                <c:pt idx="61" formatCode="0.0%">
                  <c:v>0.137153471944556</c:v>
                </c:pt>
                <c:pt idx="62" formatCode="0.0%">
                  <c:v>0.124093041375168</c:v>
                </c:pt>
                <c:pt idx="63" formatCode="0.0%">
                  <c:v>0.103405268832778</c:v>
                </c:pt>
                <c:pt idx="64" formatCode="0.0%">
                  <c:v>0.115206043163094</c:v>
                </c:pt>
                <c:pt idx="65" formatCode="0.0%">
                  <c:v>0.137085442913772</c:v>
                </c:pt>
                <c:pt idx="66" formatCode="0.0%">
                  <c:v>0.136051466788493</c:v>
                </c:pt>
                <c:pt idx="67" formatCode="0.0%">
                  <c:v>0.143771989054337</c:v>
                </c:pt>
                <c:pt idx="68" formatCode="0.0%">
                  <c:v>0.144534921212038</c:v>
                </c:pt>
              </c:numCache>
            </c:numRef>
          </c:val>
          <c:smooth val="0"/>
        </c:ser>
        <c:dLbls>
          <c:showLegendKey val="0"/>
          <c:showVal val="0"/>
          <c:showCatName val="0"/>
          <c:showSerName val="0"/>
          <c:showPercent val="0"/>
          <c:showBubbleSize val="0"/>
        </c:dLbls>
        <c:marker val="1"/>
        <c:smooth val="0"/>
        <c:axId val="2095598920"/>
        <c:axId val="2095601928"/>
      </c:lineChart>
      <c:catAx>
        <c:axId val="2095598920"/>
        <c:scaling>
          <c:orientation val="minMax"/>
        </c:scaling>
        <c:delete val="0"/>
        <c:axPos val="b"/>
        <c:numFmt formatCode="General" sourceLinked="1"/>
        <c:majorTickMark val="out"/>
        <c:minorTickMark val="none"/>
        <c:tickLblPos val="nextTo"/>
        <c:crossAx val="2095601928"/>
        <c:crosses val="autoZero"/>
        <c:auto val="1"/>
        <c:lblAlgn val="ctr"/>
        <c:lblOffset val="100"/>
        <c:noMultiLvlLbl val="0"/>
      </c:catAx>
      <c:valAx>
        <c:axId val="2095601928"/>
        <c:scaling>
          <c:orientation val="minMax"/>
          <c:min val="0.08"/>
        </c:scaling>
        <c:delete val="0"/>
        <c:axPos val="l"/>
        <c:majorGridlines/>
        <c:numFmt formatCode="0%" sourceLinked="1"/>
        <c:majorTickMark val="out"/>
        <c:minorTickMark val="none"/>
        <c:tickLblPos val="nextTo"/>
        <c:crossAx val="2095598920"/>
        <c:crosses val="autoZero"/>
        <c:crossBetween val="between"/>
      </c:valAx>
    </c:plotArea>
    <c:legend>
      <c:legendPos val="r"/>
      <c:layout>
        <c:manualLayout>
          <c:xMode val="edge"/>
          <c:yMode val="edge"/>
          <c:x val="0.404481408573928"/>
          <c:y val="0.209338363954506"/>
          <c:w val="0.317678169764152"/>
          <c:h val="0.148334735563175"/>
        </c:manualLayout>
      </c:layout>
      <c:overlay val="0"/>
    </c:legend>
    <c:plotVisOnly val="1"/>
    <c:dispBlanksAs val="gap"/>
    <c:showDLblsOverMax val="0"/>
  </c:chart>
  <c:printSettings>
    <c:headerFooter/>
    <c:pageMargins b="1.0" l="0.75" r="0.75" t="1.0"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108535264072093"/>
          <c:y val="0.19920117333706"/>
          <c:w val="0.858553345312106"/>
          <c:h val="0.665700779722024"/>
        </c:manualLayout>
      </c:layout>
      <c:lineChart>
        <c:grouping val="standard"/>
        <c:varyColors val="0"/>
        <c:ser>
          <c:idx val="0"/>
          <c:order val="0"/>
          <c:tx>
            <c:strRef>
              <c:f>'DataFig8-9'!$AI$3</c:f>
              <c:strCache>
                <c:ptCount val="1"/>
                <c:pt idx="0">
                  <c:v>(corporate tax excluding fed profits % of national income)</c:v>
                </c:pt>
              </c:strCache>
            </c:strRef>
          </c:tx>
          <c:marker>
            <c:symbol val="none"/>
          </c:marker>
          <c:cat>
            <c:numRef>
              <c:f>'DataFig8-9'!$B$26:$B$89</c:f>
              <c:numCache>
                <c:formatCode>General</c:formatCode>
                <c:ptCount val="64"/>
                <c:pt idx="0">
                  <c:v>1950.0</c:v>
                </c:pt>
                <c:pt idx="1">
                  <c:v>1951.0</c:v>
                </c:pt>
                <c:pt idx="2">
                  <c:v>1952.0</c:v>
                </c:pt>
                <c:pt idx="3">
                  <c:v>1953.0</c:v>
                </c:pt>
                <c:pt idx="4">
                  <c:v>1954.0</c:v>
                </c:pt>
                <c:pt idx="5">
                  <c:v>1955.0</c:v>
                </c:pt>
                <c:pt idx="6">
                  <c:v>1956.0</c:v>
                </c:pt>
                <c:pt idx="7">
                  <c:v>1957.0</c:v>
                </c:pt>
                <c:pt idx="8">
                  <c:v>1958.0</c:v>
                </c:pt>
                <c:pt idx="9">
                  <c:v>1959.0</c:v>
                </c:pt>
                <c:pt idx="10">
                  <c:v>1960.0</c:v>
                </c:pt>
                <c:pt idx="11">
                  <c:v>1961.0</c:v>
                </c:pt>
                <c:pt idx="12">
                  <c:v>1962.0</c:v>
                </c:pt>
                <c:pt idx="13">
                  <c:v>1963.0</c:v>
                </c:pt>
                <c:pt idx="14">
                  <c:v>1964.0</c:v>
                </c:pt>
                <c:pt idx="15">
                  <c:v>1965.0</c:v>
                </c:pt>
                <c:pt idx="16">
                  <c:v>1966.0</c:v>
                </c:pt>
                <c:pt idx="17">
                  <c:v>1967.0</c:v>
                </c:pt>
                <c:pt idx="18">
                  <c:v>1968.0</c:v>
                </c:pt>
                <c:pt idx="19">
                  <c:v>1969.0</c:v>
                </c:pt>
                <c:pt idx="20">
                  <c:v>1970.0</c:v>
                </c:pt>
                <c:pt idx="21">
                  <c:v>1971.0</c:v>
                </c:pt>
                <c:pt idx="22">
                  <c:v>1972.0</c:v>
                </c:pt>
                <c:pt idx="23">
                  <c:v>1973.0</c:v>
                </c:pt>
                <c:pt idx="24">
                  <c:v>1974.0</c:v>
                </c:pt>
                <c:pt idx="25">
                  <c:v>1975.0</c:v>
                </c:pt>
                <c:pt idx="26">
                  <c:v>1976.0</c:v>
                </c:pt>
                <c:pt idx="27">
                  <c:v>1977.0</c:v>
                </c:pt>
                <c:pt idx="28">
                  <c:v>1978.0</c:v>
                </c:pt>
                <c:pt idx="29">
                  <c:v>1979.0</c:v>
                </c:pt>
                <c:pt idx="30">
                  <c:v>1980.0</c:v>
                </c:pt>
                <c:pt idx="31">
                  <c:v>1981.0</c:v>
                </c:pt>
                <c:pt idx="32">
                  <c:v>1982.0</c:v>
                </c:pt>
                <c:pt idx="33">
                  <c:v>1983.0</c:v>
                </c:pt>
                <c:pt idx="34">
                  <c:v>1984.0</c:v>
                </c:pt>
                <c:pt idx="35">
                  <c:v>1985.0</c:v>
                </c:pt>
                <c:pt idx="36">
                  <c:v>1986.0</c:v>
                </c:pt>
                <c:pt idx="37">
                  <c:v>1987.0</c:v>
                </c:pt>
                <c:pt idx="38">
                  <c:v>1988.0</c:v>
                </c:pt>
                <c:pt idx="39">
                  <c:v>1989.0</c:v>
                </c:pt>
                <c:pt idx="40">
                  <c:v>1990.0</c:v>
                </c:pt>
                <c:pt idx="41">
                  <c:v>1991.0</c:v>
                </c:pt>
                <c:pt idx="42">
                  <c:v>1992.0</c:v>
                </c:pt>
                <c:pt idx="43">
                  <c:v>1993.0</c:v>
                </c:pt>
                <c:pt idx="44">
                  <c:v>1994.0</c:v>
                </c:pt>
                <c:pt idx="45">
                  <c:v>1995.0</c:v>
                </c:pt>
                <c:pt idx="46">
                  <c:v>1996.0</c:v>
                </c:pt>
                <c:pt idx="47">
                  <c:v>1997.0</c:v>
                </c:pt>
                <c:pt idx="48">
                  <c:v>1998.0</c:v>
                </c:pt>
                <c:pt idx="49">
                  <c:v>1999.0</c:v>
                </c:pt>
                <c:pt idx="50">
                  <c:v>2000.0</c:v>
                </c:pt>
                <c:pt idx="51">
                  <c:v>2001.0</c:v>
                </c:pt>
                <c:pt idx="52">
                  <c:v>2002.0</c:v>
                </c:pt>
                <c:pt idx="53">
                  <c:v>2003.0</c:v>
                </c:pt>
                <c:pt idx="54">
                  <c:v>2004.0</c:v>
                </c:pt>
                <c:pt idx="55">
                  <c:v>2005.0</c:v>
                </c:pt>
                <c:pt idx="56">
                  <c:v>2006.0</c:v>
                </c:pt>
                <c:pt idx="57">
                  <c:v>2007.0</c:v>
                </c:pt>
                <c:pt idx="58">
                  <c:v>2008.0</c:v>
                </c:pt>
                <c:pt idx="59">
                  <c:v>2009.0</c:v>
                </c:pt>
                <c:pt idx="60">
                  <c:v>2010.0</c:v>
                </c:pt>
                <c:pt idx="61">
                  <c:v>2011.0</c:v>
                </c:pt>
                <c:pt idx="62">
                  <c:v>2012.0</c:v>
                </c:pt>
                <c:pt idx="63">
                  <c:v>2013.0</c:v>
                </c:pt>
              </c:numCache>
            </c:numRef>
          </c:cat>
          <c:val>
            <c:numRef>
              <c:f>'DataFig8-9'!$AI$26:$AI$89</c:f>
              <c:numCache>
                <c:formatCode>0.0%</c:formatCode>
                <c:ptCount val="64"/>
                <c:pt idx="0">
                  <c:v>0.0662921348314607</c:v>
                </c:pt>
                <c:pt idx="1">
                  <c:v>0.0724025974025974</c:v>
                </c:pt>
                <c:pt idx="2">
                  <c:v>0.0584992343032159</c:v>
                </c:pt>
                <c:pt idx="3">
                  <c:v>0.0580720092915215</c:v>
                </c:pt>
                <c:pt idx="4">
                  <c:v>0.0502322880371661</c:v>
                </c:pt>
                <c:pt idx="5">
                  <c:v>0.057468220338983</c:v>
                </c:pt>
                <c:pt idx="6">
                  <c:v>0.0538787727612871</c:v>
                </c:pt>
                <c:pt idx="7">
                  <c:v>0.0498330948974726</c:v>
                </c:pt>
                <c:pt idx="8">
                  <c:v>0.0438804554079696</c:v>
                </c:pt>
                <c:pt idx="9">
                  <c:v>0.0496083550913838</c:v>
                </c:pt>
                <c:pt idx="10">
                  <c:v>0.0456345071889977</c:v>
                </c:pt>
                <c:pt idx="11">
                  <c:v>0.0446500402252615</c:v>
                </c:pt>
                <c:pt idx="12">
                  <c:v>0.0435351270553064</c:v>
                </c:pt>
                <c:pt idx="13">
                  <c:v>0.0450052947405577</c:v>
                </c:pt>
                <c:pt idx="14">
                  <c:v>0.0437284234752589</c:v>
                </c:pt>
                <c:pt idx="15">
                  <c:v>0.0451310010601242</c:v>
                </c:pt>
                <c:pt idx="16">
                  <c:v>0.0448798110323746</c:v>
                </c:pt>
                <c:pt idx="17">
                  <c:v>0.040778742436201</c:v>
                </c:pt>
                <c:pt idx="18">
                  <c:v>0.0445859872611465</c:v>
                </c:pt>
                <c:pt idx="19">
                  <c:v>0.0411339633129516</c:v>
                </c:pt>
                <c:pt idx="20">
                  <c:v>0.033294330390384</c:v>
                </c:pt>
                <c:pt idx="21">
                  <c:v>0.0342182890855457</c:v>
                </c:pt>
                <c:pt idx="22">
                  <c:v>0.0348174532502226</c:v>
                </c:pt>
                <c:pt idx="23">
                  <c:v>0.0363564041368337</c:v>
                </c:pt>
                <c:pt idx="24">
                  <c:v>0.0349422564406278</c:v>
                </c:pt>
                <c:pt idx="25">
                  <c:v>0.0318379160636758</c:v>
                </c:pt>
                <c:pt idx="26">
                  <c:v>0.0367847411444142</c:v>
                </c:pt>
                <c:pt idx="27">
                  <c:v>0.0380830599877689</c:v>
                </c:pt>
                <c:pt idx="28">
                  <c:v>0.0383762746933346</c:v>
                </c:pt>
                <c:pt idx="29">
                  <c:v>0.0358953829730451</c:v>
                </c:pt>
                <c:pt idx="30">
                  <c:v>0.0311109279709906</c:v>
                </c:pt>
                <c:pt idx="31">
                  <c:v>0.0258256493148672</c:v>
                </c:pt>
                <c:pt idx="32">
                  <c:v>0.0180608365019011</c:v>
                </c:pt>
                <c:pt idx="33">
                  <c:v>0.0216958013396504</c:v>
                </c:pt>
                <c:pt idx="34">
                  <c:v>0.0236353077816492</c:v>
                </c:pt>
                <c:pt idx="35">
                  <c:v>0.0221486347103849</c:v>
                </c:pt>
                <c:pt idx="36">
                  <c:v>0.0238812951509797</c:v>
                </c:pt>
                <c:pt idx="37">
                  <c:v>0.0273596814915518</c:v>
                </c:pt>
                <c:pt idx="38">
                  <c:v>0.0276405394578715</c:v>
                </c:pt>
                <c:pt idx="39">
                  <c:v>0.0260340429091213</c:v>
                </c:pt>
                <c:pt idx="40">
                  <c:v>0.0241853815452433</c:v>
                </c:pt>
                <c:pt idx="41">
                  <c:v>0.0227145639305065</c:v>
                </c:pt>
                <c:pt idx="42">
                  <c:v>0.0239831263523465</c:v>
                </c:pt>
                <c:pt idx="43">
                  <c:v>0.0269340376728991</c:v>
                </c:pt>
                <c:pt idx="44">
                  <c:v>0.0281098335559102</c:v>
                </c:pt>
                <c:pt idx="45">
                  <c:v>0.0300023149934408</c:v>
                </c:pt>
                <c:pt idx="46">
                  <c:v>0.0306403455372931</c:v>
                </c:pt>
                <c:pt idx="47">
                  <c:v>0.0304455043087096</c:v>
                </c:pt>
                <c:pt idx="48">
                  <c:v>0.0282285263385641</c:v>
                </c:pt>
                <c:pt idx="49">
                  <c:v>0.0280380567968863</c:v>
                </c:pt>
                <c:pt idx="50">
                  <c:v>0.0269226451105872</c:v>
                </c:pt>
                <c:pt idx="51">
                  <c:v>0.0191842867408488</c:v>
                </c:pt>
                <c:pt idx="52">
                  <c:v>0.0177814513394371</c:v>
                </c:pt>
                <c:pt idx="53">
                  <c:v>0.0224853510674966</c:v>
                </c:pt>
                <c:pt idx="54">
                  <c:v>0.0273221451678699</c:v>
                </c:pt>
                <c:pt idx="55">
                  <c:v>0.0347781989003363</c:v>
                </c:pt>
                <c:pt idx="56">
                  <c:v>0.0370101959216313</c:v>
                </c:pt>
                <c:pt idx="57">
                  <c:v>0.0333484831269174</c:v>
                </c:pt>
                <c:pt idx="58">
                  <c:v>0.0223209256666506</c:v>
                </c:pt>
                <c:pt idx="59">
                  <c:v>0.018307617453262</c:v>
                </c:pt>
                <c:pt idx="60">
                  <c:v>0.022865889556105</c:v>
                </c:pt>
                <c:pt idx="61">
                  <c:v>0.0227451450311931</c:v>
                </c:pt>
                <c:pt idx="62">
                  <c:v>0.0260421479085966</c:v>
                </c:pt>
                <c:pt idx="63">
                  <c:v>0.0272070576452106</c:v>
                </c:pt>
              </c:numCache>
            </c:numRef>
          </c:val>
          <c:smooth val="0"/>
        </c:ser>
        <c:dLbls>
          <c:showLegendKey val="0"/>
          <c:showVal val="0"/>
          <c:showCatName val="0"/>
          <c:showSerName val="0"/>
          <c:showPercent val="0"/>
          <c:showBubbleSize val="0"/>
        </c:dLbls>
        <c:marker val="1"/>
        <c:smooth val="0"/>
        <c:axId val="2095631320"/>
        <c:axId val="2095634328"/>
      </c:lineChart>
      <c:catAx>
        <c:axId val="2095631320"/>
        <c:scaling>
          <c:orientation val="minMax"/>
        </c:scaling>
        <c:delete val="0"/>
        <c:axPos val="b"/>
        <c:numFmt formatCode="General" sourceLinked="1"/>
        <c:majorTickMark val="out"/>
        <c:minorTickMark val="none"/>
        <c:tickLblPos val="nextTo"/>
        <c:crossAx val="2095634328"/>
        <c:crosses val="autoZero"/>
        <c:auto val="1"/>
        <c:lblAlgn val="ctr"/>
        <c:lblOffset val="100"/>
        <c:noMultiLvlLbl val="0"/>
      </c:catAx>
      <c:valAx>
        <c:axId val="2095634328"/>
        <c:scaling>
          <c:orientation val="minMax"/>
        </c:scaling>
        <c:delete val="0"/>
        <c:axPos val="l"/>
        <c:majorGridlines/>
        <c:numFmt formatCode="0.0%" sourceLinked="1"/>
        <c:majorTickMark val="out"/>
        <c:minorTickMark val="none"/>
        <c:tickLblPos val="nextTo"/>
        <c:crossAx val="2095631320"/>
        <c:crosses val="autoZero"/>
        <c:crossBetween val="between"/>
      </c:valAx>
    </c:plotArea>
    <c:legend>
      <c:legendPos val="r"/>
      <c:layout>
        <c:manualLayout>
          <c:xMode val="edge"/>
          <c:yMode val="edge"/>
          <c:x val="0.349163306437028"/>
          <c:y val="0.237116141732283"/>
          <c:w val="0.307064550815337"/>
          <c:h val="0.125009180465927"/>
        </c:manualLayout>
      </c:layout>
      <c:overlay val="0"/>
    </c:legend>
    <c:plotVisOnly val="1"/>
    <c:dispBlanksAs val="gap"/>
    <c:showDLblsOverMax val="0"/>
  </c:chart>
  <c:printSettings>
    <c:headerFooter/>
    <c:pageMargins b="1.0" l="0.75" r="0.75" t="1.0"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0900500317861671"/>
          <c:y val="0.168217930407064"/>
          <c:w val="0.871902063533882"/>
          <c:h val="0.701388773910535"/>
        </c:manualLayout>
      </c:layout>
      <c:lineChart>
        <c:grouping val="standard"/>
        <c:varyColors val="0"/>
        <c:ser>
          <c:idx val="0"/>
          <c:order val="0"/>
          <c:tx>
            <c:strRef>
              <c:f>'DataFig8-9'!$J$3</c:f>
              <c:strCache>
                <c:ptCount val="1"/>
                <c:pt idx="0">
                  <c:v>(net foreign profits % of national income)</c:v>
                </c:pt>
              </c:strCache>
            </c:strRef>
          </c:tx>
          <c:marker>
            <c:symbol val="none"/>
          </c:marker>
          <c:cat>
            <c:numRef>
              <c:f>'DataFig8-9'!$B$26:$B$89</c:f>
              <c:numCache>
                <c:formatCode>General</c:formatCode>
                <c:ptCount val="64"/>
                <c:pt idx="0">
                  <c:v>1950.0</c:v>
                </c:pt>
                <c:pt idx="1">
                  <c:v>1951.0</c:v>
                </c:pt>
                <c:pt idx="2">
                  <c:v>1952.0</c:v>
                </c:pt>
                <c:pt idx="3">
                  <c:v>1953.0</c:v>
                </c:pt>
                <c:pt idx="4">
                  <c:v>1954.0</c:v>
                </c:pt>
                <c:pt idx="5">
                  <c:v>1955.0</c:v>
                </c:pt>
                <c:pt idx="6">
                  <c:v>1956.0</c:v>
                </c:pt>
                <c:pt idx="7">
                  <c:v>1957.0</c:v>
                </c:pt>
                <c:pt idx="8">
                  <c:v>1958.0</c:v>
                </c:pt>
                <c:pt idx="9">
                  <c:v>1959.0</c:v>
                </c:pt>
                <c:pt idx="10">
                  <c:v>1960.0</c:v>
                </c:pt>
                <c:pt idx="11">
                  <c:v>1961.0</c:v>
                </c:pt>
                <c:pt idx="12">
                  <c:v>1962.0</c:v>
                </c:pt>
                <c:pt idx="13">
                  <c:v>1963.0</c:v>
                </c:pt>
                <c:pt idx="14">
                  <c:v>1964.0</c:v>
                </c:pt>
                <c:pt idx="15">
                  <c:v>1965.0</c:v>
                </c:pt>
                <c:pt idx="16">
                  <c:v>1966.0</c:v>
                </c:pt>
                <c:pt idx="17">
                  <c:v>1967.0</c:v>
                </c:pt>
                <c:pt idx="18">
                  <c:v>1968.0</c:v>
                </c:pt>
                <c:pt idx="19">
                  <c:v>1969.0</c:v>
                </c:pt>
                <c:pt idx="20">
                  <c:v>1970.0</c:v>
                </c:pt>
                <c:pt idx="21">
                  <c:v>1971.0</c:v>
                </c:pt>
                <c:pt idx="22">
                  <c:v>1972.0</c:v>
                </c:pt>
                <c:pt idx="23">
                  <c:v>1973.0</c:v>
                </c:pt>
                <c:pt idx="24">
                  <c:v>1974.0</c:v>
                </c:pt>
                <c:pt idx="25">
                  <c:v>1975.0</c:v>
                </c:pt>
                <c:pt idx="26">
                  <c:v>1976.0</c:v>
                </c:pt>
                <c:pt idx="27">
                  <c:v>1977.0</c:v>
                </c:pt>
                <c:pt idx="28">
                  <c:v>1978.0</c:v>
                </c:pt>
                <c:pt idx="29">
                  <c:v>1979.0</c:v>
                </c:pt>
                <c:pt idx="30">
                  <c:v>1980.0</c:v>
                </c:pt>
                <c:pt idx="31">
                  <c:v>1981.0</c:v>
                </c:pt>
                <c:pt idx="32">
                  <c:v>1982.0</c:v>
                </c:pt>
                <c:pt idx="33">
                  <c:v>1983.0</c:v>
                </c:pt>
                <c:pt idx="34">
                  <c:v>1984.0</c:v>
                </c:pt>
                <c:pt idx="35">
                  <c:v>1985.0</c:v>
                </c:pt>
                <c:pt idx="36">
                  <c:v>1986.0</c:v>
                </c:pt>
                <c:pt idx="37">
                  <c:v>1987.0</c:v>
                </c:pt>
                <c:pt idx="38">
                  <c:v>1988.0</c:v>
                </c:pt>
                <c:pt idx="39">
                  <c:v>1989.0</c:v>
                </c:pt>
                <c:pt idx="40">
                  <c:v>1990.0</c:v>
                </c:pt>
                <c:pt idx="41">
                  <c:v>1991.0</c:v>
                </c:pt>
                <c:pt idx="42">
                  <c:v>1992.0</c:v>
                </c:pt>
                <c:pt idx="43">
                  <c:v>1993.0</c:v>
                </c:pt>
                <c:pt idx="44">
                  <c:v>1994.0</c:v>
                </c:pt>
                <c:pt idx="45">
                  <c:v>1995.0</c:v>
                </c:pt>
                <c:pt idx="46">
                  <c:v>1996.0</c:v>
                </c:pt>
                <c:pt idx="47">
                  <c:v>1997.0</c:v>
                </c:pt>
                <c:pt idx="48">
                  <c:v>1998.0</c:v>
                </c:pt>
                <c:pt idx="49">
                  <c:v>1999.0</c:v>
                </c:pt>
                <c:pt idx="50">
                  <c:v>2000.0</c:v>
                </c:pt>
                <c:pt idx="51">
                  <c:v>2001.0</c:v>
                </c:pt>
                <c:pt idx="52">
                  <c:v>2002.0</c:v>
                </c:pt>
                <c:pt idx="53">
                  <c:v>2003.0</c:v>
                </c:pt>
                <c:pt idx="54">
                  <c:v>2004.0</c:v>
                </c:pt>
                <c:pt idx="55">
                  <c:v>2005.0</c:v>
                </c:pt>
                <c:pt idx="56">
                  <c:v>2006.0</c:v>
                </c:pt>
                <c:pt idx="57">
                  <c:v>2007.0</c:v>
                </c:pt>
                <c:pt idx="58">
                  <c:v>2008.0</c:v>
                </c:pt>
                <c:pt idx="59">
                  <c:v>2009.0</c:v>
                </c:pt>
                <c:pt idx="60">
                  <c:v>2010.0</c:v>
                </c:pt>
                <c:pt idx="61">
                  <c:v>2011.0</c:v>
                </c:pt>
                <c:pt idx="62">
                  <c:v>2012.0</c:v>
                </c:pt>
                <c:pt idx="63">
                  <c:v>2013.0</c:v>
                </c:pt>
              </c:numCache>
            </c:numRef>
          </c:cat>
          <c:val>
            <c:numRef>
              <c:f>'DataFig8-9'!$J$26:$J$89</c:f>
              <c:numCache>
                <c:formatCode>0.0%</c:formatCode>
                <c:ptCount val="64"/>
                <c:pt idx="0">
                  <c:v>0.0048689138576779</c:v>
                </c:pt>
                <c:pt idx="1">
                  <c:v>0.00551948051948052</c:v>
                </c:pt>
                <c:pt idx="2">
                  <c:v>0.00581929555895865</c:v>
                </c:pt>
                <c:pt idx="3">
                  <c:v>0.00522648083623693</c:v>
                </c:pt>
                <c:pt idx="4">
                  <c:v>0.00580720092915215</c:v>
                </c:pt>
                <c:pt idx="5">
                  <c:v>0.00635593220338983</c:v>
                </c:pt>
                <c:pt idx="6">
                  <c:v>0.00698428535794462</c:v>
                </c:pt>
                <c:pt idx="7">
                  <c:v>0.00739151168335718</c:v>
                </c:pt>
                <c:pt idx="8">
                  <c:v>0.00592979127134725</c:v>
                </c:pt>
                <c:pt idx="9">
                  <c:v>0.00587467362924282</c:v>
                </c:pt>
                <c:pt idx="10">
                  <c:v>0.00645967909981246</c:v>
                </c:pt>
                <c:pt idx="11">
                  <c:v>0.00663716814159292</c:v>
                </c:pt>
                <c:pt idx="12">
                  <c:v>0.00710014947683109</c:v>
                </c:pt>
                <c:pt idx="13">
                  <c:v>0.00723614542887398</c:v>
                </c:pt>
                <c:pt idx="14">
                  <c:v>0.00739766562551373</c:v>
                </c:pt>
                <c:pt idx="15">
                  <c:v>0.00711797667726791</c:v>
                </c:pt>
                <c:pt idx="16">
                  <c:v>0.00625260525218841</c:v>
                </c:pt>
                <c:pt idx="17">
                  <c:v>0.00631412786108918</c:v>
                </c:pt>
                <c:pt idx="18">
                  <c:v>0.00672996034130513</c:v>
                </c:pt>
                <c:pt idx="19">
                  <c:v>0.00733740967204002</c:v>
                </c:pt>
                <c:pt idx="20">
                  <c:v>0.00755238804382512</c:v>
                </c:pt>
                <c:pt idx="21">
                  <c:v>0.00776794493608653</c:v>
                </c:pt>
                <c:pt idx="22">
                  <c:v>0.00845948352626892</c:v>
                </c:pt>
                <c:pt idx="23">
                  <c:v>0.0118536197295147</c:v>
                </c:pt>
                <c:pt idx="24">
                  <c:v>0.0129552857565887</c:v>
                </c:pt>
                <c:pt idx="25">
                  <c:v>0.0100613327820274</c:v>
                </c:pt>
                <c:pt idx="26">
                  <c:v>0.0102179836512262</c:v>
                </c:pt>
                <c:pt idx="27">
                  <c:v>0.0106187802301662</c:v>
                </c:pt>
                <c:pt idx="28">
                  <c:v>0.0112813439085669</c:v>
                </c:pt>
                <c:pt idx="29">
                  <c:v>0.0153900898496575</c:v>
                </c:pt>
                <c:pt idx="30">
                  <c:v>0.0146283171254327</c:v>
                </c:pt>
                <c:pt idx="31">
                  <c:v>0.0109106939495243</c:v>
                </c:pt>
                <c:pt idx="32">
                  <c:v>0.011477256724405</c:v>
                </c:pt>
                <c:pt idx="33">
                  <c:v>0.0114687142623754</c:v>
                </c:pt>
                <c:pt idx="34">
                  <c:v>0.0106271777003484</c:v>
                </c:pt>
                <c:pt idx="35">
                  <c:v>0.0103414581184518</c:v>
                </c:pt>
                <c:pt idx="36">
                  <c:v>0.010264539265111</c:v>
                </c:pt>
                <c:pt idx="37">
                  <c:v>0.0116527481064284</c:v>
                </c:pt>
                <c:pt idx="38">
                  <c:v>0.0126852717318734</c:v>
                </c:pt>
                <c:pt idx="39">
                  <c:v>0.0140311990297353</c:v>
                </c:pt>
                <c:pt idx="40">
                  <c:v>0.0151108993070034</c:v>
                </c:pt>
                <c:pt idx="41">
                  <c:v>0.0147509689361948</c:v>
                </c:pt>
                <c:pt idx="42">
                  <c:v>0.0132916340891321</c:v>
                </c:pt>
                <c:pt idx="43">
                  <c:v>0.0133627580454577</c:v>
                </c:pt>
                <c:pt idx="44">
                  <c:v>0.0127031692778737</c:v>
                </c:pt>
                <c:pt idx="45">
                  <c:v>0.0143375260436762</c:v>
                </c:pt>
                <c:pt idx="46">
                  <c:v>0.0147838942516741</c:v>
                </c:pt>
                <c:pt idx="47">
                  <c:v>0.0145791556013224</c:v>
                </c:pt>
                <c:pt idx="48">
                  <c:v>0.0130833746961424</c:v>
                </c:pt>
                <c:pt idx="49">
                  <c:v>0.0146557109221085</c:v>
                </c:pt>
                <c:pt idx="50">
                  <c:v>0.0164140563601662</c:v>
                </c:pt>
                <c:pt idx="51">
                  <c:v>0.0185527948958038</c:v>
                </c:pt>
                <c:pt idx="52">
                  <c:v>0.0168277382163445</c:v>
                </c:pt>
                <c:pt idx="53">
                  <c:v>0.0168893574745038</c:v>
                </c:pt>
                <c:pt idx="54">
                  <c:v>0.0194480547201852</c:v>
                </c:pt>
                <c:pt idx="55">
                  <c:v>0.0212726205092617</c:v>
                </c:pt>
                <c:pt idx="56">
                  <c:v>0.0213414634146341</c:v>
                </c:pt>
                <c:pt idx="57">
                  <c:v>0.0286818056389696</c:v>
                </c:pt>
                <c:pt idx="58">
                  <c:v>0.0327250197138673</c:v>
                </c:pt>
                <c:pt idx="59">
                  <c:v>0.0294571214157891</c:v>
                </c:pt>
                <c:pt idx="60">
                  <c:v>0.0310216256524981</c:v>
                </c:pt>
                <c:pt idx="61">
                  <c:v>0.0315975524815949</c:v>
                </c:pt>
                <c:pt idx="62">
                  <c:v>0.0287643484132343</c:v>
                </c:pt>
                <c:pt idx="63">
                  <c:v>0.0278324906874481</c:v>
                </c:pt>
              </c:numCache>
            </c:numRef>
          </c:val>
          <c:smooth val="0"/>
        </c:ser>
        <c:dLbls>
          <c:showLegendKey val="0"/>
          <c:showVal val="0"/>
          <c:showCatName val="0"/>
          <c:showSerName val="0"/>
          <c:showPercent val="0"/>
          <c:showBubbleSize val="0"/>
        </c:dLbls>
        <c:marker val="1"/>
        <c:smooth val="0"/>
        <c:axId val="2095486632"/>
        <c:axId val="2095489640"/>
      </c:lineChart>
      <c:catAx>
        <c:axId val="2095486632"/>
        <c:scaling>
          <c:orientation val="minMax"/>
        </c:scaling>
        <c:delete val="0"/>
        <c:axPos val="b"/>
        <c:numFmt formatCode="General" sourceLinked="1"/>
        <c:majorTickMark val="out"/>
        <c:minorTickMark val="none"/>
        <c:tickLblPos val="nextTo"/>
        <c:crossAx val="2095489640"/>
        <c:crosses val="autoZero"/>
        <c:auto val="1"/>
        <c:lblAlgn val="ctr"/>
        <c:lblOffset val="100"/>
        <c:noMultiLvlLbl val="0"/>
      </c:catAx>
      <c:valAx>
        <c:axId val="2095489640"/>
        <c:scaling>
          <c:orientation val="minMax"/>
        </c:scaling>
        <c:delete val="0"/>
        <c:axPos val="l"/>
        <c:majorGridlines/>
        <c:numFmt formatCode="0.0%" sourceLinked="1"/>
        <c:majorTickMark val="out"/>
        <c:minorTickMark val="none"/>
        <c:tickLblPos val="nextTo"/>
        <c:crossAx val="2095486632"/>
        <c:crosses val="autoZero"/>
        <c:crossBetween val="between"/>
      </c:valAx>
    </c:plotArea>
    <c:legend>
      <c:legendPos val="r"/>
      <c:layout>
        <c:manualLayout>
          <c:xMode val="edge"/>
          <c:yMode val="edge"/>
          <c:x val="0.186996679407191"/>
          <c:y val="0.316351199952827"/>
          <c:w val="0.303199258174876"/>
          <c:h val="0.118659403714028"/>
        </c:manualLayout>
      </c:layout>
      <c:overlay val="0"/>
    </c:legend>
    <c:plotVisOnly val="1"/>
    <c:dispBlanksAs val="gap"/>
    <c:showDLblsOverMax val="0"/>
  </c:chart>
  <c:printSettings>
    <c:headerFooter/>
    <c:pageMargins b="1.0" l="0.75" r="0.75" t="1.0"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0789144080081402"/>
          <c:y val="0.178874193737696"/>
          <c:w val="0.88615821476831"/>
          <c:h val="0.687331522966583"/>
        </c:manualLayout>
      </c:layout>
      <c:lineChart>
        <c:grouping val="standard"/>
        <c:varyColors val="0"/>
        <c:ser>
          <c:idx val="0"/>
          <c:order val="0"/>
          <c:tx>
            <c:strRef>
              <c:f>'DataFig8-9'!$S$3</c:f>
              <c:strCache>
                <c:ptCount val="1"/>
                <c:pt idx="0">
                  <c:v>(misreporting % of BEA profits)</c:v>
                </c:pt>
              </c:strCache>
            </c:strRef>
          </c:tx>
          <c:marker>
            <c:symbol val="none"/>
          </c:marker>
          <c:cat>
            <c:numRef>
              <c:f>'DataFig8-9'!$B$21:$B$89</c:f>
              <c:numCache>
                <c:formatCode>General</c:formatCode>
                <c:ptCount val="69"/>
                <c:pt idx="0">
                  <c:v>1945.0</c:v>
                </c:pt>
                <c:pt idx="1">
                  <c:v>1946.0</c:v>
                </c:pt>
                <c:pt idx="2">
                  <c:v>1947.0</c:v>
                </c:pt>
                <c:pt idx="3">
                  <c:v>1948.0</c:v>
                </c:pt>
                <c:pt idx="4">
                  <c:v>1949.0</c:v>
                </c:pt>
                <c:pt idx="5">
                  <c:v>1950.0</c:v>
                </c:pt>
                <c:pt idx="6">
                  <c:v>1951.0</c:v>
                </c:pt>
                <c:pt idx="7">
                  <c:v>1952.0</c:v>
                </c:pt>
                <c:pt idx="8">
                  <c:v>1953.0</c:v>
                </c:pt>
                <c:pt idx="9">
                  <c:v>1954.0</c:v>
                </c:pt>
                <c:pt idx="10">
                  <c:v>1955.0</c:v>
                </c:pt>
                <c:pt idx="11">
                  <c:v>1956.0</c:v>
                </c:pt>
                <c:pt idx="12">
                  <c:v>1957.0</c:v>
                </c:pt>
                <c:pt idx="13">
                  <c:v>1958.0</c:v>
                </c:pt>
                <c:pt idx="14">
                  <c:v>1959.0</c:v>
                </c:pt>
                <c:pt idx="15">
                  <c:v>1960.0</c:v>
                </c:pt>
                <c:pt idx="16">
                  <c:v>1961.0</c:v>
                </c:pt>
                <c:pt idx="17">
                  <c:v>1962.0</c:v>
                </c:pt>
                <c:pt idx="18">
                  <c:v>1963.0</c:v>
                </c:pt>
                <c:pt idx="19">
                  <c:v>1964.0</c:v>
                </c:pt>
                <c:pt idx="20">
                  <c:v>1965.0</c:v>
                </c:pt>
                <c:pt idx="21">
                  <c:v>1966.0</c:v>
                </c:pt>
                <c:pt idx="22">
                  <c:v>1967.0</c:v>
                </c:pt>
                <c:pt idx="23">
                  <c:v>1968.0</c:v>
                </c:pt>
                <c:pt idx="24">
                  <c:v>1969.0</c:v>
                </c:pt>
                <c:pt idx="25">
                  <c:v>1970.0</c:v>
                </c:pt>
                <c:pt idx="26">
                  <c:v>1971.0</c:v>
                </c:pt>
                <c:pt idx="27">
                  <c:v>1972.0</c:v>
                </c:pt>
                <c:pt idx="28">
                  <c:v>1973.0</c:v>
                </c:pt>
                <c:pt idx="29">
                  <c:v>1974.0</c:v>
                </c:pt>
                <c:pt idx="30">
                  <c:v>1975.0</c:v>
                </c:pt>
                <c:pt idx="31">
                  <c:v>1976.0</c:v>
                </c:pt>
                <c:pt idx="32">
                  <c:v>1977.0</c:v>
                </c:pt>
                <c:pt idx="33">
                  <c:v>1978.0</c:v>
                </c:pt>
                <c:pt idx="34">
                  <c:v>1979.0</c:v>
                </c:pt>
                <c:pt idx="35">
                  <c:v>1980.0</c:v>
                </c:pt>
                <c:pt idx="36">
                  <c:v>1981.0</c:v>
                </c:pt>
                <c:pt idx="37">
                  <c:v>1982.0</c:v>
                </c:pt>
                <c:pt idx="38">
                  <c:v>1983.0</c:v>
                </c:pt>
                <c:pt idx="39">
                  <c:v>1984.0</c:v>
                </c:pt>
                <c:pt idx="40">
                  <c:v>1985.0</c:v>
                </c:pt>
                <c:pt idx="41">
                  <c:v>1986.0</c:v>
                </c:pt>
                <c:pt idx="42">
                  <c:v>1987.0</c:v>
                </c:pt>
                <c:pt idx="43">
                  <c:v>1988.0</c:v>
                </c:pt>
                <c:pt idx="44">
                  <c:v>1989.0</c:v>
                </c:pt>
                <c:pt idx="45">
                  <c:v>1990.0</c:v>
                </c:pt>
                <c:pt idx="46">
                  <c:v>1991.0</c:v>
                </c:pt>
                <c:pt idx="47">
                  <c:v>1992.0</c:v>
                </c:pt>
                <c:pt idx="48">
                  <c:v>1993.0</c:v>
                </c:pt>
                <c:pt idx="49">
                  <c:v>1994.0</c:v>
                </c:pt>
                <c:pt idx="50">
                  <c:v>1995.0</c:v>
                </c:pt>
                <c:pt idx="51">
                  <c:v>1996.0</c:v>
                </c:pt>
                <c:pt idx="52">
                  <c:v>1997.0</c:v>
                </c:pt>
                <c:pt idx="53">
                  <c:v>1998.0</c:v>
                </c:pt>
                <c:pt idx="54">
                  <c:v>1999.0</c:v>
                </c:pt>
                <c:pt idx="55">
                  <c:v>2000.0</c:v>
                </c:pt>
                <c:pt idx="56">
                  <c:v>2001.0</c:v>
                </c:pt>
                <c:pt idx="57">
                  <c:v>2002.0</c:v>
                </c:pt>
                <c:pt idx="58">
                  <c:v>2003.0</c:v>
                </c:pt>
                <c:pt idx="59">
                  <c:v>2004.0</c:v>
                </c:pt>
                <c:pt idx="60">
                  <c:v>2005.0</c:v>
                </c:pt>
                <c:pt idx="61">
                  <c:v>2006.0</c:v>
                </c:pt>
                <c:pt idx="62">
                  <c:v>2007.0</c:v>
                </c:pt>
                <c:pt idx="63">
                  <c:v>2008.0</c:v>
                </c:pt>
                <c:pt idx="64">
                  <c:v>2009.0</c:v>
                </c:pt>
                <c:pt idx="65">
                  <c:v>2010.0</c:v>
                </c:pt>
                <c:pt idx="66">
                  <c:v>2011.0</c:v>
                </c:pt>
                <c:pt idx="67">
                  <c:v>2012.0</c:v>
                </c:pt>
                <c:pt idx="68">
                  <c:v>2013.0</c:v>
                </c:pt>
              </c:numCache>
            </c:numRef>
          </c:cat>
          <c:val>
            <c:numRef>
              <c:f>'DataFig8-9'!$S$21:$S$89</c:f>
              <c:numCache>
                <c:formatCode>0%</c:formatCode>
                <c:ptCount val="69"/>
                <c:pt idx="0">
                  <c:v>0.0195121951219512</c:v>
                </c:pt>
                <c:pt idx="1">
                  <c:v>0.0604395604395604</c:v>
                </c:pt>
                <c:pt idx="2">
                  <c:v>0.0454545454545455</c:v>
                </c:pt>
                <c:pt idx="3">
                  <c:v>0.0382165605095541</c:v>
                </c:pt>
                <c:pt idx="4">
                  <c:v>0.0446735395189003</c:v>
                </c:pt>
                <c:pt idx="5">
                  <c:v>0.0332409972299169</c:v>
                </c:pt>
                <c:pt idx="6">
                  <c:v>0.0315533980582524</c:v>
                </c:pt>
                <c:pt idx="7">
                  <c:v>0.035264483627204</c:v>
                </c:pt>
                <c:pt idx="8">
                  <c:v>0.0372208436724566</c:v>
                </c:pt>
                <c:pt idx="9">
                  <c:v>0.0430379746835443</c:v>
                </c:pt>
                <c:pt idx="10">
                  <c:v>0.0398406374501992</c:v>
                </c:pt>
                <c:pt idx="11">
                  <c:v>0.0463709677419355</c:v>
                </c:pt>
                <c:pt idx="12">
                  <c:v>0.0590631364562118</c:v>
                </c:pt>
                <c:pt idx="13">
                  <c:v>0.0683371298405467</c:v>
                </c:pt>
                <c:pt idx="14">
                  <c:v>0.0522522522522522</c:v>
                </c:pt>
                <c:pt idx="15">
                  <c:v>0.0548446069469835</c:v>
                </c:pt>
                <c:pt idx="16">
                  <c:v>0.0554561717352415</c:v>
                </c:pt>
                <c:pt idx="17">
                  <c:v>0.05625</c:v>
                </c:pt>
                <c:pt idx="18">
                  <c:v>0.0595744680851064</c:v>
                </c:pt>
                <c:pt idx="19">
                  <c:v>0.0489060489060489</c:v>
                </c:pt>
                <c:pt idx="20">
                  <c:v>0.0436730123180291</c:v>
                </c:pt>
                <c:pt idx="21">
                  <c:v>0.0447450572320499</c:v>
                </c:pt>
                <c:pt idx="22">
                  <c:v>0.053248136315229</c:v>
                </c:pt>
                <c:pt idx="23">
                  <c:v>0.0530973451327434</c:v>
                </c:pt>
                <c:pt idx="24">
                  <c:v>0.0660569105691057</c:v>
                </c:pt>
                <c:pt idx="25">
                  <c:v>0.0881670533642691</c:v>
                </c:pt>
                <c:pt idx="26">
                  <c:v>0.0725646123260437</c:v>
                </c:pt>
                <c:pt idx="27">
                  <c:v>0.0614334470989761</c:v>
                </c:pt>
                <c:pt idx="28">
                  <c:v>0.0719640179910045</c:v>
                </c:pt>
                <c:pt idx="29">
                  <c:v>0.0827366746221161</c:v>
                </c:pt>
                <c:pt idx="30">
                  <c:v>0.0719942404607631</c:v>
                </c:pt>
                <c:pt idx="31">
                  <c:v>0.0665519219736087</c:v>
                </c:pt>
                <c:pt idx="32">
                  <c:v>0.0592808551992225</c:v>
                </c:pt>
                <c:pt idx="33">
                  <c:v>0.0620284995808885</c:v>
                </c:pt>
                <c:pt idx="34">
                  <c:v>0.0662650602409638</c:v>
                </c:pt>
                <c:pt idx="35">
                  <c:v>0.0898926654740608</c:v>
                </c:pt>
                <c:pt idx="36">
                  <c:v>0.106262626262626</c:v>
                </c:pt>
                <c:pt idx="37">
                  <c:v>0.129621574597651</c:v>
                </c:pt>
                <c:pt idx="38">
                  <c:v>0.147962830593281</c:v>
                </c:pt>
                <c:pt idx="39">
                  <c:v>0.121929564960047</c:v>
                </c:pt>
                <c:pt idx="40">
                  <c:v>0.137658674188999</c:v>
                </c:pt>
                <c:pt idx="41">
                  <c:v>0.165844636251541</c:v>
                </c:pt>
                <c:pt idx="42">
                  <c:v>0.154644808743169</c:v>
                </c:pt>
                <c:pt idx="43">
                  <c:v>0.146782357194505</c:v>
                </c:pt>
                <c:pt idx="44">
                  <c:v>0.161033317238049</c:v>
                </c:pt>
                <c:pt idx="45">
                  <c:v>0.156279961649089</c:v>
                </c:pt>
                <c:pt idx="46">
                  <c:v>0.149789497008642</c:v>
                </c:pt>
                <c:pt idx="47">
                  <c:v>0.148748159057437</c:v>
                </c:pt>
                <c:pt idx="48">
                  <c:v>0.138888888888889</c:v>
                </c:pt>
                <c:pt idx="49">
                  <c:v>0.125582891140055</c:v>
                </c:pt>
                <c:pt idx="50">
                  <c:v>0.121906116642959</c:v>
                </c:pt>
                <c:pt idx="51">
                  <c:v>0.11970487215367</c:v>
                </c:pt>
                <c:pt idx="52">
                  <c:v>0.124393624393624</c:v>
                </c:pt>
                <c:pt idx="53">
                  <c:v>0.148613356547693</c:v>
                </c:pt>
                <c:pt idx="54">
                  <c:v>0.163936400867261</c:v>
                </c:pt>
                <c:pt idx="55">
                  <c:v>0.187916026625704</c:v>
                </c:pt>
                <c:pt idx="56">
                  <c:v>0.223076923076923</c:v>
                </c:pt>
                <c:pt idx="57">
                  <c:v>0.205577601410935</c:v>
                </c:pt>
                <c:pt idx="58">
                  <c:v>0.177110942824688</c:v>
                </c:pt>
                <c:pt idx="59">
                  <c:v>0.169173225278579</c:v>
                </c:pt>
                <c:pt idx="60">
                  <c:v>0.179265074101644</c:v>
                </c:pt>
                <c:pt idx="61">
                  <c:v>0.182204676586699</c:v>
                </c:pt>
                <c:pt idx="62">
                  <c:v>0.188031393067364</c:v>
                </c:pt>
                <c:pt idx="63">
                  <c:v>0.223173293907089</c:v>
                </c:pt>
                <c:pt idx="64">
                  <c:v>0.224409448818898</c:v>
                </c:pt>
                <c:pt idx="65">
                  <c:v>0.229901511681173</c:v>
                </c:pt>
                <c:pt idx="66">
                  <c:v>0.201750522954971</c:v>
                </c:pt>
                <c:pt idx="67">
                  <c:v>0.201750522954971</c:v>
                </c:pt>
                <c:pt idx="68">
                  <c:v>0.201750522954971</c:v>
                </c:pt>
              </c:numCache>
            </c:numRef>
          </c:val>
          <c:smooth val="0"/>
        </c:ser>
        <c:dLbls>
          <c:showLegendKey val="0"/>
          <c:showVal val="0"/>
          <c:showCatName val="0"/>
          <c:showSerName val="0"/>
          <c:showPercent val="0"/>
          <c:showBubbleSize val="0"/>
        </c:dLbls>
        <c:marker val="1"/>
        <c:smooth val="0"/>
        <c:axId val="2095433240"/>
        <c:axId val="2095425528"/>
      </c:lineChart>
      <c:catAx>
        <c:axId val="2095433240"/>
        <c:scaling>
          <c:orientation val="minMax"/>
        </c:scaling>
        <c:delete val="0"/>
        <c:axPos val="b"/>
        <c:numFmt formatCode="General" sourceLinked="1"/>
        <c:majorTickMark val="out"/>
        <c:minorTickMark val="none"/>
        <c:tickLblPos val="nextTo"/>
        <c:crossAx val="2095425528"/>
        <c:crosses val="autoZero"/>
        <c:auto val="1"/>
        <c:lblAlgn val="ctr"/>
        <c:lblOffset val="100"/>
        <c:noMultiLvlLbl val="0"/>
      </c:catAx>
      <c:valAx>
        <c:axId val="2095425528"/>
        <c:scaling>
          <c:orientation val="minMax"/>
        </c:scaling>
        <c:delete val="0"/>
        <c:axPos val="l"/>
        <c:majorGridlines/>
        <c:numFmt formatCode="0%" sourceLinked="1"/>
        <c:majorTickMark val="out"/>
        <c:minorTickMark val="none"/>
        <c:tickLblPos val="nextTo"/>
        <c:crossAx val="2095433240"/>
        <c:crosses val="autoZero"/>
        <c:crossBetween val="between"/>
      </c:valAx>
    </c:plotArea>
    <c:legend>
      <c:legendPos val="r"/>
      <c:layout>
        <c:manualLayout>
          <c:xMode val="edge"/>
          <c:yMode val="edge"/>
          <c:x val="0.155508315923056"/>
          <c:y val="0.252544027656998"/>
          <c:w val="0.344385405781844"/>
          <c:h val="0.14529384670924"/>
        </c:manualLayout>
      </c:layout>
      <c:overlay val="0"/>
    </c:legend>
    <c:plotVisOnly val="1"/>
    <c:dispBlanksAs val="gap"/>
    <c:showDLblsOverMax val="0"/>
  </c:chart>
  <c:printSettings>
    <c:headerFooter/>
    <c:pageMargins b="1.0" l="0.75" r="0.75" t="1.0"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1276369279405"/>
          <c:y val="0.0512121236560307"/>
          <c:w val="0.827098453197312"/>
          <c:h val="0.896210302849454"/>
        </c:manualLayout>
      </c:layout>
      <c:lineChart>
        <c:grouping val="standard"/>
        <c:varyColors val="0"/>
        <c:ser>
          <c:idx val="0"/>
          <c:order val="0"/>
          <c:tx>
            <c:v>Statutory corporate tax rate</c:v>
          </c:tx>
          <c:marker>
            <c:symbol val="none"/>
          </c:marker>
          <c:cat>
            <c:numRef>
              <c:f>'DataFig8-9'!$A$64:$A$93</c:f>
              <c:numCache>
                <c:formatCode>General</c:formatCode>
                <c:ptCount val="30"/>
              </c:numCache>
            </c:numRef>
          </c:cat>
          <c:val>
            <c:numRef>
              <c:f>'DataFig8-9'!$AU$64:$AU$93</c:f>
              <c:numCache>
                <c:formatCode>0.0%</c:formatCode>
                <c:ptCount val="30"/>
                <c:pt idx="0">
                  <c:v>0.34</c:v>
                </c:pt>
                <c:pt idx="1">
                  <c:v>0.34</c:v>
                </c:pt>
                <c:pt idx="2">
                  <c:v>0.34</c:v>
                </c:pt>
                <c:pt idx="3">
                  <c:v>0.34</c:v>
                </c:pt>
                <c:pt idx="4">
                  <c:v>0.34</c:v>
                </c:pt>
                <c:pt idx="5">
                  <c:v>0.35</c:v>
                </c:pt>
                <c:pt idx="6">
                  <c:v>0.35</c:v>
                </c:pt>
                <c:pt idx="7">
                  <c:v>0.35</c:v>
                </c:pt>
                <c:pt idx="8">
                  <c:v>0.35</c:v>
                </c:pt>
                <c:pt idx="9">
                  <c:v>0.35</c:v>
                </c:pt>
                <c:pt idx="10">
                  <c:v>0.35</c:v>
                </c:pt>
                <c:pt idx="11">
                  <c:v>0.35</c:v>
                </c:pt>
                <c:pt idx="12">
                  <c:v>0.35</c:v>
                </c:pt>
                <c:pt idx="13">
                  <c:v>0.35</c:v>
                </c:pt>
                <c:pt idx="14">
                  <c:v>0.35</c:v>
                </c:pt>
                <c:pt idx="15">
                  <c:v>0.35</c:v>
                </c:pt>
                <c:pt idx="16">
                  <c:v>0.35</c:v>
                </c:pt>
                <c:pt idx="17">
                  <c:v>0.35</c:v>
                </c:pt>
                <c:pt idx="18">
                  <c:v>0.35</c:v>
                </c:pt>
                <c:pt idx="19">
                  <c:v>0.35</c:v>
                </c:pt>
                <c:pt idx="20">
                  <c:v>0.35</c:v>
                </c:pt>
                <c:pt idx="21">
                  <c:v>0.35</c:v>
                </c:pt>
                <c:pt idx="22">
                  <c:v>0.35</c:v>
                </c:pt>
                <c:pt idx="23">
                  <c:v>0.35</c:v>
                </c:pt>
                <c:pt idx="24">
                  <c:v>0.35</c:v>
                </c:pt>
                <c:pt idx="25">
                  <c:v>0.35</c:v>
                </c:pt>
              </c:numCache>
            </c:numRef>
          </c:val>
          <c:smooth val="0"/>
        </c:ser>
        <c:ser>
          <c:idx val="3"/>
          <c:order val="1"/>
          <c:tx>
            <c:strRef>
              <c:f>'DataFig8-9'!$BB$3</c:f>
              <c:strCache>
                <c:ptCount val="1"/>
                <c:pt idx="0">
                  <c:v>Effective tax rate IRS  after misreporting</c:v>
                </c:pt>
              </c:strCache>
            </c:strRef>
          </c:tx>
          <c:marker>
            <c:symbol val="none"/>
          </c:marker>
          <c:cat>
            <c:numRef>
              <c:f>'DataFig8-9'!$A$64:$A$93</c:f>
              <c:numCache>
                <c:formatCode>General</c:formatCode>
                <c:ptCount val="30"/>
              </c:numCache>
            </c:numRef>
          </c:cat>
          <c:val>
            <c:numRef>
              <c:f>'DataFig8-9'!$BB$64:$BB$93</c:f>
              <c:numCache>
                <c:formatCode>0%</c:formatCode>
                <c:ptCount val="30"/>
                <c:pt idx="0">
                  <c:v>0.262579281183932</c:v>
                </c:pt>
                <c:pt idx="1">
                  <c:v>0.271656120445123</c:v>
                </c:pt>
                <c:pt idx="2">
                  <c:v>0.274324324324324</c:v>
                </c:pt>
                <c:pt idx="3">
                  <c:v>0.280676673814629</c:v>
                </c:pt>
                <c:pt idx="4">
                  <c:v>0.271566810788553</c:v>
                </c:pt>
                <c:pt idx="5">
                  <c:v>0.267057201929704</c:v>
                </c:pt>
                <c:pt idx="6">
                  <c:v>0.260253317249698</c:v>
                </c:pt>
                <c:pt idx="7">
                  <c:v>0.241941505911637</c:v>
                </c:pt>
                <c:pt idx="8">
                  <c:v>0.237075249523382</c:v>
                </c:pt>
                <c:pt idx="9">
                  <c:v>0.221772601658113</c:v>
                </c:pt>
                <c:pt idx="10">
                  <c:v>0.232494758909853</c:v>
                </c:pt>
                <c:pt idx="11">
                  <c:v>0.21987753179463</c:v>
                </c:pt>
                <c:pt idx="12">
                  <c:v>0.226013195098963</c:v>
                </c:pt>
                <c:pt idx="13">
                  <c:v>0.232392508572936</c:v>
                </c:pt>
                <c:pt idx="14">
                  <c:v>0.227679782903663</c:v>
                </c:pt>
                <c:pt idx="15">
                  <c:v>0.236940497810063</c:v>
                </c:pt>
                <c:pt idx="16">
                  <c:v>0.222772277227723</c:v>
                </c:pt>
                <c:pt idx="17">
                  <c:v>0.181232324168946</c:v>
                </c:pt>
                <c:pt idx="18">
                  <c:v>0.201927009953188</c:v>
                </c:pt>
                <c:pt idx="19">
                  <c:v>0.197909642616318</c:v>
                </c:pt>
                <c:pt idx="20">
                  <c:v>0.233148428307279</c:v>
                </c:pt>
                <c:pt idx="21">
                  <c:v>0.194344743062243</c:v>
                </c:pt>
                <c:pt idx="22">
                  <c:v>0.17593766986773</c:v>
                </c:pt>
                <c:pt idx="23">
                  <c:v>0.188703864794333</c:v>
                </c:pt>
                <c:pt idx="24">
                  <c:v>0.204455045708696</c:v>
                </c:pt>
                <c:pt idx="25">
                  <c:v>0.212473171066871</c:v>
                </c:pt>
              </c:numCache>
            </c:numRef>
          </c:val>
          <c:smooth val="0"/>
        </c:ser>
        <c:dLbls>
          <c:showLegendKey val="0"/>
          <c:showVal val="0"/>
          <c:showCatName val="0"/>
          <c:showSerName val="0"/>
          <c:showPercent val="0"/>
          <c:showBubbleSize val="0"/>
        </c:dLbls>
        <c:marker val="1"/>
        <c:smooth val="0"/>
        <c:axId val="2095321320"/>
        <c:axId val="2095318824"/>
      </c:lineChart>
      <c:catAx>
        <c:axId val="2095321320"/>
        <c:scaling>
          <c:orientation val="minMax"/>
        </c:scaling>
        <c:delete val="0"/>
        <c:axPos val="b"/>
        <c:numFmt formatCode="General" sourceLinked="1"/>
        <c:majorTickMark val="out"/>
        <c:minorTickMark val="none"/>
        <c:tickLblPos val="nextTo"/>
        <c:crossAx val="2095318824"/>
        <c:crosses val="autoZero"/>
        <c:auto val="1"/>
        <c:lblAlgn val="ctr"/>
        <c:lblOffset val="100"/>
        <c:noMultiLvlLbl val="0"/>
      </c:catAx>
      <c:valAx>
        <c:axId val="2095318824"/>
        <c:scaling>
          <c:orientation val="minMax"/>
          <c:min val="0.15"/>
        </c:scaling>
        <c:delete val="0"/>
        <c:axPos val="l"/>
        <c:majorGridlines/>
        <c:numFmt formatCode="0.0%" sourceLinked="1"/>
        <c:majorTickMark val="out"/>
        <c:minorTickMark val="none"/>
        <c:tickLblPos val="nextTo"/>
        <c:crossAx val="2095321320"/>
        <c:crosses val="autoZero"/>
        <c:crossBetween val="between"/>
      </c:valAx>
    </c:plotArea>
    <c:legend>
      <c:legendPos val="r"/>
      <c:layout>
        <c:manualLayout>
          <c:xMode val="edge"/>
          <c:yMode val="edge"/>
          <c:x val="0.254141492886377"/>
          <c:y val="0.235407336454657"/>
          <c:w val="0.344261152506321"/>
          <c:h val="0.253427738173598"/>
        </c:manualLayout>
      </c:layout>
      <c:overlay val="0"/>
    </c:legend>
    <c:plotVisOnly val="1"/>
    <c:dispBlanksAs val="gap"/>
    <c:showDLblsOverMax val="0"/>
  </c:chart>
  <c:printSettings>
    <c:headerFooter/>
    <c:pageMargins b="1.0" l="0.75" r="0.75" t="1.0"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1042415597683"/>
          <c:y val="0.0480591497227357"/>
          <c:w val="0.883295521352365"/>
          <c:h val="0.846136783733826"/>
        </c:manualLayout>
      </c:layout>
      <c:lineChart>
        <c:grouping val="standard"/>
        <c:varyColors val="0"/>
        <c:ser>
          <c:idx val="0"/>
          <c:order val="0"/>
          <c:tx>
            <c:strRef>
              <c:f>'DataFig8-9'!$AU$3</c:f>
              <c:strCache>
                <c:ptCount val="1"/>
                <c:pt idx="0">
                  <c:v>Staturoy federal corporate tax rate</c:v>
                </c:pt>
              </c:strCache>
            </c:strRef>
          </c:tx>
          <c:marker>
            <c:symbol val="none"/>
          </c:marker>
          <c:cat>
            <c:numRef>
              <c:f>'DataFig8-9'!$B$26:$B$93</c:f>
              <c:numCache>
                <c:formatCode>General</c:formatCode>
                <c:ptCount val="68"/>
                <c:pt idx="0">
                  <c:v>1950.0</c:v>
                </c:pt>
                <c:pt idx="1">
                  <c:v>1951.0</c:v>
                </c:pt>
                <c:pt idx="2">
                  <c:v>1952.0</c:v>
                </c:pt>
                <c:pt idx="3">
                  <c:v>1953.0</c:v>
                </c:pt>
                <c:pt idx="4">
                  <c:v>1954.0</c:v>
                </c:pt>
                <c:pt idx="5">
                  <c:v>1955.0</c:v>
                </c:pt>
                <c:pt idx="6">
                  <c:v>1956.0</c:v>
                </c:pt>
                <c:pt idx="7">
                  <c:v>1957.0</c:v>
                </c:pt>
                <c:pt idx="8">
                  <c:v>1958.0</c:v>
                </c:pt>
                <c:pt idx="9">
                  <c:v>1959.0</c:v>
                </c:pt>
                <c:pt idx="10">
                  <c:v>1960.0</c:v>
                </c:pt>
                <c:pt idx="11">
                  <c:v>1961.0</c:v>
                </c:pt>
                <c:pt idx="12">
                  <c:v>1962.0</c:v>
                </c:pt>
                <c:pt idx="13">
                  <c:v>1963.0</c:v>
                </c:pt>
                <c:pt idx="14">
                  <c:v>1964.0</c:v>
                </c:pt>
                <c:pt idx="15">
                  <c:v>1965.0</c:v>
                </c:pt>
                <c:pt idx="16">
                  <c:v>1966.0</c:v>
                </c:pt>
                <c:pt idx="17">
                  <c:v>1967.0</c:v>
                </c:pt>
                <c:pt idx="18">
                  <c:v>1968.0</c:v>
                </c:pt>
                <c:pt idx="19">
                  <c:v>1969.0</c:v>
                </c:pt>
                <c:pt idx="20">
                  <c:v>1970.0</c:v>
                </c:pt>
                <c:pt idx="21">
                  <c:v>1971.0</c:v>
                </c:pt>
                <c:pt idx="22">
                  <c:v>1972.0</c:v>
                </c:pt>
                <c:pt idx="23">
                  <c:v>1973.0</c:v>
                </c:pt>
                <c:pt idx="24">
                  <c:v>1974.0</c:v>
                </c:pt>
                <c:pt idx="25">
                  <c:v>1975.0</c:v>
                </c:pt>
                <c:pt idx="26">
                  <c:v>1976.0</c:v>
                </c:pt>
                <c:pt idx="27">
                  <c:v>1977.0</c:v>
                </c:pt>
                <c:pt idx="28">
                  <c:v>1978.0</c:v>
                </c:pt>
                <c:pt idx="29">
                  <c:v>1979.0</c:v>
                </c:pt>
                <c:pt idx="30">
                  <c:v>1980.0</c:v>
                </c:pt>
                <c:pt idx="31">
                  <c:v>1981.0</c:v>
                </c:pt>
                <c:pt idx="32">
                  <c:v>1982.0</c:v>
                </c:pt>
                <c:pt idx="33">
                  <c:v>1983.0</c:v>
                </c:pt>
                <c:pt idx="34">
                  <c:v>1984.0</c:v>
                </c:pt>
                <c:pt idx="35">
                  <c:v>1985.0</c:v>
                </c:pt>
                <c:pt idx="36">
                  <c:v>1986.0</c:v>
                </c:pt>
                <c:pt idx="37">
                  <c:v>1987.0</c:v>
                </c:pt>
                <c:pt idx="38">
                  <c:v>1988.0</c:v>
                </c:pt>
                <c:pt idx="39">
                  <c:v>1989.0</c:v>
                </c:pt>
                <c:pt idx="40">
                  <c:v>1990.0</c:v>
                </c:pt>
                <c:pt idx="41">
                  <c:v>1991.0</c:v>
                </c:pt>
                <c:pt idx="42">
                  <c:v>1992.0</c:v>
                </c:pt>
                <c:pt idx="43">
                  <c:v>1993.0</c:v>
                </c:pt>
                <c:pt idx="44">
                  <c:v>1994.0</c:v>
                </c:pt>
                <c:pt idx="45">
                  <c:v>1995.0</c:v>
                </c:pt>
                <c:pt idx="46">
                  <c:v>1996.0</c:v>
                </c:pt>
                <c:pt idx="47">
                  <c:v>1997.0</c:v>
                </c:pt>
                <c:pt idx="48">
                  <c:v>1998.0</c:v>
                </c:pt>
                <c:pt idx="49">
                  <c:v>1999.0</c:v>
                </c:pt>
                <c:pt idx="50">
                  <c:v>2000.0</c:v>
                </c:pt>
                <c:pt idx="51">
                  <c:v>2001.0</c:v>
                </c:pt>
                <c:pt idx="52">
                  <c:v>2002.0</c:v>
                </c:pt>
                <c:pt idx="53">
                  <c:v>2003.0</c:v>
                </c:pt>
                <c:pt idx="54">
                  <c:v>2004.0</c:v>
                </c:pt>
                <c:pt idx="55">
                  <c:v>2005.0</c:v>
                </c:pt>
                <c:pt idx="56">
                  <c:v>2006.0</c:v>
                </c:pt>
                <c:pt idx="57">
                  <c:v>2007.0</c:v>
                </c:pt>
                <c:pt idx="58">
                  <c:v>2008.0</c:v>
                </c:pt>
                <c:pt idx="59">
                  <c:v>2009.0</c:v>
                </c:pt>
                <c:pt idx="60">
                  <c:v>2010.0</c:v>
                </c:pt>
                <c:pt idx="61">
                  <c:v>2011.0</c:v>
                </c:pt>
                <c:pt idx="62">
                  <c:v>2012.0</c:v>
                </c:pt>
                <c:pt idx="63">
                  <c:v>2013.0</c:v>
                </c:pt>
                <c:pt idx="64">
                  <c:v>2014.0</c:v>
                </c:pt>
                <c:pt idx="65">
                  <c:v>2015.0</c:v>
                </c:pt>
              </c:numCache>
            </c:numRef>
          </c:cat>
          <c:val>
            <c:numRef>
              <c:f>'DataFig8-9'!$AU$26:$AU$93</c:f>
              <c:numCache>
                <c:formatCode>0.0%</c:formatCode>
                <c:ptCount val="68"/>
                <c:pt idx="0">
                  <c:v>0.42</c:v>
                </c:pt>
                <c:pt idx="1">
                  <c:v>0.51</c:v>
                </c:pt>
                <c:pt idx="2">
                  <c:v>0.52</c:v>
                </c:pt>
                <c:pt idx="3">
                  <c:v>0.52</c:v>
                </c:pt>
                <c:pt idx="4">
                  <c:v>0.52</c:v>
                </c:pt>
                <c:pt idx="5">
                  <c:v>0.52</c:v>
                </c:pt>
                <c:pt idx="6">
                  <c:v>0.52</c:v>
                </c:pt>
                <c:pt idx="7">
                  <c:v>0.52</c:v>
                </c:pt>
                <c:pt idx="8">
                  <c:v>0.52</c:v>
                </c:pt>
                <c:pt idx="9">
                  <c:v>0.52</c:v>
                </c:pt>
                <c:pt idx="10">
                  <c:v>0.52</c:v>
                </c:pt>
                <c:pt idx="11">
                  <c:v>0.52</c:v>
                </c:pt>
                <c:pt idx="12">
                  <c:v>0.52</c:v>
                </c:pt>
                <c:pt idx="13">
                  <c:v>0.52</c:v>
                </c:pt>
                <c:pt idx="14">
                  <c:v>0.5</c:v>
                </c:pt>
                <c:pt idx="15">
                  <c:v>0.48</c:v>
                </c:pt>
                <c:pt idx="16">
                  <c:v>0.48</c:v>
                </c:pt>
                <c:pt idx="17">
                  <c:v>0.48</c:v>
                </c:pt>
                <c:pt idx="18">
                  <c:v>0.528</c:v>
                </c:pt>
                <c:pt idx="19">
                  <c:v>0.528</c:v>
                </c:pt>
                <c:pt idx="20">
                  <c:v>0.492</c:v>
                </c:pt>
                <c:pt idx="21">
                  <c:v>0.48</c:v>
                </c:pt>
                <c:pt idx="22">
                  <c:v>0.48</c:v>
                </c:pt>
                <c:pt idx="23">
                  <c:v>0.48</c:v>
                </c:pt>
                <c:pt idx="24">
                  <c:v>0.48</c:v>
                </c:pt>
                <c:pt idx="25">
                  <c:v>0.48</c:v>
                </c:pt>
                <c:pt idx="26">
                  <c:v>0.48</c:v>
                </c:pt>
                <c:pt idx="27">
                  <c:v>0.48</c:v>
                </c:pt>
                <c:pt idx="28">
                  <c:v>0.48</c:v>
                </c:pt>
                <c:pt idx="29">
                  <c:v>0.46</c:v>
                </c:pt>
                <c:pt idx="30">
                  <c:v>0.46</c:v>
                </c:pt>
                <c:pt idx="31">
                  <c:v>0.46</c:v>
                </c:pt>
                <c:pt idx="32">
                  <c:v>0.46</c:v>
                </c:pt>
                <c:pt idx="33">
                  <c:v>0.46</c:v>
                </c:pt>
                <c:pt idx="34">
                  <c:v>0.46</c:v>
                </c:pt>
                <c:pt idx="35">
                  <c:v>0.46</c:v>
                </c:pt>
                <c:pt idx="36">
                  <c:v>0.46</c:v>
                </c:pt>
                <c:pt idx="37">
                  <c:v>0.4</c:v>
                </c:pt>
                <c:pt idx="38">
                  <c:v>0.34</c:v>
                </c:pt>
                <c:pt idx="39">
                  <c:v>0.34</c:v>
                </c:pt>
                <c:pt idx="40">
                  <c:v>0.34</c:v>
                </c:pt>
                <c:pt idx="41">
                  <c:v>0.34</c:v>
                </c:pt>
                <c:pt idx="42">
                  <c:v>0.34</c:v>
                </c:pt>
                <c:pt idx="43">
                  <c:v>0.35</c:v>
                </c:pt>
                <c:pt idx="44">
                  <c:v>0.35</c:v>
                </c:pt>
                <c:pt idx="45">
                  <c:v>0.35</c:v>
                </c:pt>
                <c:pt idx="46">
                  <c:v>0.35</c:v>
                </c:pt>
                <c:pt idx="47">
                  <c:v>0.35</c:v>
                </c:pt>
                <c:pt idx="48">
                  <c:v>0.35</c:v>
                </c:pt>
                <c:pt idx="49">
                  <c:v>0.35</c:v>
                </c:pt>
                <c:pt idx="50">
                  <c:v>0.35</c:v>
                </c:pt>
                <c:pt idx="51">
                  <c:v>0.35</c:v>
                </c:pt>
                <c:pt idx="52">
                  <c:v>0.35</c:v>
                </c:pt>
                <c:pt idx="53">
                  <c:v>0.35</c:v>
                </c:pt>
                <c:pt idx="54">
                  <c:v>0.35</c:v>
                </c:pt>
                <c:pt idx="55">
                  <c:v>0.35</c:v>
                </c:pt>
                <c:pt idx="56">
                  <c:v>0.35</c:v>
                </c:pt>
                <c:pt idx="57">
                  <c:v>0.35</c:v>
                </c:pt>
                <c:pt idx="58">
                  <c:v>0.35</c:v>
                </c:pt>
                <c:pt idx="59">
                  <c:v>0.35</c:v>
                </c:pt>
                <c:pt idx="60">
                  <c:v>0.35</c:v>
                </c:pt>
                <c:pt idx="61">
                  <c:v>0.35</c:v>
                </c:pt>
                <c:pt idx="62">
                  <c:v>0.35</c:v>
                </c:pt>
                <c:pt idx="63">
                  <c:v>0.35</c:v>
                </c:pt>
              </c:numCache>
            </c:numRef>
          </c:val>
          <c:smooth val="0"/>
        </c:ser>
        <c:ser>
          <c:idx val="2"/>
          <c:order val="1"/>
          <c:tx>
            <c:strRef>
              <c:f>'DataFig8-9'!$AV$3</c:f>
              <c:strCache>
                <c:ptCount val="1"/>
                <c:pt idx="0">
                  <c:v>Effective tax rate paid to US (fed+local)</c:v>
                </c:pt>
              </c:strCache>
            </c:strRef>
          </c:tx>
          <c:marker>
            <c:symbol val="none"/>
          </c:marker>
          <c:cat>
            <c:numRef>
              <c:f>'DataFig8-9'!$B$26:$B$93</c:f>
              <c:numCache>
                <c:formatCode>General</c:formatCode>
                <c:ptCount val="68"/>
                <c:pt idx="0">
                  <c:v>1950.0</c:v>
                </c:pt>
                <c:pt idx="1">
                  <c:v>1951.0</c:v>
                </c:pt>
                <c:pt idx="2">
                  <c:v>1952.0</c:v>
                </c:pt>
                <c:pt idx="3">
                  <c:v>1953.0</c:v>
                </c:pt>
                <c:pt idx="4">
                  <c:v>1954.0</c:v>
                </c:pt>
                <c:pt idx="5">
                  <c:v>1955.0</c:v>
                </c:pt>
                <c:pt idx="6">
                  <c:v>1956.0</c:v>
                </c:pt>
                <c:pt idx="7">
                  <c:v>1957.0</c:v>
                </c:pt>
                <c:pt idx="8">
                  <c:v>1958.0</c:v>
                </c:pt>
                <c:pt idx="9">
                  <c:v>1959.0</c:v>
                </c:pt>
                <c:pt idx="10">
                  <c:v>1960.0</c:v>
                </c:pt>
                <c:pt idx="11">
                  <c:v>1961.0</c:v>
                </c:pt>
                <c:pt idx="12">
                  <c:v>1962.0</c:v>
                </c:pt>
                <c:pt idx="13">
                  <c:v>1963.0</c:v>
                </c:pt>
                <c:pt idx="14">
                  <c:v>1964.0</c:v>
                </c:pt>
                <c:pt idx="15">
                  <c:v>1965.0</c:v>
                </c:pt>
                <c:pt idx="16">
                  <c:v>1966.0</c:v>
                </c:pt>
                <c:pt idx="17">
                  <c:v>1967.0</c:v>
                </c:pt>
                <c:pt idx="18">
                  <c:v>1968.0</c:v>
                </c:pt>
                <c:pt idx="19">
                  <c:v>1969.0</c:v>
                </c:pt>
                <c:pt idx="20">
                  <c:v>1970.0</c:v>
                </c:pt>
                <c:pt idx="21">
                  <c:v>1971.0</c:v>
                </c:pt>
                <c:pt idx="22">
                  <c:v>1972.0</c:v>
                </c:pt>
                <c:pt idx="23">
                  <c:v>1973.0</c:v>
                </c:pt>
                <c:pt idx="24">
                  <c:v>1974.0</c:v>
                </c:pt>
                <c:pt idx="25">
                  <c:v>1975.0</c:v>
                </c:pt>
                <c:pt idx="26">
                  <c:v>1976.0</c:v>
                </c:pt>
                <c:pt idx="27">
                  <c:v>1977.0</c:v>
                </c:pt>
                <c:pt idx="28">
                  <c:v>1978.0</c:v>
                </c:pt>
                <c:pt idx="29">
                  <c:v>1979.0</c:v>
                </c:pt>
                <c:pt idx="30">
                  <c:v>1980.0</c:v>
                </c:pt>
                <c:pt idx="31">
                  <c:v>1981.0</c:v>
                </c:pt>
                <c:pt idx="32">
                  <c:v>1982.0</c:v>
                </c:pt>
                <c:pt idx="33">
                  <c:v>1983.0</c:v>
                </c:pt>
                <c:pt idx="34">
                  <c:v>1984.0</c:v>
                </c:pt>
                <c:pt idx="35">
                  <c:v>1985.0</c:v>
                </c:pt>
                <c:pt idx="36">
                  <c:v>1986.0</c:v>
                </c:pt>
                <c:pt idx="37">
                  <c:v>1987.0</c:v>
                </c:pt>
                <c:pt idx="38">
                  <c:v>1988.0</c:v>
                </c:pt>
                <c:pt idx="39">
                  <c:v>1989.0</c:v>
                </c:pt>
                <c:pt idx="40">
                  <c:v>1990.0</c:v>
                </c:pt>
                <c:pt idx="41">
                  <c:v>1991.0</c:v>
                </c:pt>
                <c:pt idx="42">
                  <c:v>1992.0</c:v>
                </c:pt>
                <c:pt idx="43">
                  <c:v>1993.0</c:v>
                </c:pt>
                <c:pt idx="44">
                  <c:v>1994.0</c:v>
                </c:pt>
                <c:pt idx="45">
                  <c:v>1995.0</c:v>
                </c:pt>
                <c:pt idx="46">
                  <c:v>1996.0</c:v>
                </c:pt>
                <c:pt idx="47">
                  <c:v>1997.0</c:v>
                </c:pt>
                <c:pt idx="48">
                  <c:v>1998.0</c:v>
                </c:pt>
                <c:pt idx="49">
                  <c:v>1999.0</c:v>
                </c:pt>
                <c:pt idx="50">
                  <c:v>2000.0</c:v>
                </c:pt>
                <c:pt idx="51">
                  <c:v>2001.0</c:v>
                </c:pt>
                <c:pt idx="52">
                  <c:v>2002.0</c:v>
                </c:pt>
                <c:pt idx="53">
                  <c:v>2003.0</c:v>
                </c:pt>
                <c:pt idx="54">
                  <c:v>2004.0</c:v>
                </c:pt>
                <c:pt idx="55">
                  <c:v>2005.0</c:v>
                </c:pt>
                <c:pt idx="56">
                  <c:v>2006.0</c:v>
                </c:pt>
                <c:pt idx="57">
                  <c:v>2007.0</c:v>
                </c:pt>
                <c:pt idx="58">
                  <c:v>2008.0</c:v>
                </c:pt>
                <c:pt idx="59">
                  <c:v>2009.0</c:v>
                </c:pt>
                <c:pt idx="60">
                  <c:v>2010.0</c:v>
                </c:pt>
                <c:pt idx="61">
                  <c:v>2011.0</c:v>
                </c:pt>
                <c:pt idx="62">
                  <c:v>2012.0</c:v>
                </c:pt>
                <c:pt idx="63">
                  <c:v>2013.0</c:v>
                </c:pt>
                <c:pt idx="64">
                  <c:v>2014.0</c:v>
                </c:pt>
                <c:pt idx="65">
                  <c:v>2015.0</c:v>
                </c:pt>
              </c:numCache>
            </c:numRef>
          </c:cat>
          <c:val>
            <c:numRef>
              <c:f>'DataFig8-9'!$AV$26:$AV$93</c:f>
              <c:numCache>
                <c:formatCode>0%</c:formatCode>
                <c:ptCount val="68"/>
                <c:pt idx="0">
                  <c:v>0.486263736263736</c:v>
                </c:pt>
                <c:pt idx="1">
                  <c:v>0.539759036144578</c:v>
                </c:pt>
                <c:pt idx="2">
                  <c:v>0.477386934673367</c:v>
                </c:pt>
                <c:pt idx="3">
                  <c:v>0.495049504950495</c:v>
                </c:pt>
                <c:pt idx="4">
                  <c:v>0.439393939393939</c:v>
                </c:pt>
                <c:pt idx="5">
                  <c:v>0.430555555555555</c:v>
                </c:pt>
                <c:pt idx="6">
                  <c:v>0.434607645875251</c:v>
                </c:pt>
                <c:pt idx="7">
                  <c:v>0.423625254582485</c:v>
                </c:pt>
                <c:pt idx="8">
                  <c:v>0.420091324200913</c:v>
                </c:pt>
                <c:pt idx="9">
                  <c:v>0.409009009009009</c:v>
                </c:pt>
                <c:pt idx="10">
                  <c:v>0.4</c:v>
                </c:pt>
                <c:pt idx="11">
                  <c:v>0.395348837209302</c:v>
                </c:pt>
                <c:pt idx="12">
                  <c:v>0.362068965517241</c:v>
                </c:pt>
                <c:pt idx="13">
                  <c:v>0.361823361823362</c:v>
                </c:pt>
                <c:pt idx="14">
                  <c:v>0.340645161290322</c:v>
                </c:pt>
                <c:pt idx="15">
                  <c:v>0.333707865168539</c:v>
                </c:pt>
                <c:pt idx="16">
                  <c:v>0.334031413612565</c:v>
                </c:pt>
                <c:pt idx="17">
                  <c:v>0.33010752688172</c:v>
                </c:pt>
                <c:pt idx="18">
                  <c:v>0.365805168986083</c:v>
                </c:pt>
                <c:pt idx="19">
                  <c:v>0.37952430196484</c:v>
                </c:pt>
                <c:pt idx="20">
                  <c:v>0.365795724465558</c:v>
                </c:pt>
                <c:pt idx="21">
                  <c:v>0.346774193548387</c:v>
                </c:pt>
                <c:pt idx="22">
                  <c:v>0.333333333333333</c:v>
                </c:pt>
                <c:pt idx="23">
                  <c:v>0.341185410334346</c:v>
                </c:pt>
                <c:pt idx="24">
                  <c:v>0.375915378356387</c:v>
                </c:pt>
                <c:pt idx="25">
                  <c:v>0.332357247437774</c:v>
                </c:pt>
                <c:pt idx="26">
                  <c:v>0.336610757663389</c:v>
                </c:pt>
                <c:pt idx="27">
                  <c:v>0.32843857072932</c:v>
                </c:pt>
                <c:pt idx="28">
                  <c:v>0.322648671446647</c:v>
                </c:pt>
                <c:pt idx="29">
                  <c:v>0.318255250403877</c:v>
                </c:pt>
                <c:pt idx="30">
                  <c:v>0.33197093551317</c:v>
                </c:pt>
                <c:pt idx="31">
                  <c:v>0.277547638773819</c:v>
                </c:pt>
                <c:pt idx="32">
                  <c:v>0.218921389396709</c:v>
                </c:pt>
                <c:pt idx="33">
                  <c:v>0.232669616519174</c:v>
                </c:pt>
                <c:pt idx="34">
                  <c:v>0.235578375113259</c:v>
                </c:pt>
                <c:pt idx="35">
                  <c:v>0.226578264629576</c:v>
                </c:pt>
                <c:pt idx="36">
                  <c:v>0.278528764539453</c:v>
                </c:pt>
                <c:pt idx="37">
                  <c:v>0.303299140560022</c:v>
                </c:pt>
                <c:pt idx="38">
                  <c:v>0.290957705396208</c:v>
                </c:pt>
                <c:pt idx="39">
                  <c:v>0.298084100522518</c:v>
                </c:pt>
                <c:pt idx="40">
                  <c:v>0.292353823088456</c:v>
                </c:pt>
                <c:pt idx="41">
                  <c:v>0.26245924545878</c:v>
                </c:pt>
                <c:pt idx="42">
                  <c:v>0.273317463752435</c:v>
                </c:pt>
                <c:pt idx="43">
                  <c:v>0.288807268509569</c:v>
                </c:pt>
                <c:pt idx="44">
                  <c:v>0.263851404984918</c:v>
                </c:pt>
                <c:pt idx="45">
                  <c:v>0.262597984322508</c:v>
                </c:pt>
                <c:pt idx="46">
                  <c:v>0.254120879120879</c:v>
                </c:pt>
                <c:pt idx="47">
                  <c:v>0.243449904419206</c:v>
                </c:pt>
                <c:pt idx="48">
                  <c:v>0.258452931160302</c:v>
                </c:pt>
                <c:pt idx="49">
                  <c:v>0.260044252940491</c:v>
                </c:pt>
                <c:pt idx="50">
                  <c:v>0.284368414528325</c:v>
                </c:pt>
                <c:pt idx="51">
                  <c:v>0.225837061135963</c:v>
                </c:pt>
                <c:pt idx="52">
                  <c:v>0.168638416863842</c:v>
                </c:pt>
                <c:pt idx="53">
                  <c:v>0.18743857768248</c:v>
                </c:pt>
                <c:pt idx="54">
                  <c:v>0.197705462154557</c:v>
                </c:pt>
                <c:pt idx="55">
                  <c:v>0.234704112337011</c:v>
                </c:pt>
                <c:pt idx="56">
                  <c:v>0.237581717606303</c:v>
                </c:pt>
                <c:pt idx="57">
                  <c:v>0.234131555016672</c:v>
                </c:pt>
                <c:pt idx="58">
                  <c:v>0.175087719298246</c:v>
                </c:pt>
                <c:pt idx="59">
                  <c:v>0.133194658793531</c:v>
                </c:pt>
                <c:pt idx="60">
                  <c:v>0.143255714132418</c:v>
                </c:pt>
                <c:pt idx="61">
                  <c:v>0.13971974522293</c:v>
                </c:pt>
                <c:pt idx="62">
                  <c:v>0.154960673382089</c:v>
                </c:pt>
                <c:pt idx="63">
                  <c:v>0.160974670716686</c:v>
                </c:pt>
              </c:numCache>
            </c:numRef>
          </c:val>
          <c:smooth val="0"/>
        </c:ser>
        <c:ser>
          <c:idx val="1"/>
          <c:order val="2"/>
          <c:tx>
            <c:strRef>
              <c:f>'DataFig8-9'!$AY$3</c:f>
              <c:strCache>
                <c:ptCount val="1"/>
                <c:pt idx="0">
                  <c:v>Effective tax rate paid worldwide</c:v>
                </c:pt>
              </c:strCache>
            </c:strRef>
          </c:tx>
          <c:marker>
            <c:symbol val="none"/>
          </c:marker>
          <c:cat>
            <c:numRef>
              <c:f>'DataFig8-9'!$B$26:$B$93</c:f>
              <c:numCache>
                <c:formatCode>General</c:formatCode>
                <c:ptCount val="68"/>
                <c:pt idx="0">
                  <c:v>1950.0</c:v>
                </c:pt>
                <c:pt idx="1">
                  <c:v>1951.0</c:v>
                </c:pt>
                <c:pt idx="2">
                  <c:v>1952.0</c:v>
                </c:pt>
                <c:pt idx="3">
                  <c:v>1953.0</c:v>
                </c:pt>
                <c:pt idx="4">
                  <c:v>1954.0</c:v>
                </c:pt>
                <c:pt idx="5">
                  <c:v>1955.0</c:v>
                </c:pt>
                <c:pt idx="6">
                  <c:v>1956.0</c:v>
                </c:pt>
                <c:pt idx="7">
                  <c:v>1957.0</c:v>
                </c:pt>
                <c:pt idx="8">
                  <c:v>1958.0</c:v>
                </c:pt>
                <c:pt idx="9">
                  <c:v>1959.0</c:v>
                </c:pt>
                <c:pt idx="10">
                  <c:v>1960.0</c:v>
                </c:pt>
                <c:pt idx="11">
                  <c:v>1961.0</c:v>
                </c:pt>
                <c:pt idx="12">
                  <c:v>1962.0</c:v>
                </c:pt>
                <c:pt idx="13">
                  <c:v>1963.0</c:v>
                </c:pt>
                <c:pt idx="14">
                  <c:v>1964.0</c:v>
                </c:pt>
                <c:pt idx="15">
                  <c:v>1965.0</c:v>
                </c:pt>
                <c:pt idx="16">
                  <c:v>1966.0</c:v>
                </c:pt>
                <c:pt idx="17">
                  <c:v>1967.0</c:v>
                </c:pt>
                <c:pt idx="18">
                  <c:v>1968.0</c:v>
                </c:pt>
                <c:pt idx="19">
                  <c:v>1969.0</c:v>
                </c:pt>
                <c:pt idx="20">
                  <c:v>1970.0</c:v>
                </c:pt>
                <c:pt idx="21">
                  <c:v>1971.0</c:v>
                </c:pt>
                <c:pt idx="22">
                  <c:v>1972.0</c:v>
                </c:pt>
                <c:pt idx="23">
                  <c:v>1973.0</c:v>
                </c:pt>
                <c:pt idx="24">
                  <c:v>1974.0</c:v>
                </c:pt>
                <c:pt idx="25">
                  <c:v>1975.0</c:v>
                </c:pt>
                <c:pt idx="26">
                  <c:v>1976.0</c:v>
                </c:pt>
                <c:pt idx="27">
                  <c:v>1977.0</c:v>
                </c:pt>
                <c:pt idx="28">
                  <c:v>1978.0</c:v>
                </c:pt>
                <c:pt idx="29">
                  <c:v>1979.0</c:v>
                </c:pt>
                <c:pt idx="30">
                  <c:v>1980.0</c:v>
                </c:pt>
                <c:pt idx="31">
                  <c:v>1981.0</c:v>
                </c:pt>
                <c:pt idx="32">
                  <c:v>1982.0</c:v>
                </c:pt>
                <c:pt idx="33">
                  <c:v>1983.0</c:v>
                </c:pt>
                <c:pt idx="34">
                  <c:v>1984.0</c:v>
                </c:pt>
                <c:pt idx="35">
                  <c:v>1985.0</c:v>
                </c:pt>
                <c:pt idx="36">
                  <c:v>1986.0</c:v>
                </c:pt>
                <c:pt idx="37">
                  <c:v>1987.0</c:v>
                </c:pt>
                <c:pt idx="38">
                  <c:v>1988.0</c:v>
                </c:pt>
                <c:pt idx="39">
                  <c:v>1989.0</c:v>
                </c:pt>
                <c:pt idx="40">
                  <c:v>1990.0</c:v>
                </c:pt>
                <c:pt idx="41">
                  <c:v>1991.0</c:v>
                </c:pt>
                <c:pt idx="42">
                  <c:v>1992.0</c:v>
                </c:pt>
                <c:pt idx="43">
                  <c:v>1993.0</c:v>
                </c:pt>
                <c:pt idx="44">
                  <c:v>1994.0</c:v>
                </c:pt>
                <c:pt idx="45">
                  <c:v>1995.0</c:v>
                </c:pt>
                <c:pt idx="46">
                  <c:v>1996.0</c:v>
                </c:pt>
                <c:pt idx="47">
                  <c:v>1997.0</c:v>
                </c:pt>
                <c:pt idx="48">
                  <c:v>1998.0</c:v>
                </c:pt>
                <c:pt idx="49">
                  <c:v>1999.0</c:v>
                </c:pt>
                <c:pt idx="50">
                  <c:v>2000.0</c:v>
                </c:pt>
                <c:pt idx="51">
                  <c:v>2001.0</c:v>
                </c:pt>
                <c:pt idx="52">
                  <c:v>2002.0</c:v>
                </c:pt>
                <c:pt idx="53">
                  <c:v>2003.0</c:v>
                </c:pt>
                <c:pt idx="54">
                  <c:v>2004.0</c:v>
                </c:pt>
                <c:pt idx="55">
                  <c:v>2005.0</c:v>
                </c:pt>
                <c:pt idx="56">
                  <c:v>2006.0</c:v>
                </c:pt>
                <c:pt idx="57">
                  <c:v>2007.0</c:v>
                </c:pt>
                <c:pt idx="58">
                  <c:v>2008.0</c:v>
                </c:pt>
                <c:pt idx="59">
                  <c:v>2009.0</c:v>
                </c:pt>
                <c:pt idx="60">
                  <c:v>2010.0</c:v>
                </c:pt>
                <c:pt idx="61">
                  <c:v>2011.0</c:v>
                </c:pt>
                <c:pt idx="62">
                  <c:v>2012.0</c:v>
                </c:pt>
                <c:pt idx="63">
                  <c:v>2013.0</c:v>
                </c:pt>
                <c:pt idx="64">
                  <c:v>2014.0</c:v>
                </c:pt>
                <c:pt idx="65">
                  <c:v>2015.0</c:v>
                </c:pt>
              </c:numCache>
            </c:numRef>
          </c:cat>
          <c:val>
            <c:numRef>
              <c:f>'DataFig8-9'!$AY$26:$AY$93</c:f>
              <c:numCache>
                <c:formatCode>0%</c:formatCode>
                <c:ptCount val="68"/>
                <c:pt idx="0">
                  <c:v>0.493224932249322</c:v>
                </c:pt>
                <c:pt idx="1">
                  <c:v>0.543942992874109</c:v>
                </c:pt>
                <c:pt idx="2">
                  <c:v>0.487623762376238</c:v>
                </c:pt>
                <c:pt idx="3">
                  <c:v>0.502439024390244</c:v>
                </c:pt>
                <c:pt idx="4">
                  <c:v>0.446650124069479</c:v>
                </c:pt>
                <c:pt idx="5">
                  <c:v>0.441634241245136</c:v>
                </c:pt>
                <c:pt idx="6">
                  <c:v>0.445759368836292</c:v>
                </c:pt>
                <c:pt idx="7">
                  <c:v>0.438247011952191</c:v>
                </c:pt>
                <c:pt idx="8">
                  <c:v>0.43652561247216</c:v>
                </c:pt>
                <c:pt idx="9">
                  <c:v>0.421516754850088</c:v>
                </c:pt>
                <c:pt idx="10">
                  <c:v>0.412926391382406</c:v>
                </c:pt>
                <c:pt idx="11">
                  <c:v>0.411149825783972</c:v>
                </c:pt>
                <c:pt idx="12">
                  <c:v>0.379204892966361</c:v>
                </c:pt>
                <c:pt idx="13">
                  <c:v>0.378640776699029</c:v>
                </c:pt>
                <c:pt idx="14">
                  <c:v>0.359649122807017</c:v>
                </c:pt>
                <c:pt idx="15">
                  <c:v>0.351528384279476</c:v>
                </c:pt>
                <c:pt idx="16">
                  <c:v>0.355691056910569</c:v>
                </c:pt>
                <c:pt idx="17">
                  <c:v>0.353430353430353</c:v>
                </c:pt>
                <c:pt idx="18">
                  <c:v>0.38830297219559</c:v>
                </c:pt>
                <c:pt idx="19">
                  <c:v>0.404170804369414</c:v>
                </c:pt>
                <c:pt idx="20">
                  <c:v>0.399098083427283</c:v>
                </c:pt>
                <c:pt idx="21">
                  <c:v>0.382268827454719</c:v>
                </c:pt>
                <c:pt idx="22">
                  <c:v>0.366830065359477</c:v>
                </c:pt>
                <c:pt idx="23">
                  <c:v>0.386685552407932</c:v>
                </c:pt>
                <c:pt idx="24">
                  <c:v>0.46624913013222</c:v>
                </c:pt>
                <c:pt idx="25">
                  <c:v>0.418263090676884</c:v>
                </c:pt>
                <c:pt idx="26">
                  <c:v>0.418864097363083</c:v>
                </c:pt>
                <c:pt idx="27">
                  <c:v>0.406317611423626</c:v>
                </c:pt>
                <c:pt idx="28">
                  <c:v>0.393046107331822</c:v>
                </c:pt>
                <c:pt idx="29">
                  <c:v>0.409027291812456</c:v>
                </c:pt>
                <c:pt idx="30">
                  <c:v>0.403487429034874</c:v>
                </c:pt>
                <c:pt idx="31">
                  <c:v>0.342760180995475</c:v>
                </c:pt>
                <c:pt idx="32">
                  <c:v>0.287916666666667</c:v>
                </c:pt>
                <c:pt idx="33">
                  <c:v>0.288691492996242</c:v>
                </c:pt>
                <c:pt idx="34">
                  <c:v>0.28514963297572</c:v>
                </c:pt>
                <c:pt idx="35">
                  <c:v>0.282119914346895</c:v>
                </c:pt>
                <c:pt idx="36">
                  <c:v>0.33021897810219</c:v>
                </c:pt>
                <c:pt idx="37">
                  <c:v>0.345653305570016</c:v>
                </c:pt>
                <c:pt idx="38">
                  <c:v>0.338248638838475</c:v>
                </c:pt>
                <c:pt idx="39">
                  <c:v>0.342197340797761</c:v>
                </c:pt>
                <c:pt idx="40">
                  <c:v>0.338935574229692</c:v>
                </c:pt>
                <c:pt idx="41">
                  <c:v>0.302643171806167</c:v>
                </c:pt>
                <c:pt idx="42">
                  <c:v>0.311243331965531</c:v>
                </c:pt>
                <c:pt idx="43">
                  <c:v>0.324646724169572</c:v>
                </c:pt>
                <c:pt idx="44">
                  <c:v>0.296464876346533</c:v>
                </c:pt>
                <c:pt idx="45">
                  <c:v>0.295494050006685</c:v>
                </c:pt>
                <c:pt idx="46">
                  <c:v>0.292500888520317</c:v>
                </c:pt>
                <c:pt idx="47">
                  <c:v>0.279704560051381</c:v>
                </c:pt>
                <c:pt idx="48">
                  <c:v>0.292807424593968</c:v>
                </c:pt>
                <c:pt idx="49">
                  <c:v>0.29301135099043</c:v>
                </c:pt>
                <c:pt idx="50">
                  <c:v>0.326056502451553</c:v>
                </c:pt>
                <c:pt idx="51">
                  <c:v>0.267564102564103</c:v>
                </c:pt>
                <c:pt idx="52">
                  <c:v>0.205549845837616</c:v>
                </c:pt>
                <c:pt idx="53">
                  <c:v>0.222915242652085</c:v>
                </c:pt>
                <c:pt idx="54" formatCode="0.0%">
                  <c:v>0.229756874696959</c:v>
                </c:pt>
                <c:pt idx="55" formatCode="0.0%">
                  <c:v>0.27251057743877</c:v>
                </c:pt>
                <c:pt idx="56" formatCode="0.0%">
                  <c:v>0.26973508161627</c:v>
                </c:pt>
                <c:pt idx="57" formatCode="0.0%">
                  <c:v>0.272276942572432</c:v>
                </c:pt>
                <c:pt idx="58" formatCode="0.0%">
                  <c:v>0.229316900485119</c:v>
                </c:pt>
                <c:pt idx="59" formatCode="0.0%">
                  <c:v>0.184418208220216</c:v>
                </c:pt>
                <c:pt idx="60" formatCode="0.0%">
                  <c:v>0.194308491851254</c:v>
                </c:pt>
                <c:pt idx="61" formatCode="0.0%">
                  <c:v>0.184238500193274</c:v>
                </c:pt>
                <c:pt idx="62" formatCode="0.0%">
                  <c:v>0.194634402945818</c:v>
                </c:pt>
                <c:pt idx="63" formatCode="0.0%">
                  <c:v>0.198610896458887</c:v>
                </c:pt>
              </c:numCache>
            </c:numRef>
          </c:val>
          <c:smooth val="0"/>
        </c:ser>
        <c:dLbls>
          <c:showLegendKey val="0"/>
          <c:showVal val="0"/>
          <c:showCatName val="0"/>
          <c:showSerName val="0"/>
          <c:showPercent val="0"/>
          <c:showBubbleSize val="0"/>
        </c:dLbls>
        <c:marker val="1"/>
        <c:smooth val="0"/>
        <c:axId val="2095274472"/>
        <c:axId val="2095277480"/>
      </c:lineChart>
      <c:catAx>
        <c:axId val="2095274472"/>
        <c:scaling>
          <c:orientation val="minMax"/>
        </c:scaling>
        <c:delete val="0"/>
        <c:axPos val="b"/>
        <c:numFmt formatCode="General" sourceLinked="1"/>
        <c:majorTickMark val="out"/>
        <c:minorTickMark val="none"/>
        <c:tickLblPos val="nextTo"/>
        <c:crossAx val="2095277480"/>
        <c:crosses val="autoZero"/>
        <c:auto val="1"/>
        <c:lblAlgn val="ctr"/>
        <c:lblOffset val="100"/>
        <c:noMultiLvlLbl val="0"/>
      </c:catAx>
      <c:valAx>
        <c:axId val="2095277480"/>
        <c:scaling>
          <c:orientation val="minMax"/>
          <c:min val="0.1"/>
        </c:scaling>
        <c:delete val="0"/>
        <c:axPos val="l"/>
        <c:majorGridlines/>
        <c:numFmt formatCode="0.0%" sourceLinked="1"/>
        <c:majorTickMark val="out"/>
        <c:minorTickMark val="none"/>
        <c:tickLblPos val="nextTo"/>
        <c:crossAx val="2095274472"/>
        <c:crosses val="autoZero"/>
        <c:crossBetween val="between"/>
      </c:valAx>
    </c:plotArea>
    <c:legend>
      <c:legendPos val="r"/>
      <c:layout>
        <c:manualLayout>
          <c:xMode val="edge"/>
          <c:yMode val="edge"/>
          <c:x val="0.364749082007344"/>
          <c:y val="0.0631577568515581"/>
          <c:w val="0.635250917992656"/>
          <c:h val="0.241521824559361"/>
        </c:manualLayout>
      </c:layout>
      <c:overlay val="0"/>
    </c:legend>
    <c:plotVisOnly val="1"/>
    <c:dispBlanksAs val="gap"/>
    <c:showDLblsOverMax val="0"/>
  </c:chart>
  <c:printSettings>
    <c:headerFooter/>
    <c:pageMargins b="1.0" l="0.75" r="0.75" t="1.0"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17672345675465"/>
          <c:y val="0.0529780668877776"/>
          <c:w val="0.852585589193421"/>
          <c:h val="0.896706567611693"/>
        </c:manualLayout>
      </c:layout>
      <c:lineChart>
        <c:grouping val="standard"/>
        <c:varyColors val="0"/>
        <c:ser>
          <c:idx val="0"/>
          <c:order val="0"/>
          <c:tx>
            <c:v>Statutory corporate tax rate</c:v>
          </c:tx>
          <c:marker>
            <c:symbol val="none"/>
          </c:marker>
          <c:cat>
            <c:numRef>
              <c:f>'DataFig8-9'!$A$64:$A$93</c:f>
              <c:numCache>
                <c:formatCode>General</c:formatCode>
                <c:ptCount val="30"/>
              </c:numCache>
            </c:numRef>
          </c:cat>
          <c:val>
            <c:numRef>
              <c:f>'DataFig8-9'!$AU$64:$AU$93</c:f>
              <c:numCache>
                <c:formatCode>0.0%</c:formatCode>
                <c:ptCount val="30"/>
                <c:pt idx="0">
                  <c:v>0.34</c:v>
                </c:pt>
                <c:pt idx="1">
                  <c:v>0.34</c:v>
                </c:pt>
                <c:pt idx="2">
                  <c:v>0.34</c:v>
                </c:pt>
                <c:pt idx="3">
                  <c:v>0.34</c:v>
                </c:pt>
                <c:pt idx="4">
                  <c:v>0.34</c:v>
                </c:pt>
                <c:pt idx="5">
                  <c:v>0.35</c:v>
                </c:pt>
                <c:pt idx="6">
                  <c:v>0.35</c:v>
                </c:pt>
                <c:pt idx="7">
                  <c:v>0.35</c:v>
                </c:pt>
                <c:pt idx="8">
                  <c:v>0.35</c:v>
                </c:pt>
                <c:pt idx="9">
                  <c:v>0.35</c:v>
                </c:pt>
                <c:pt idx="10">
                  <c:v>0.35</c:v>
                </c:pt>
                <c:pt idx="11">
                  <c:v>0.35</c:v>
                </c:pt>
                <c:pt idx="12">
                  <c:v>0.35</c:v>
                </c:pt>
                <c:pt idx="13">
                  <c:v>0.35</c:v>
                </c:pt>
                <c:pt idx="14">
                  <c:v>0.35</c:v>
                </c:pt>
                <c:pt idx="15">
                  <c:v>0.35</c:v>
                </c:pt>
                <c:pt idx="16">
                  <c:v>0.35</c:v>
                </c:pt>
                <c:pt idx="17">
                  <c:v>0.35</c:v>
                </c:pt>
                <c:pt idx="18">
                  <c:v>0.35</c:v>
                </c:pt>
                <c:pt idx="19">
                  <c:v>0.35</c:v>
                </c:pt>
                <c:pt idx="20">
                  <c:v>0.35</c:v>
                </c:pt>
                <c:pt idx="21">
                  <c:v>0.35</c:v>
                </c:pt>
                <c:pt idx="22">
                  <c:v>0.35</c:v>
                </c:pt>
                <c:pt idx="23">
                  <c:v>0.35</c:v>
                </c:pt>
                <c:pt idx="24">
                  <c:v>0.35</c:v>
                </c:pt>
                <c:pt idx="25">
                  <c:v>0.35</c:v>
                </c:pt>
              </c:numCache>
            </c:numRef>
          </c:val>
          <c:smooth val="0"/>
        </c:ser>
        <c:ser>
          <c:idx val="2"/>
          <c:order val="1"/>
          <c:tx>
            <c:strRef>
              <c:f>'DataFig8-9'!$AV$3</c:f>
              <c:strCache>
                <c:ptCount val="1"/>
                <c:pt idx="0">
                  <c:v>Effective tax rate paid to US (fed+local)</c:v>
                </c:pt>
              </c:strCache>
            </c:strRef>
          </c:tx>
          <c:marker>
            <c:symbol val="none"/>
          </c:marker>
          <c:cat>
            <c:numRef>
              <c:f>'DataFig8-9'!$A$64:$A$93</c:f>
              <c:numCache>
                <c:formatCode>General</c:formatCode>
                <c:ptCount val="30"/>
              </c:numCache>
            </c:numRef>
          </c:cat>
          <c:val>
            <c:numRef>
              <c:f>'DataFig8-9'!$AV$64:$AV$93</c:f>
              <c:numCache>
                <c:formatCode>0%</c:formatCode>
                <c:ptCount val="30"/>
                <c:pt idx="0">
                  <c:v>0.290957705396208</c:v>
                </c:pt>
                <c:pt idx="1">
                  <c:v>0.298084100522518</c:v>
                </c:pt>
                <c:pt idx="2">
                  <c:v>0.292353823088456</c:v>
                </c:pt>
                <c:pt idx="3">
                  <c:v>0.26245924545878</c:v>
                </c:pt>
                <c:pt idx="4">
                  <c:v>0.273317463752435</c:v>
                </c:pt>
                <c:pt idx="5">
                  <c:v>0.288807268509569</c:v>
                </c:pt>
                <c:pt idx="6">
                  <c:v>0.263851404984918</c:v>
                </c:pt>
                <c:pt idx="7">
                  <c:v>0.262597984322508</c:v>
                </c:pt>
                <c:pt idx="8">
                  <c:v>0.254120879120879</c:v>
                </c:pt>
                <c:pt idx="9">
                  <c:v>0.243449904419206</c:v>
                </c:pt>
                <c:pt idx="10">
                  <c:v>0.258452931160302</c:v>
                </c:pt>
                <c:pt idx="11">
                  <c:v>0.260044252940491</c:v>
                </c:pt>
                <c:pt idx="12">
                  <c:v>0.284368414528325</c:v>
                </c:pt>
                <c:pt idx="13">
                  <c:v>0.225837061135963</c:v>
                </c:pt>
                <c:pt idx="14">
                  <c:v>0.168638416863842</c:v>
                </c:pt>
                <c:pt idx="15">
                  <c:v>0.18743857768248</c:v>
                </c:pt>
                <c:pt idx="16">
                  <c:v>0.197705462154557</c:v>
                </c:pt>
                <c:pt idx="17">
                  <c:v>0.234704112337011</c:v>
                </c:pt>
                <c:pt idx="18">
                  <c:v>0.237581717606303</c:v>
                </c:pt>
                <c:pt idx="19">
                  <c:v>0.234131555016672</c:v>
                </c:pt>
                <c:pt idx="20">
                  <c:v>0.175087719298246</c:v>
                </c:pt>
                <c:pt idx="21">
                  <c:v>0.133194658793531</c:v>
                </c:pt>
                <c:pt idx="22">
                  <c:v>0.143255714132418</c:v>
                </c:pt>
                <c:pt idx="23">
                  <c:v>0.13971974522293</c:v>
                </c:pt>
                <c:pt idx="24">
                  <c:v>0.154960673382089</c:v>
                </c:pt>
                <c:pt idx="25">
                  <c:v>0.160974670716686</c:v>
                </c:pt>
              </c:numCache>
            </c:numRef>
          </c:val>
          <c:smooth val="0"/>
        </c:ser>
        <c:dLbls>
          <c:showLegendKey val="0"/>
          <c:showVal val="0"/>
          <c:showCatName val="0"/>
          <c:showSerName val="0"/>
          <c:showPercent val="0"/>
          <c:showBubbleSize val="0"/>
        </c:dLbls>
        <c:marker val="1"/>
        <c:smooth val="0"/>
        <c:axId val="2095231160"/>
        <c:axId val="2095234168"/>
      </c:lineChart>
      <c:catAx>
        <c:axId val="2095231160"/>
        <c:scaling>
          <c:orientation val="minMax"/>
        </c:scaling>
        <c:delete val="0"/>
        <c:axPos val="b"/>
        <c:numFmt formatCode="General" sourceLinked="1"/>
        <c:majorTickMark val="out"/>
        <c:minorTickMark val="none"/>
        <c:tickLblPos val="nextTo"/>
        <c:crossAx val="2095234168"/>
        <c:crosses val="autoZero"/>
        <c:auto val="1"/>
        <c:lblAlgn val="ctr"/>
        <c:lblOffset val="100"/>
        <c:noMultiLvlLbl val="0"/>
      </c:catAx>
      <c:valAx>
        <c:axId val="2095234168"/>
        <c:scaling>
          <c:orientation val="minMax"/>
          <c:min val="0.145"/>
        </c:scaling>
        <c:delete val="0"/>
        <c:axPos val="l"/>
        <c:majorGridlines/>
        <c:numFmt formatCode="0.0%" sourceLinked="1"/>
        <c:majorTickMark val="out"/>
        <c:minorTickMark val="none"/>
        <c:tickLblPos val="nextTo"/>
        <c:crossAx val="2095231160"/>
        <c:crosses val="autoZero"/>
        <c:crossBetween val="between"/>
      </c:valAx>
    </c:plotArea>
    <c:legend>
      <c:legendPos val="r"/>
      <c:layout>
        <c:manualLayout>
          <c:xMode val="edge"/>
          <c:yMode val="edge"/>
          <c:x val="0.360170047014794"/>
          <c:y val="0.07549968168236"/>
          <c:w val="0.343338643000039"/>
          <c:h val="0.262166664955281"/>
        </c:manualLayout>
      </c:layout>
      <c:overlay val="0"/>
    </c:legend>
    <c:plotVisOnly val="1"/>
    <c:dispBlanksAs val="gap"/>
    <c:showDLblsOverMax val="0"/>
  </c:chart>
  <c:printSettings>
    <c:headerFooter/>
    <c:pageMargins b="1.0" l="0.75" r="0.75" t="1.0"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0758109599542527"/>
          <c:y val="0.0464285714285714"/>
          <c:w val="0.922270216525752"/>
          <c:h val="0.816619235095613"/>
        </c:manualLayout>
      </c:layout>
      <c:lineChart>
        <c:grouping val="standard"/>
        <c:varyColors val="0"/>
        <c:ser>
          <c:idx val="0"/>
          <c:order val="0"/>
          <c:tx>
            <c:strRef>
              <c:f>'DataFig8-9'!$AV$3</c:f>
              <c:strCache>
                <c:ptCount val="1"/>
                <c:pt idx="0">
                  <c:v>Effective tax rate paid to US (fed+local)</c:v>
                </c:pt>
              </c:strCache>
            </c:strRef>
          </c:tx>
          <c:marker>
            <c:symbol val="none"/>
          </c:marker>
          <c:cat>
            <c:numRef>
              <c:f>'DataFig8-9'!$A$96:$A$156</c:f>
              <c:numCache>
                <c:formatCode>General</c:formatCode>
                <c:ptCount val="7"/>
                <c:pt idx="0">
                  <c:v>1950.0</c:v>
                </c:pt>
                <c:pt idx="1">
                  <c:v>1960.0</c:v>
                </c:pt>
                <c:pt idx="2">
                  <c:v>1970.0</c:v>
                </c:pt>
                <c:pt idx="3">
                  <c:v>1980.0</c:v>
                </c:pt>
                <c:pt idx="4">
                  <c:v>1990.0</c:v>
                </c:pt>
                <c:pt idx="5">
                  <c:v>2000.0</c:v>
                </c:pt>
                <c:pt idx="6">
                  <c:v>2010.0</c:v>
                </c:pt>
              </c:numCache>
            </c:numRef>
          </c:cat>
          <c:val>
            <c:numRef>
              <c:f>'DataFig8-9'!$AV$96:$AV$156</c:f>
              <c:numCache>
                <c:formatCode>0%</c:formatCode>
                <c:ptCount val="7"/>
                <c:pt idx="0">
                  <c:v>0.455574194064933</c:v>
                </c:pt>
                <c:pt idx="1">
                  <c:v>0.360306260245398</c:v>
                </c:pt>
                <c:pt idx="2">
                  <c:v>0.340131453771902</c:v>
                </c:pt>
                <c:pt idx="3">
                  <c:v>0.269413593096391</c:v>
                </c:pt>
                <c:pt idx="4">
                  <c:v>0.265945515775754</c:v>
                </c:pt>
                <c:pt idx="5">
                  <c:v>0.207868769541693</c:v>
                </c:pt>
                <c:pt idx="6">
                  <c:v>0.149727700863531</c:v>
                </c:pt>
              </c:numCache>
            </c:numRef>
          </c:val>
          <c:smooth val="0"/>
        </c:ser>
        <c:ser>
          <c:idx val="1"/>
          <c:order val="1"/>
          <c:tx>
            <c:strRef>
              <c:f>'DataFig8-9'!$AY$3</c:f>
              <c:strCache>
                <c:ptCount val="1"/>
                <c:pt idx="0">
                  <c:v>Effective tax rate paid worldwide</c:v>
                </c:pt>
              </c:strCache>
            </c:strRef>
          </c:tx>
          <c:marker>
            <c:symbol val="none"/>
          </c:marker>
          <c:cat>
            <c:numRef>
              <c:f>'DataFig8-9'!$A$96:$A$156</c:f>
              <c:numCache>
                <c:formatCode>General</c:formatCode>
                <c:ptCount val="7"/>
                <c:pt idx="0">
                  <c:v>1950.0</c:v>
                </c:pt>
                <c:pt idx="1">
                  <c:v>1960.0</c:v>
                </c:pt>
                <c:pt idx="2">
                  <c:v>1970.0</c:v>
                </c:pt>
                <c:pt idx="3">
                  <c:v>1980.0</c:v>
                </c:pt>
                <c:pt idx="4">
                  <c:v>1990.0</c:v>
                </c:pt>
                <c:pt idx="5">
                  <c:v>2000.0</c:v>
                </c:pt>
                <c:pt idx="6">
                  <c:v>2010.0</c:v>
                </c:pt>
              </c:numCache>
            </c:numRef>
          </c:cat>
          <c:val>
            <c:numRef>
              <c:f>'DataFig8-9'!$AY$96:$AY$156</c:f>
              <c:numCache>
                <c:formatCode>0%</c:formatCode>
                <c:ptCount val="7"/>
                <c:pt idx="0">
                  <c:v>0.465756382531526</c:v>
                </c:pt>
                <c:pt idx="1">
                  <c:v>0.379469458082419</c:v>
                </c:pt>
                <c:pt idx="2">
                  <c:v>0.40466498573895</c:v>
                </c:pt>
                <c:pt idx="3">
                  <c:v>0.324644358032431</c:v>
                </c:pt>
                <c:pt idx="4">
                  <c:v>0.302745195268028</c:v>
                </c:pt>
                <c:pt idx="5">
                  <c:v>0.248010027853512</c:v>
                </c:pt>
                <c:pt idx="6">
                  <c:v>0.192948072862308</c:v>
                </c:pt>
              </c:numCache>
            </c:numRef>
          </c:val>
          <c:smooth val="0"/>
        </c:ser>
        <c:ser>
          <c:idx val="2"/>
          <c:order val="2"/>
          <c:tx>
            <c:strRef>
              <c:f>'DataFig8-9'!$AU$3</c:f>
              <c:strCache>
                <c:ptCount val="1"/>
                <c:pt idx="0">
                  <c:v>Staturoy federal corporate tax rate</c:v>
                </c:pt>
              </c:strCache>
            </c:strRef>
          </c:tx>
          <c:marker>
            <c:symbol val="none"/>
          </c:marker>
          <c:cat>
            <c:numRef>
              <c:f>'DataFig8-9'!$A$96:$A$156</c:f>
              <c:numCache>
                <c:formatCode>General</c:formatCode>
                <c:ptCount val="7"/>
                <c:pt idx="0">
                  <c:v>1950.0</c:v>
                </c:pt>
                <c:pt idx="1">
                  <c:v>1960.0</c:v>
                </c:pt>
                <c:pt idx="2">
                  <c:v>1970.0</c:v>
                </c:pt>
                <c:pt idx="3">
                  <c:v>1980.0</c:v>
                </c:pt>
                <c:pt idx="4">
                  <c:v>1990.0</c:v>
                </c:pt>
                <c:pt idx="5">
                  <c:v>2000.0</c:v>
                </c:pt>
                <c:pt idx="6">
                  <c:v>2010.0</c:v>
                </c:pt>
              </c:numCache>
            </c:numRef>
          </c:cat>
          <c:val>
            <c:numRef>
              <c:f>'DataFig8-9'!$AU$96:$AU$156</c:f>
              <c:numCache>
                <c:formatCode>0%</c:formatCode>
                <c:ptCount val="7"/>
                <c:pt idx="0">
                  <c:v>0.509</c:v>
                </c:pt>
                <c:pt idx="1">
                  <c:v>0.5076</c:v>
                </c:pt>
                <c:pt idx="2">
                  <c:v>0.4792</c:v>
                </c:pt>
                <c:pt idx="3">
                  <c:v>0.43</c:v>
                </c:pt>
                <c:pt idx="4">
                  <c:v>0.347</c:v>
                </c:pt>
                <c:pt idx="5">
                  <c:v>0.35</c:v>
                </c:pt>
                <c:pt idx="6">
                  <c:v>0.35</c:v>
                </c:pt>
              </c:numCache>
            </c:numRef>
          </c:val>
          <c:smooth val="0"/>
        </c:ser>
        <c:ser>
          <c:idx val="3"/>
          <c:order val="3"/>
          <c:tx>
            <c:v>worldwide excl S corp</c:v>
          </c:tx>
          <c:marker>
            <c:symbol val="none"/>
          </c:marker>
          <c:val>
            <c:numRef>
              <c:f>'DataFig8-9'!$AZ$96:$AZ$156</c:f>
              <c:numCache>
                <c:formatCode>0%</c:formatCode>
                <c:ptCount val="7"/>
                <c:pt idx="0">
                  <c:v>0.465756382531526</c:v>
                </c:pt>
                <c:pt idx="1">
                  <c:v>0.381781659079668</c:v>
                </c:pt>
                <c:pt idx="2">
                  <c:v>0.409850321031783</c:v>
                </c:pt>
                <c:pt idx="3">
                  <c:v>0.333585376895779</c:v>
                </c:pt>
                <c:pt idx="4">
                  <c:v>0.336662404908877</c:v>
                </c:pt>
                <c:pt idx="5">
                  <c:v>0.291419959894972</c:v>
                </c:pt>
                <c:pt idx="6">
                  <c:v>0.222067738808788</c:v>
                </c:pt>
              </c:numCache>
            </c:numRef>
          </c:val>
          <c:smooth val="0"/>
        </c:ser>
        <c:dLbls>
          <c:showLegendKey val="0"/>
          <c:showVal val="0"/>
          <c:showCatName val="0"/>
          <c:showSerName val="0"/>
          <c:showPercent val="0"/>
          <c:showBubbleSize val="0"/>
        </c:dLbls>
        <c:marker val="1"/>
        <c:smooth val="0"/>
        <c:axId val="2095205832"/>
        <c:axId val="2095209016"/>
      </c:lineChart>
      <c:catAx>
        <c:axId val="2095205832"/>
        <c:scaling>
          <c:orientation val="minMax"/>
        </c:scaling>
        <c:delete val="0"/>
        <c:axPos val="b"/>
        <c:numFmt formatCode="General" sourceLinked="1"/>
        <c:majorTickMark val="out"/>
        <c:minorTickMark val="none"/>
        <c:tickLblPos val="nextTo"/>
        <c:crossAx val="2095209016"/>
        <c:crosses val="autoZero"/>
        <c:auto val="1"/>
        <c:lblAlgn val="ctr"/>
        <c:lblOffset val="100"/>
        <c:noMultiLvlLbl val="0"/>
      </c:catAx>
      <c:valAx>
        <c:axId val="2095209016"/>
        <c:scaling>
          <c:orientation val="minMax"/>
          <c:min val="0.15"/>
        </c:scaling>
        <c:delete val="0"/>
        <c:axPos val="l"/>
        <c:majorGridlines/>
        <c:numFmt formatCode="0%" sourceLinked="1"/>
        <c:majorTickMark val="out"/>
        <c:minorTickMark val="none"/>
        <c:tickLblPos val="nextTo"/>
        <c:crossAx val="2095205832"/>
        <c:crosses val="autoZero"/>
        <c:crossBetween val="between"/>
      </c:valAx>
    </c:plotArea>
    <c:legend>
      <c:legendPos val="r"/>
      <c:layout>
        <c:manualLayout>
          <c:xMode val="edge"/>
          <c:yMode val="edge"/>
          <c:x val="0.0951103617003679"/>
          <c:y val="0.502238751406074"/>
          <c:w val="0.341223972199734"/>
          <c:h val="0.497761368245468"/>
        </c:manualLayout>
      </c:layout>
      <c:overlay val="0"/>
    </c:legend>
    <c:plotVisOnly val="1"/>
    <c:dispBlanksAs val="gap"/>
    <c:showDLblsOverMax val="0"/>
  </c:chart>
  <c:printSettings>
    <c:headerFooter/>
    <c:pageMargins b="1.0" l="0.75" r="0.75" t="1.0"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0932248468941382"/>
          <c:y val="0.0790569271570157"/>
          <c:w val="0.872173017835743"/>
          <c:h val="0.771190342364741"/>
        </c:manualLayout>
      </c:layout>
      <c:lineChart>
        <c:grouping val="standard"/>
        <c:varyColors val="0"/>
        <c:ser>
          <c:idx val="0"/>
          <c:order val="0"/>
          <c:tx>
            <c:strRef>
              <c:f>'DataFig8-9'!$H$3</c:f>
              <c:strCache>
                <c:ptCount val="1"/>
                <c:pt idx="0">
                  <c:v>(domestic profits % national income)</c:v>
                </c:pt>
              </c:strCache>
            </c:strRef>
          </c:tx>
          <c:marker>
            <c:symbol val="none"/>
          </c:marker>
          <c:cat>
            <c:numRef>
              <c:f>'DataFig8-9'!$B$59:$B$89</c:f>
              <c:numCache>
                <c:formatCode>General</c:formatCode>
                <c:ptCount val="31"/>
                <c:pt idx="0">
                  <c:v>1983.0</c:v>
                </c:pt>
                <c:pt idx="1">
                  <c:v>1984.0</c:v>
                </c:pt>
                <c:pt idx="2">
                  <c:v>1985.0</c:v>
                </c:pt>
                <c:pt idx="3">
                  <c:v>1986.0</c:v>
                </c:pt>
                <c:pt idx="4">
                  <c:v>1987.0</c:v>
                </c:pt>
                <c:pt idx="5">
                  <c:v>1988.0</c:v>
                </c:pt>
                <c:pt idx="6">
                  <c:v>1989.0</c:v>
                </c:pt>
                <c:pt idx="7">
                  <c:v>1990.0</c:v>
                </c:pt>
                <c:pt idx="8">
                  <c:v>1991.0</c:v>
                </c:pt>
                <c:pt idx="9">
                  <c:v>1992.0</c:v>
                </c:pt>
                <c:pt idx="10">
                  <c:v>1993.0</c:v>
                </c:pt>
                <c:pt idx="11">
                  <c:v>1994.0</c:v>
                </c:pt>
                <c:pt idx="12">
                  <c:v>1995.0</c:v>
                </c:pt>
                <c:pt idx="13">
                  <c:v>1996.0</c:v>
                </c:pt>
                <c:pt idx="14">
                  <c:v>1997.0</c:v>
                </c:pt>
                <c:pt idx="15">
                  <c:v>1998.0</c:v>
                </c:pt>
                <c:pt idx="16">
                  <c:v>1999.0</c:v>
                </c:pt>
                <c:pt idx="17">
                  <c:v>2000.0</c:v>
                </c:pt>
                <c:pt idx="18">
                  <c:v>2001.0</c:v>
                </c:pt>
                <c:pt idx="19">
                  <c:v>2002.0</c:v>
                </c:pt>
                <c:pt idx="20">
                  <c:v>2003.0</c:v>
                </c:pt>
                <c:pt idx="21">
                  <c:v>2004.0</c:v>
                </c:pt>
                <c:pt idx="22">
                  <c:v>2005.0</c:v>
                </c:pt>
                <c:pt idx="23">
                  <c:v>2006.0</c:v>
                </c:pt>
                <c:pt idx="24">
                  <c:v>2007.0</c:v>
                </c:pt>
                <c:pt idx="25">
                  <c:v>2008.0</c:v>
                </c:pt>
                <c:pt idx="26">
                  <c:v>2009.0</c:v>
                </c:pt>
                <c:pt idx="27">
                  <c:v>2010.0</c:v>
                </c:pt>
                <c:pt idx="28">
                  <c:v>2011.0</c:v>
                </c:pt>
                <c:pt idx="29">
                  <c:v>2012.0</c:v>
                </c:pt>
                <c:pt idx="30">
                  <c:v>2013.0</c:v>
                </c:pt>
              </c:numCache>
            </c:numRef>
          </c:cat>
          <c:val>
            <c:numRef>
              <c:f>'DataFig8-9'!$H$59:$H$89</c:f>
              <c:numCache>
                <c:formatCode>0%</c:formatCode>
                <c:ptCount val="31"/>
                <c:pt idx="0">
                  <c:v>0.0799542558405489</c:v>
                </c:pt>
                <c:pt idx="1">
                  <c:v>0.0874854819976771</c:v>
                </c:pt>
                <c:pt idx="2">
                  <c:v>0.0858802453721296</c:v>
                </c:pt>
                <c:pt idx="3">
                  <c:v>0.0740346135855725</c:v>
                </c:pt>
                <c:pt idx="4">
                  <c:v>0.0771994562050884</c:v>
                </c:pt>
                <c:pt idx="5">
                  <c:v>0.0796501535585525</c:v>
                </c:pt>
                <c:pt idx="6">
                  <c:v>0.0725816569779599</c:v>
                </c:pt>
                <c:pt idx="7">
                  <c:v>0.0677309823077381</c:v>
                </c:pt>
                <c:pt idx="8">
                  <c:v>0.0722701066311872</c:v>
                </c:pt>
                <c:pt idx="9">
                  <c:v>0.0731312617051839</c:v>
                </c:pt>
                <c:pt idx="10">
                  <c:v>0.0773441301174671</c:v>
                </c:pt>
                <c:pt idx="11">
                  <c:v>0.0885801765414807</c:v>
                </c:pt>
                <c:pt idx="12">
                  <c:v>0.0941584998842503</c:v>
                </c:pt>
                <c:pt idx="13">
                  <c:v>0.0991535495840218</c:v>
                </c:pt>
                <c:pt idx="14">
                  <c:v>0.10273155926508</c:v>
                </c:pt>
                <c:pt idx="15">
                  <c:v>0.0892545785447927</c:v>
                </c:pt>
                <c:pt idx="16">
                  <c:v>0.0850752006150593</c:v>
                </c:pt>
                <c:pt idx="17">
                  <c:v>0.0712922420568093</c:v>
                </c:pt>
                <c:pt idx="18">
                  <c:v>0.0635411449600418</c:v>
                </c:pt>
                <c:pt idx="19">
                  <c:v>0.0793065445913869</c:v>
                </c:pt>
                <c:pt idx="20">
                  <c:v>0.090204983678352</c:v>
                </c:pt>
                <c:pt idx="21">
                  <c:v>0.102296767828174</c:v>
                </c:pt>
                <c:pt idx="22">
                  <c:v>0.110197690350362</c:v>
                </c:pt>
                <c:pt idx="23">
                  <c:v>0.115812008529921</c:v>
                </c:pt>
                <c:pt idx="24">
                  <c:v>0.0954112357361988</c:v>
                </c:pt>
                <c:pt idx="25">
                  <c:v>0.0706802491189108</c:v>
                </c:pt>
                <c:pt idx="26">
                  <c:v>0.0857489217473054</c:v>
                </c:pt>
                <c:pt idx="27">
                  <c:v>0.106063817261274</c:v>
                </c:pt>
                <c:pt idx="28">
                  <c:v>0.104453914306898</c:v>
                </c:pt>
                <c:pt idx="29">
                  <c:v>0.115007640641103</c:v>
                </c:pt>
                <c:pt idx="30">
                  <c:v>0.11670243052459</c:v>
                </c:pt>
              </c:numCache>
            </c:numRef>
          </c:val>
          <c:smooth val="0"/>
        </c:ser>
        <c:ser>
          <c:idx val="1"/>
          <c:order val="1"/>
          <c:tx>
            <c:strRef>
              <c:f>'DataFig8-9'!$J$3</c:f>
              <c:strCache>
                <c:ptCount val="1"/>
                <c:pt idx="0">
                  <c:v>(net foreign profits % of national income)</c:v>
                </c:pt>
              </c:strCache>
            </c:strRef>
          </c:tx>
          <c:marker>
            <c:symbol val="none"/>
          </c:marker>
          <c:cat>
            <c:numRef>
              <c:f>'DataFig8-9'!$B$59:$B$89</c:f>
              <c:numCache>
                <c:formatCode>General</c:formatCode>
                <c:ptCount val="31"/>
                <c:pt idx="0">
                  <c:v>1983.0</c:v>
                </c:pt>
                <c:pt idx="1">
                  <c:v>1984.0</c:v>
                </c:pt>
                <c:pt idx="2">
                  <c:v>1985.0</c:v>
                </c:pt>
                <c:pt idx="3">
                  <c:v>1986.0</c:v>
                </c:pt>
                <c:pt idx="4">
                  <c:v>1987.0</c:v>
                </c:pt>
                <c:pt idx="5">
                  <c:v>1988.0</c:v>
                </c:pt>
                <c:pt idx="6">
                  <c:v>1989.0</c:v>
                </c:pt>
                <c:pt idx="7">
                  <c:v>1990.0</c:v>
                </c:pt>
                <c:pt idx="8">
                  <c:v>1991.0</c:v>
                </c:pt>
                <c:pt idx="9">
                  <c:v>1992.0</c:v>
                </c:pt>
                <c:pt idx="10">
                  <c:v>1993.0</c:v>
                </c:pt>
                <c:pt idx="11">
                  <c:v>1994.0</c:v>
                </c:pt>
                <c:pt idx="12">
                  <c:v>1995.0</c:v>
                </c:pt>
                <c:pt idx="13">
                  <c:v>1996.0</c:v>
                </c:pt>
                <c:pt idx="14">
                  <c:v>1997.0</c:v>
                </c:pt>
                <c:pt idx="15">
                  <c:v>1998.0</c:v>
                </c:pt>
                <c:pt idx="16">
                  <c:v>1999.0</c:v>
                </c:pt>
                <c:pt idx="17">
                  <c:v>2000.0</c:v>
                </c:pt>
                <c:pt idx="18">
                  <c:v>2001.0</c:v>
                </c:pt>
                <c:pt idx="19">
                  <c:v>2002.0</c:v>
                </c:pt>
                <c:pt idx="20">
                  <c:v>2003.0</c:v>
                </c:pt>
                <c:pt idx="21">
                  <c:v>2004.0</c:v>
                </c:pt>
                <c:pt idx="22">
                  <c:v>2005.0</c:v>
                </c:pt>
                <c:pt idx="23">
                  <c:v>2006.0</c:v>
                </c:pt>
                <c:pt idx="24">
                  <c:v>2007.0</c:v>
                </c:pt>
                <c:pt idx="25">
                  <c:v>2008.0</c:v>
                </c:pt>
                <c:pt idx="26">
                  <c:v>2009.0</c:v>
                </c:pt>
                <c:pt idx="27">
                  <c:v>2010.0</c:v>
                </c:pt>
                <c:pt idx="28">
                  <c:v>2011.0</c:v>
                </c:pt>
                <c:pt idx="29">
                  <c:v>2012.0</c:v>
                </c:pt>
                <c:pt idx="30">
                  <c:v>2013.0</c:v>
                </c:pt>
              </c:numCache>
            </c:numRef>
          </c:cat>
          <c:val>
            <c:numRef>
              <c:f>'DataFig8-9'!$J$59:$J$89</c:f>
              <c:numCache>
                <c:formatCode>0.0%</c:formatCode>
                <c:ptCount val="31"/>
                <c:pt idx="0">
                  <c:v>0.0114687142623754</c:v>
                </c:pt>
                <c:pt idx="1">
                  <c:v>0.0106271777003484</c:v>
                </c:pt>
                <c:pt idx="2">
                  <c:v>0.0103414581184518</c:v>
                </c:pt>
                <c:pt idx="3">
                  <c:v>0.010264539265111</c:v>
                </c:pt>
                <c:pt idx="4">
                  <c:v>0.0116527481064284</c:v>
                </c:pt>
                <c:pt idx="5">
                  <c:v>0.0126852717318734</c:v>
                </c:pt>
                <c:pt idx="6">
                  <c:v>0.0140311990297353</c:v>
                </c:pt>
                <c:pt idx="7">
                  <c:v>0.0151108993070034</c:v>
                </c:pt>
                <c:pt idx="8">
                  <c:v>0.0147509689361948</c:v>
                </c:pt>
                <c:pt idx="9">
                  <c:v>0.0132916340891321</c:v>
                </c:pt>
                <c:pt idx="10">
                  <c:v>0.0133627580454577</c:v>
                </c:pt>
                <c:pt idx="11">
                  <c:v>0.0127031692778737</c:v>
                </c:pt>
                <c:pt idx="12">
                  <c:v>0.0143375260436762</c:v>
                </c:pt>
                <c:pt idx="13">
                  <c:v>0.0147838942516741</c:v>
                </c:pt>
                <c:pt idx="14">
                  <c:v>0.0145791556013224</c:v>
                </c:pt>
                <c:pt idx="15">
                  <c:v>0.0130833746961424</c:v>
                </c:pt>
                <c:pt idx="16">
                  <c:v>0.0146557109221085</c:v>
                </c:pt>
                <c:pt idx="17">
                  <c:v>0.0164140563601662</c:v>
                </c:pt>
                <c:pt idx="18">
                  <c:v>0.0185527948958038</c:v>
                </c:pt>
                <c:pt idx="19">
                  <c:v>0.0168277382163445</c:v>
                </c:pt>
                <c:pt idx="20">
                  <c:v>0.0168893574745038</c:v>
                </c:pt>
                <c:pt idx="21">
                  <c:v>0.0194480547201852</c:v>
                </c:pt>
                <c:pt idx="22">
                  <c:v>0.0212726205092617</c:v>
                </c:pt>
                <c:pt idx="23">
                  <c:v>0.0213414634146341</c:v>
                </c:pt>
                <c:pt idx="24">
                  <c:v>0.0286818056389696</c:v>
                </c:pt>
                <c:pt idx="25">
                  <c:v>0.0327250197138673</c:v>
                </c:pt>
                <c:pt idx="26">
                  <c:v>0.0294571214157891</c:v>
                </c:pt>
                <c:pt idx="27">
                  <c:v>0.0310216256524981</c:v>
                </c:pt>
                <c:pt idx="28">
                  <c:v>0.0315975524815949</c:v>
                </c:pt>
                <c:pt idx="29">
                  <c:v>0.0287643484132343</c:v>
                </c:pt>
                <c:pt idx="30">
                  <c:v>0.0278324906874481</c:v>
                </c:pt>
              </c:numCache>
            </c:numRef>
          </c:val>
          <c:smooth val="0"/>
        </c:ser>
        <c:dLbls>
          <c:showLegendKey val="0"/>
          <c:showVal val="0"/>
          <c:showCatName val="0"/>
          <c:showSerName val="0"/>
          <c:showPercent val="0"/>
          <c:showBubbleSize val="0"/>
        </c:dLbls>
        <c:marker val="1"/>
        <c:smooth val="0"/>
        <c:axId val="2095149912"/>
        <c:axId val="2095152920"/>
      </c:lineChart>
      <c:catAx>
        <c:axId val="2095149912"/>
        <c:scaling>
          <c:orientation val="minMax"/>
        </c:scaling>
        <c:delete val="0"/>
        <c:axPos val="b"/>
        <c:numFmt formatCode="General" sourceLinked="1"/>
        <c:majorTickMark val="out"/>
        <c:minorTickMark val="none"/>
        <c:tickLblPos val="nextTo"/>
        <c:crossAx val="2095152920"/>
        <c:crosses val="autoZero"/>
        <c:auto val="1"/>
        <c:lblAlgn val="ctr"/>
        <c:lblOffset val="100"/>
        <c:noMultiLvlLbl val="0"/>
      </c:catAx>
      <c:valAx>
        <c:axId val="2095152920"/>
        <c:scaling>
          <c:orientation val="minMax"/>
          <c:max val="0.12"/>
          <c:min val="0.0"/>
        </c:scaling>
        <c:delete val="0"/>
        <c:axPos val="l"/>
        <c:majorGridlines/>
        <c:numFmt formatCode="0%" sourceLinked="1"/>
        <c:majorTickMark val="out"/>
        <c:minorTickMark val="none"/>
        <c:tickLblPos val="nextTo"/>
        <c:crossAx val="2095149912"/>
        <c:crosses val="autoZero"/>
        <c:crossBetween val="between"/>
      </c:valAx>
    </c:plotArea>
    <c:legend>
      <c:legendPos val="r"/>
      <c:layout>
        <c:manualLayout>
          <c:xMode val="edge"/>
          <c:yMode val="edge"/>
          <c:x val="0.148689851268591"/>
          <c:y val="0.459338363954506"/>
          <c:w val="0.329469446198522"/>
          <c:h val="0.238673474067792"/>
        </c:manualLayout>
      </c:layout>
      <c:overlay val="0"/>
    </c:legend>
    <c:plotVisOnly val="1"/>
    <c:dispBlanksAs val="gap"/>
    <c:showDLblsOverMax val="0"/>
  </c:chart>
  <c:printSettings>
    <c:headerFooter/>
    <c:pageMargins b="1.0" l="0.75" r="0.75" t="1.0"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0932248672845291"/>
          <c:y val="0.211111111111111"/>
          <c:w val="0.881775127247403"/>
          <c:h val="0.666913823272091"/>
        </c:manualLayout>
      </c:layout>
      <c:lineChart>
        <c:grouping val="standard"/>
        <c:varyColors val="0"/>
        <c:ser>
          <c:idx val="0"/>
          <c:order val="0"/>
          <c:tx>
            <c:strRef>
              <c:f>'DataFig8-9'!$CQ$3</c:f>
              <c:strCache>
                <c:ptCount val="1"/>
                <c:pt idx="0">
                  <c:v>Top 6 havens % of total DI income</c:v>
                </c:pt>
              </c:strCache>
            </c:strRef>
          </c:tx>
          <c:marker>
            <c:symbol val="none"/>
          </c:marker>
          <c:cat>
            <c:numRef>
              <c:f>'DataFig8-9'!$B$58:$B$89</c:f>
              <c:numCache>
                <c:formatCode>General</c:formatCode>
                <c:ptCount val="32"/>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pt idx="31">
                  <c:v>2013.0</c:v>
                </c:pt>
              </c:numCache>
            </c:numRef>
          </c:cat>
          <c:val>
            <c:numRef>
              <c:f>'DataFig8-9'!$CQ$58:$CQ$89</c:f>
              <c:numCache>
                <c:formatCode>0%</c:formatCode>
                <c:ptCount val="32"/>
                <c:pt idx="0">
                  <c:v>0.228250362493958</c:v>
                </c:pt>
                <c:pt idx="1">
                  <c:v>0.167608217168012</c:v>
                </c:pt>
                <c:pt idx="2">
                  <c:v>0.140928901320497</c:v>
                </c:pt>
                <c:pt idx="3">
                  <c:v>0.157203419278616</c:v>
                </c:pt>
                <c:pt idx="4">
                  <c:v>0.193395618556701</c:v>
                </c:pt>
                <c:pt idx="5">
                  <c:v>0.199310482662136</c:v>
                </c:pt>
                <c:pt idx="6">
                  <c:v>0.187486793322704</c:v>
                </c:pt>
                <c:pt idx="7">
                  <c:v>0.220475069072299</c:v>
                </c:pt>
                <c:pt idx="8">
                  <c:v>0.246465760982001</c:v>
                </c:pt>
                <c:pt idx="9">
                  <c:v>0.247892948336437</c:v>
                </c:pt>
                <c:pt idx="10">
                  <c:v>0.267754375556215</c:v>
                </c:pt>
                <c:pt idx="11">
                  <c:v>0.246173018305519</c:v>
                </c:pt>
                <c:pt idx="12">
                  <c:v>0.298621479409164</c:v>
                </c:pt>
                <c:pt idx="13">
                  <c:v>0.262255856020882</c:v>
                </c:pt>
                <c:pt idx="14">
                  <c:v>0.27518858046456</c:v>
                </c:pt>
                <c:pt idx="15">
                  <c:v>0.296829971181556</c:v>
                </c:pt>
                <c:pt idx="16">
                  <c:v>0.343497728175041</c:v>
                </c:pt>
                <c:pt idx="17">
                  <c:v>0.35057018924686</c:v>
                </c:pt>
                <c:pt idx="18">
                  <c:v>0.313743529904557</c:v>
                </c:pt>
                <c:pt idx="19">
                  <c:v>0.389651819065883</c:v>
                </c:pt>
                <c:pt idx="20">
                  <c:v>0.411933728189531</c:v>
                </c:pt>
                <c:pt idx="21">
                  <c:v>0.409151165535735</c:v>
                </c:pt>
                <c:pt idx="22">
                  <c:v>0.430166765279513</c:v>
                </c:pt>
                <c:pt idx="23">
                  <c:v>0.448316702038054</c:v>
                </c:pt>
                <c:pt idx="24">
                  <c:v>0.424998520291733</c:v>
                </c:pt>
                <c:pt idx="25">
                  <c:v>0.460925030764882</c:v>
                </c:pt>
                <c:pt idx="26">
                  <c:v>0.475027611374359</c:v>
                </c:pt>
                <c:pt idx="27">
                  <c:v>0.52934516334891</c:v>
                </c:pt>
                <c:pt idx="28">
                  <c:v>0.517031644736054</c:v>
                </c:pt>
                <c:pt idx="29">
                  <c:v>0.517378161009292</c:v>
                </c:pt>
                <c:pt idx="30">
                  <c:v>0.534909672654533</c:v>
                </c:pt>
                <c:pt idx="31">
                  <c:v>0.558309970780677</c:v>
                </c:pt>
              </c:numCache>
            </c:numRef>
          </c:val>
          <c:smooth val="0"/>
        </c:ser>
        <c:dLbls>
          <c:showLegendKey val="0"/>
          <c:showVal val="0"/>
          <c:showCatName val="0"/>
          <c:showSerName val="0"/>
          <c:showPercent val="0"/>
          <c:showBubbleSize val="0"/>
        </c:dLbls>
        <c:marker val="1"/>
        <c:smooth val="0"/>
        <c:axId val="2098546248"/>
        <c:axId val="2098549256"/>
      </c:lineChart>
      <c:catAx>
        <c:axId val="2098546248"/>
        <c:scaling>
          <c:orientation val="minMax"/>
        </c:scaling>
        <c:delete val="0"/>
        <c:axPos val="b"/>
        <c:numFmt formatCode="General" sourceLinked="1"/>
        <c:majorTickMark val="out"/>
        <c:minorTickMark val="none"/>
        <c:tickLblPos val="nextTo"/>
        <c:crossAx val="2098549256"/>
        <c:crosses val="autoZero"/>
        <c:auto val="1"/>
        <c:lblAlgn val="ctr"/>
        <c:lblOffset val="100"/>
        <c:noMultiLvlLbl val="0"/>
      </c:catAx>
      <c:valAx>
        <c:axId val="2098549256"/>
        <c:scaling>
          <c:orientation val="minMax"/>
        </c:scaling>
        <c:delete val="0"/>
        <c:axPos val="l"/>
        <c:majorGridlines/>
        <c:numFmt formatCode="0%" sourceLinked="1"/>
        <c:majorTickMark val="out"/>
        <c:minorTickMark val="none"/>
        <c:tickLblPos val="nextTo"/>
        <c:crossAx val="2098546248"/>
        <c:crosses val="autoZero"/>
        <c:crossBetween val="between"/>
      </c:valAx>
    </c:plotArea>
    <c:legend>
      <c:legendPos val="r"/>
      <c:layout>
        <c:manualLayout>
          <c:xMode val="edge"/>
          <c:yMode val="edge"/>
          <c:x val="0.433187049157326"/>
          <c:y val="0.654213314346178"/>
          <c:w val="0.344373525012121"/>
          <c:h val="0.149876633346969"/>
        </c:manualLayout>
      </c:layout>
      <c:overlay val="0"/>
    </c:legend>
    <c:plotVisOnly val="1"/>
    <c:dispBlanksAs val="gap"/>
    <c:showDLblsOverMax val="0"/>
  </c:chart>
  <c:printSettings>
    <c:headerFooter/>
    <c:pageMargins b="1.0" l="0.75" r="0.75" t="1.0"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If</a:t>
            </a:r>
            <a:r>
              <a:rPr lang="fr-FR" baseline="0"/>
              <a:t> you g</a:t>
            </a:r>
            <a:r>
              <a:rPr lang="fr-FR"/>
              <a:t>ive</a:t>
            </a:r>
            <a:r>
              <a:rPr lang="fr-FR" baseline="0"/>
              <a:t> a mouse a cookie...</a:t>
            </a:r>
            <a:endParaRPr lang="fr-FR"/>
          </a:p>
        </c:rich>
      </c:tx>
      <c:layout>
        <c:manualLayout>
          <c:xMode val="edge"/>
          <c:yMode val="edge"/>
          <c:x val="0.107322834645669"/>
          <c:y val="0.0185185185185185"/>
        </c:manualLayout>
      </c:layout>
      <c:overlay val="0"/>
    </c:title>
    <c:autoTitleDeleted val="0"/>
    <c:plotArea>
      <c:layout/>
      <c:barChart>
        <c:barDir val="col"/>
        <c:grouping val="stacked"/>
        <c:varyColors val="0"/>
        <c:ser>
          <c:idx val="0"/>
          <c:order val="0"/>
          <c:tx>
            <c:strRef>
              <c:f>'DataFig8-9'!$CX$3</c:f>
              <c:strCache>
                <c:ptCount val="1"/>
                <c:pt idx="0">
                  <c:v>Ireland</c:v>
                </c:pt>
              </c:strCache>
            </c:strRef>
          </c:tx>
          <c:invertIfNegative val="0"/>
          <c:cat>
            <c:numRef>
              <c:f>'DataFig8-9'!$B$75:$B$89</c:f>
              <c:numCache>
                <c:formatCode>General</c:formatCode>
                <c:ptCount val="15"/>
                <c:pt idx="0">
                  <c:v>1999.0</c:v>
                </c:pt>
                <c:pt idx="1">
                  <c:v>2000.0</c:v>
                </c:pt>
                <c:pt idx="2">
                  <c:v>2001.0</c:v>
                </c:pt>
                <c:pt idx="3">
                  <c:v>2002.0</c:v>
                </c:pt>
                <c:pt idx="4">
                  <c:v>2003.0</c:v>
                </c:pt>
                <c:pt idx="5">
                  <c:v>2004.0</c:v>
                </c:pt>
                <c:pt idx="6">
                  <c:v>2005.0</c:v>
                </c:pt>
                <c:pt idx="7">
                  <c:v>2006.0</c:v>
                </c:pt>
                <c:pt idx="8">
                  <c:v>2007.0</c:v>
                </c:pt>
                <c:pt idx="9">
                  <c:v>2008.0</c:v>
                </c:pt>
                <c:pt idx="10">
                  <c:v>2009.0</c:v>
                </c:pt>
                <c:pt idx="11">
                  <c:v>2010.0</c:v>
                </c:pt>
                <c:pt idx="12">
                  <c:v>2011.0</c:v>
                </c:pt>
                <c:pt idx="13">
                  <c:v>2012.0</c:v>
                </c:pt>
                <c:pt idx="14">
                  <c:v>2013.0</c:v>
                </c:pt>
              </c:numCache>
            </c:numRef>
          </c:cat>
          <c:val>
            <c:numRef>
              <c:f>'DataFig8-9'!$CX$75:$CX$89</c:f>
              <c:numCache>
                <c:formatCode>#,##0.0</c:formatCode>
                <c:ptCount val="15"/>
                <c:pt idx="0">
                  <c:v>3.073</c:v>
                </c:pt>
                <c:pt idx="1">
                  <c:v>4.345</c:v>
                </c:pt>
                <c:pt idx="2">
                  <c:v>3.856</c:v>
                </c:pt>
                <c:pt idx="3">
                  <c:v>4.927</c:v>
                </c:pt>
                <c:pt idx="4">
                  <c:v>7.394</c:v>
                </c:pt>
                <c:pt idx="5">
                  <c:v>7.712</c:v>
                </c:pt>
                <c:pt idx="6">
                  <c:v>-3.257</c:v>
                </c:pt>
                <c:pt idx="7">
                  <c:v>6.501</c:v>
                </c:pt>
                <c:pt idx="8">
                  <c:v>6.469</c:v>
                </c:pt>
                <c:pt idx="9">
                  <c:v>22.366</c:v>
                </c:pt>
                <c:pt idx="10">
                  <c:v>21.856</c:v>
                </c:pt>
                <c:pt idx="11">
                  <c:v>23.685</c:v>
                </c:pt>
                <c:pt idx="12">
                  <c:v>27.989</c:v>
                </c:pt>
                <c:pt idx="13">
                  <c:v>35.351</c:v>
                </c:pt>
                <c:pt idx="14">
                  <c:v>30.574</c:v>
                </c:pt>
              </c:numCache>
            </c:numRef>
          </c:val>
        </c:ser>
        <c:ser>
          <c:idx val="1"/>
          <c:order val="1"/>
          <c:tx>
            <c:strRef>
              <c:f>'DataFig8-9'!$CY$3</c:f>
              <c:strCache>
                <c:ptCount val="1"/>
                <c:pt idx="0">
                  <c:v>Netherlands</c:v>
                </c:pt>
              </c:strCache>
            </c:strRef>
          </c:tx>
          <c:invertIfNegative val="0"/>
          <c:cat>
            <c:numRef>
              <c:f>'DataFig8-9'!$B$75:$B$89</c:f>
              <c:numCache>
                <c:formatCode>General</c:formatCode>
                <c:ptCount val="15"/>
                <c:pt idx="0">
                  <c:v>1999.0</c:v>
                </c:pt>
                <c:pt idx="1">
                  <c:v>2000.0</c:v>
                </c:pt>
                <c:pt idx="2">
                  <c:v>2001.0</c:v>
                </c:pt>
                <c:pt idx="3">
                  <c:v>2002.0</c:v>
                </c:pt>
                <c:pt idx="4">
                  <c:v>2003.0</c:v>
                </c:pt>
                <c:pt idx="5">
                  <c:v>2004.0</c:v>
                </c:pt>
                <c:pt idx="6">
                  <c:v>2005.0</c:v>
                </c:pt>
                <c:pt idx="7">
                  <c:v>2006.0</c:v>
                </c:pt>
                <c:pt idx="8">
                  <c:v>2007.0</c:v>
                </c:pt>
                <c:pt idx="9">
                  <c:v>2008.0</c:v>
                </c:pt>
                <c:pt idx="10">
                  <c:v>2009.0</c:v>
                </c:pt>
                <c:pt idx="11">
                  <c:v>2010.0</c:v>
                </c:pt>
                <c:pt idx="12">
                  <c:v>2011.0</c:v>
                </c:pt>
                <c:pt idx="13">
                  <c:v>2012.0</c:v>
                </c:pt>
                <c:pt idx="14">
                  <c:v>2013.0</c:v>
                </c:pt>
              </c:numCache>
            </c:numRef>
          </c:cat>
          <c:val>
            <c:numRef>
              <c:f>'DataFig8-9'!$CY$75:$CY$89</c:f>
              <c:numCache>
                <c:formatCode>#,##0.0</c:formatCode>
                <c:ptCount val="15"/>
                <c:pt idx="0">
                  <c:v>11.724</c:v>
                </c:pt>
                <c:pt idx="1">
                  <c:v>10.078</c:v>
                </c:pt>
                <c:pt idx="2">
                  <c:v>7.52</c:v>
                </c:pt>
                <c:pt idx="3">
                  <c:v>9.015</c:v>
                </c:pt>
                <c:pt idx="4">
                  <c:v>14.713</c:v>
                </c:pt>
                <c:pt idx="5">
                  <c:v>22.207</c:v>
                </c:pt>
                <c:pt idx="6">
                  <c:v>-33.848</c:v>
                </c:pt>
                <c:pt idx="7">
                  <c:v>29.055</c:v>
                </c:pt>
                <c:pt idx="8">
                  <c:v>35.679</c:v>
                </c:pt>
                <c:pt idx="9">
                  <c:v>26.445</c:v>
                </c:pt>
                <c:pt idx="10">
                  <c:v>42.981</c:v>
                </c:pt>
                <c:pt idx="11">
                  <c:v>51.14</c:v>
                </c:pt>
                <c:pt idx="12">
                  <c:v>64.943</c:v>
                </c:pt>
                <c:pt idx="13">
                  <c:v>41.55</c:v>
                </c:pt>
                <c:pt idx="14">
                  <c:v>61.414</c:v>
                </c:pt>
              </c:numCache>
            </c:numRef>
          </c:val>
        </c:ser>
        <c:ser>
          <c:idx val="2"/>
          <c:order val="2"/>
          <c:tx>
            <c:strRef>
              <c:f>'DataFig8-9'!$CZ$3</c:f>
              <c:strCache>
                <c:ptCount val="1"/>
                <c:pt idx="0">
                  <c:v>Luxembourg</c:v>
                </c:pt>
              </c:strCache>
            </c:strRef>
          </c:tx>
          <c:invertIfNegative val="0"/>
          <c:cat>
            <c:numRef>
              <c:f>'DataFig8-9'!$B$75:$B$89</c:f>
              <c:numCache>
                <c:formatCode>General</c:formatCode>
                <c:ptCount val="15"/>
                <c:pt idx="0">
                  <c:v>1999.0</c:v>
                </c:pt>
                <c:pt idx="1">
                  <c:v>2000.0</c:v>
                </c:pt>
                <c:pt idx="2">
                  <c:v>2001.0</c:v>
                </c:pt>
                <c:pt idx="3">
                  <c:v>2002.0</c:v>
                </c:pt>
                <c:pt idx="4">
                  <c:v>2003.0</c:v>
                </c:pt>
                <c:pt idx="5">
                  <c:v>2004.0</c:v>
                </c:pt>
                <c:pt idx="6">
                  <c:v>2005.0</c:v>
                </c:pt>
                <c:pt idx="7">
                  <c:v>2006.0</c:v>
                </c:pt>
                <c:pt idx="8">
                  <c:v>2007.0</c:v>
                </c:pt>
                <c:pt idx="9">
                  <c:v>2008.0</c:v>
                </c:pt>
                <c:pt idx="10">
                  <c:v>2009.0</c:v>
                </c:pt>
                <c:pt idx="11">
                  <c:v>2010.0</c:v>
                </c:pt>
                <c:pt idx="12">
                  <c:v>2011.0</c:v>
                </c:pt>
                <c:pt idx="13">
                  <c:v>2012.0</c:v>
                </c:pt>
                <c:pt idx="14">
                  <c:v>2013.0</c:v>
                </c:pt>
              </c:numCache>
            </c:numRef>
          </c:cat>
          <c:val>
            <c:numRef>
              <c:f>'DataFig8-9'!$CZ$75:$CZ$89</c:f>
              <c:numCache>
                <c:formatCode>#,##0.0</c:formatCode>
                <c:ptCount val="15"/>
                <c:pt idx="0">
                  <c:v>2.73</c:v>
                </c:pt>
                <c:pt idx="1">
                  <c:v>2.535</c:v>
                </c:pt>
                <c:pt idx="2">
                  <c:v>3.094</c:v>
                </c:pt>
                <c:pt idx="3">
                  <c:v>6.125</c:v>
                </c:pt>
                <c:pt idx="4">
                  <c:v>3.169</c:v>
                </c:pt>
                <c:pt idx="5">
                  <c:v>2.84</c:v>
                </c:pt>
                <c:pt idx="6">
                  <c:v>-5.953</c:v>
                </c:pt>
                <c:pt idx="7">
                  <c:v>15.385</c:v>
                </c:pt>
                <c:pt idx="8">
                  <c:v>17.069</c:v>
                </c:pt>
                <c:pt idx="9">
                  <c:v>19.05</c:v>
                </c:pt>
                <c:pt idx="10">
                  <c:v>15.96</c:v>
                </c:pt>
                <c:pt idx="11">
                  <c:v>25.467</c:v>
                </c:pt>
                <c:pt idx="12">
                  <c:v>19.739</c:v>
                </c:pt>
                <c:pt idx="13">
                  <c:v>11.611</c:v>
                </c:pt>
                <c:pt idx="14">
                  <c:v>28.559</c:v>
                </c:pt>
              </c:numCache>
            </c:numRef>
          </c:val>
        </c:ser>
        <c:ser>
          <c:idx val="3"/>
          <c:order val="3"/>
          <c:tx>
            <c:strRef>
              <c:f>'DataFig8-9'!$DA$3</c:f>
              <c:strCache>
                <c:ptCount val="1"/>
                <c:pt idx="0">
                  <c:v>Switzerland</c:v>
                </c:pt>
              </c:strCache>
            </c:strRef>
          </c:tx>
          <c:invertIfNegative val="0"/>
          <c:cat>
            <c:numRef>
              <c:f>'DataFig8-9'!$B$75:$B$89</c:f>
              <c:numCache>
                <c:formatCode>General</c:formatCode>
                <c:ptCount val="15"/>
                <c:pt idx="0">
                  <c:v>1999.0</c:v>
                </c:pt>
                <c:pt idx="1">
                  <c:v>2000.0</c:v>
                </c:pt>
                <c:pt idx="2">
                  <c:v>2001.0</c:v>
                </c:pt>
                <c:pt idx="3">
                  <c:v>2002.0</c:v>
                </c:pt>
                <c:pt idx="4">
                  <c:v>2003.0</c:v>
                </c:pt>
                <c:pt idx="5">
                  <c:v>2004.0</c:v>
                </c:pt>
                <c:pt idx="6">
                  <c:v>2005.0</c:v>
                </c:pt>
                <c:pt idx="7">
                  <c:v>2006.0</c:v>
                </c:pt>
                <c:pt idx="8">
                  <c:v>2007.0</c:v>
                </c:pt>
                <c:pt idx="9">
                  <c:v>2008.0</c:v>
                </c:pt>
                <c:pt idx="10">
                  <c:v>2009.0</c:v>
                </c:pt>
                <c:pt idx="11">
                  <c:v>2010.0</c:v>
                </c:pt>
                <c:pt idx="12">
                  <c:v>2011.0</c:v>
                </c:pt>
                <c:pt idx="13">
                  <c:v>2012.0</c:v>
                </c:pt>
                <c:pt idx="14">
                  <c:v>2013.0</c:v>
                </c:pt>
              </c:numCache>
            </c:numRef>
          </c:cat>
          <c:val>
            <c:numRef>
              <c:f>'DataFig8-9'!$DA$75:$DA$89</c:f>
              <c:numCache>
                <c:formatCode>#,##0.0</c:formatCode>
                <c:ptCount val="15"/>
                <c:pt idx="0">
                  <c:v>4.138</c:v>
                </c:pt>
                <c:pt idx="1">
                  <c:v>2.949</c:v>
                </c:pt>
                <c:pt idx="2">
                  <c:v>2.705</c:v>
                </c:pt>
                <c:pt idx="3">
                  <c:v>7.725</c:v>
                </c:pt>
                <c:pt idx="4">
                  <c:v>9.065</c:v>
                </c:pt>
                <c:pt idx="5">
                  <c:v>10.361</c:v>
                </c:pt>
                <c:pt idx="6">
                  <c:v>-7.366</c:v>
                </c:pt>
                <c:pt idx="7">
                  <c:v>9.638</c:v>
                </c:pt>
                <c:pt idx="8">
                  <c:v>9.444000000000001</c:v>
                </c:pt>
                <c:pt idx="9">
                  <c:v>14.866</c:v>
                </c:pt>
                <c:pt idx="10">
                  <c:v>12.188</c:v>
                </c:pt>
                <c:pt idx="11">
                  <c:v>7.107</c:v>
                </c:pt>
                <c:pt idx="12">
                  <c:v>7.452</c:v>
                </c:pt>
                <c:pt idx="13">
                  <c:v>8.299</c:v>
                </c:pt>
                <c:pt idx="14">
                  <c:v>13.143</c:v>
                </c:pt>
              </c:numCache>
            </c:numRef>
          </c:val>
        </c:ser>
        <c:ser>
          <c:idx val="4"/>
          <c:order val="4"/>
          <c:tx>
            <c:strRef>
              <c:f>'DataFig8-9'!$DB$3</c:f>
              <c:strCache>
                <c:ptCount val="1"/>
                <c:pt idx="0">
                  <c:v>Bermuda &amp; other Caribbean</c:v>
                </c:pt>
              </c:strCache>
            </c:strRef>
          </c:tx>
          <c:invertIfNegative val="0"/>
          <c:cat>
            <c:numRef>
              <c:f>'DataFig8-9'!$B$75:$B$89</c:f>
              <c:numCache>
                <c:formatCode>General</c:formatCode>
                <c:ptCount val="15"/>
                <c:pt idx="0">
                  <c:v>1999.0</c:v>
                </c:pt>
                <c:pt idx="1">
                  <c:v>2000.0</c:v>
                </c:pt>
                <c:pt idx="2">
                  <c:v>2001.0</c:v>
                </c:pt>
                <c:pt idx="3">
                  <c:v>2002.0</c:v>
                </c:pt>
                <c:pt idx="4">
                  <c:v>2003.0</c:v>
                </c:pt>
                <c:pt idx="5">
                  <c:v>2004.0</c:v>
                </c:pt>
                <c:pt idx="6">
                  <c:v>2005.0</c:v>
                </c:pt>
                <c:pt idx="7">
                  <c:v>2006.0</c:v>
                </c:pt>
                <c:pt idx="8">
                  <c:v>2007.0</c:v>
                </c:pt>
                <c:pt idx="9">
                  <c:v>2008.0</c:v>
                </c:pt>
                <c:pt idx="10">
                  <c:v>2009.0</c:v>
                </c:pt>
                <c:pt idx="11">
                  <c:v>2010.0</c:v>
                </c:pt>
                <c:pt idx="12">
                  <c:v>2011.0</c:v>
                </c:pt>
                <c:pt idx="13">
                  <c:v>2012.0</c:v>
                </c:pt>
                <c:pt idx="14">
                  <c:v>2013.0</c:v>
                </c:pt>
              </c:numCache>
            </c:numRef>
          </c:cat>
          <c:val>
            <c:numRef>
              <c:f>'DataFig8-9'!$DB$75:$DB$89</c:f>
              <c:numCache>
                <c:formatCode>#,##0.0</c:formatCode>
                <c:ptCount val="15"/>
                <c:pt idx="0">
                  <c:v>3.828</c:v>
                </c:pt>
                <c:pt idx="1">
                  <c:v>4.268</c:v>
                </c:pt>
                <c:pt idx="2">
                  <c:v>3.894</c:v>
                </c:pt>
                <c:pt idx="3">
                  <c:v>4.92</c:v>
                </c:pt>
                <c:pt idx="4">
                  <c:v>6.761999999999999</c:v>
                </c:pt>
                <c:pt idx="5">
                  <c:v>13.355</c:v>
                </c:pt>
                <c:pt idx="6">
                  <c:v>-15.618</c:v>
                </c:pt>
                <c:pt idx="7">
                  <c:v>19.06</c:v>
                </c:pt>
                <c:pt idx="8">
                  <c:v>25.698</c:v>
                </c:pt>
                <c:pt idx="9">
                  <c:v>27.569</c:v>
                </c:pt>
                <c:pt idx="10">
                  <c:v>28.332</c:v>
                </c:pt>
                <c:pt idx="11">
                  <c:v>46.363</c:v>
                </c:pt>
                <c:pt idx="12">
                  <c:v>42.652</c:v>
                </c:pt>
                <c:pt idx="13">
                  <c:v>41.612</c:v>
                </c:pt>
                <c:pt idx="14">
                  <c:v>47.711</c:v>
                </c:pt>
              </c:numCache>
            </c:numRef>
          </c:val>
        </c:ser>
        <c:ser>
          <c:idx val="5"/>
          <c:order val="5"/>
          <c:tx>
            <c:strRef>
              <c:f>'DataFig8-9'!$DC$3</c:f>
              <c:strCache>
                <c:ptCount val="1"/>
                <c:pt idx="0">
                  <c:v>Singapore</c:v>
                </c:pt>
              </c:strCache>
            </c:strRef>
          </c:tx>
          <c:invertIfNegative val="0"/>
          <c:cat>
            <c:numRef>
              <c:f>'DataFig8-9'!$B$75:$B$89</c:f>
              <c:numCache>
                <c:formatCode>General</c:formatCode>
                <c:ptCount val="15"/>
                <c:pt idx="0">
                  <c:v>1999.0</c:v>
                </c:pt>
                <c:pt idx="1">
                  <c:v>2000.0</c:v>
                </c:pt>
                <c:pt idx="2">
                  <c:v>2001.0</c:v>
                </c:pt>
                <c:pt idx="3">
                  <c:v>2002.0</c:v>
                </c:pt>
                <c:pt idx="4">
                  <c:v>2003.0</c:v>
                </c:pt>
                <c:pt idx="5">
                  <c:v>2004.0</c:v>
                </c:pt>
                <c:pt idx="6">
                  <c:v>2005.0</c:v>
                </c:pt>
                <c:pt idx="7">
                  <c:v>2006.0</c:v>
                </c:pt>
                <c:pt idx="8">
                  <c:v>2007.0</c:v>
                </c:pt>
                <c:pt idx="9">
                  <c:v>2008.0</c:v>
                </c:pt>
                <c:pt idx="10">
                  <c:v>2009.0</c:v>
                </c:pt>
                <c:pt idx="11">
                  <c:v>2010.0</c:v>
                </c:pt>
                <c:pt idx="12">
                  <c:v>2011.0</c:v>
                </c:pt>
                <c:pt idx="13">
                  <c:v>2012.0</c:v>
                </c:pt>
                <c:pt idx="14">
                  <c:v>2013.0</c:v>
                </c:pt>
              </c:numCache>
            </c:numRef>
          </c:cat>
          <c:val>
            <c:numRef>
              <c:f>'DataFig8-9'!$DC$75:$DC$89</c:f>
              <c:numCache>
                <c:formatCode>#,##0.0</c:formatCode>
                <c:ptCount val="15"/>
                <c:pt idx="0">
                  <c:v>1.343</c:v>
                </c:pt>
                <c:pt idx="1">
                  <c:v>3.207</c:v>
                </c:pt>
                <c:pt idx="2">
                  <c:v>2.349</c:v>
                </c:pt>
                <c:pt idx="3">
                  <c:v>2.75</c:v>
                </c:pt>
                <c:pt idx="4">
                  <c:v>3.793</c:v>
                </c:pt>
                <c:pt idx="5">
                  <c:v>6.303</c:v>
                </c:pt>
                <c:pt idx="6">
                  <c:v>-4.636999999999999</c:v>
                </c:pt>
                <c:pt idx="7">
                  <c:v>11.77</c:v>
                </c:pt>
                <c:pt idx="8">
                  <c:v>6.999</c:v>
                </c:pt>
                <c:pt idx="9">
                  <c:v>7.273</c:v>
                </c:pt>
                <c:pt idx="10">
                  <c:v>4.02</c:v>
                </c:pt>
                <c:pt idx="11">
                  <c:v>10.282</c:v>
                </c:pt>
                <c:pt idx="12">
                  <c:v>8.645</c:v>
                </c:pt>
                <c:pt idx="13">
                  <c:v>11.523</c:v>
                </c:pt>
                <c:pt idx="14">
                  <c:v>15.343</c:v>
                </c:pt>
              </c:numCache>
            </c:numRef>
          </c:val>
        </c:ser>
        <c:dLbls>
          <c:showLegendKey val="0"/>
          <c:showVal val="0"/>
          <c:showCatName val="0"/>
          <c:showSerName val="0"/>
          <c:showPercent val="0"/>
          <c:showBubbleSize val="0"/>
        </c:dLbls>
        <c:gapWidth val="150"/>
        <c:overlap val="100"/>
        <c:axId val="2095115256"/>
        <c:axId val="2095113864"/>
      </c:barChart>
      <c:catAx>
        <c:axId val="2095115256"/>
        <c:scaling>
          <c:orientation val="minMax"/>
        </c:scaling>
        <c:delete val="0"/>
        <c:axPos val="b"/>
        <c:numFmt formatCode="General" sourceLinked="1"/>
        <c:majorTickMark val="out"/>
        <c:minorTickMark val="none"/>
        <c:tickLblPos val="nextTo"/>
        <c:crossAx val="2095113864"/>
        <c:crosses val="autoZero"/>
        <c:auto val="1"/>
        <c:lblAlgn val="ctr"/>
        <c:lblOffset val="100"/>
        <c:noMultiLvlLbl val="0"/>
      </c:catAx>
      <c:valAx>
        <c:axId val="2095113864"/>
        <c:scaling>
          <c:orientation val="minMax"/>
          <c:max val="200.0"/>
        </c:scaling>
        <c:delete val="0"/>
        <c:axPos val="l"/>
        <c:majorGridlines/>
        <c:numFmt formatCode="#,##0.0" sourceLinked="1"/>
        <c:majorTickMark val="out"/>
        <c:minorTickMark val="none"/>
        <c:tickLblPos val="nextTo"/>
        <c:crossAx val="2095115256"/>
        <c:crosses val="autoZero"/>
        <c:crossBetween val="between"/>
      </c:valAx>
    </c:plotArea>
    <c:legend>
      <c:legendPos val="r"/>
      <c:layout>
        <c:manualLayout>
          <c:xMode val="edge"/>
          <c:yMode val="edge"/>
          <c:x val="0.727820866141732"/>
          <c:y val="0.110580708661417"/>
          <c:w val="0.247179133858268"/>
          <c:h val="0.837171916010499"/>
        </c:manualLayout>
      </c:layout>
      <c:overlay val="0"/>
    </c:legend>
    <c:plotVisOnly val="1"/>
    <c:dispBlanksAs val="gap"/>
    <c:showDLblsOverMax val="0"/>
  </c:chart>
  <c:printSettings>
    <c:headerFooter/>
    <c:pageMargins b="1.0" l="0.75" r="0.75" t="1.0"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Top 6 havens % of total DI assets</a:t>
            </a:r>
          </a:p>
        </c:rich>
      </c:tx>
      <c:overlay val="0"/>
    </c:title>
    <c:autoTitleDeleted val="0"/>
    <c:plotArea>
      <c:layout>
        <c:manualLayout>
          <c:layoutTarget val="inner"/>
          <c:xMode val="edge"/>
          <c:yMode val="edge"/>
          <c:x val="0.0932248672845291"/>
          <c:y val="0.211111111111111"/>
          <c:w val="0.881775127247403"/>
          <c:h val="0.666913823272091"/>
        </c:manualLayout>
      </c:layout>
      <c:lineChart>
        <c:grouping val="standard"/>
        <c:varyColors val="0"/>
        <c:ser>
          <c:idx val="0"/>
          <c:order val="0"/>
          <c:tx>
            <c:strRef>
              <c:f>'DataFig8-9'!$CQ$3</c:f>
              <c:strCache>
                <c:ptCount val="1"/>
                <c:pt idx="0">
                  <c:v>Top 6 havens % of total DI income</c:v>
                </c:pt>
              </c:strCache>
            </c:strRef>
          </c:tx>
          <c:marker>
            <c:symbol val="none"/>
          </c:marker>
          <c:cat>
            <c:numRef>
              <c:f>'DataFig8-9'!$B$58:$B$88</c:f>
              <c:numCache>
                <c:formatCode>General</c:formatCode>
                <c:ptCount val="31"/>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numCache>
            </c:numRef>
          </c:cat>
          <c:val>
            <c:numRef>
              <c:f>'DataFig8-9'!$EZ$58:$EZ$88</c:f>
              <c:numCache>
                <c:formatCode>0%</c:formatCode>
                <c:ptCount val="31"/>
                <c:pt idx="0">
                  <c:v>0.108903885401825</c:v>
                </c:pt>
                <c:pt idx="1">
                  <c:v>0.11058213528164</c:v>
                </c:pt>
                <c:pt idx="2">
                  <c:v>0.109604618213331</c:v>
                </c:pt>
                <c:pt idx="3">
                  <c:v>0.135109850693672</c:v>
                </c:pt>
                <c:pt idx="4">
                  <c:v>0.165336892543406</c:v>
                </c:pt>
                <c:pt idx="5">
                  <c:v>0.184289493123435</c:v>
                </c:pt>
                <c:pt idx="6">
                  <c:v>0.186169094328862</c:v>
                </c:pt>
                <c:pt idx="7">
                  <c:v>0.188642179678926</c:v>
                </c:pt>
                <c:pt idx="8">
                  <c:v>0.194764018479935</c:v>
                </c:pt>
                <c:pt idx="9">
                  <c:v>0.189537538153744</c:v>
                </c:pt>
                <c:pt idx="10">
                  <c:v>0.204595837574169</c:v>
                </c:pt>
                <c:pt idx="11">
                  <c:v>0.210270378515745</c:v>
                </c:pt>
                <c:pt idx="12">
                  <c:v>0.213753461044587</c:v>
                </c:pt>
                <c:pt idx="13">
                  <c:v>0.211750820797837</c:v>
                </c:pt>
                <c:pt idx="14">
                  <c:v>0.224531089858462</c:v>
                </c:pt>
                <c:pt idx="15">
                  <c:v>0.231416615785777</c:v>
                </c:pt>
                <c:pt idx="16">
                  <c:v>0.25010017957376</c:v>
                </c:pt>
                <c:pt idx="17">
                  <c:v>0.268517878877595</c:v>
                </c:pt>
                <c:pt idx="18">
                  <c:v>0.278979553229751</c:v>
                </c:pt>
                <c:pt idx="19">
                  <c:v>0.331849444517486</c:v>
                </c:pt>
                <c:pt idx="20">
                  <c:v>0.344433941955327</c:v>
                </c:pt>
                <c:pt idx="21">
                  <c:v>0.353404953512435</c:v>
                </c:pt>
                <c:pt idx="22">
                  <c:v>0.355694811842039</c:v>
                </c:pt>
                <c:pt idx="23">
                  <c:v>0.3462493799227</c:v>
                </c:pt>
                <c:pt idx="24">
                  <c:v>0.371753883713833</c:v>
                </c:pt>
                <c:pt idx="25">
                  <c:v>0.404535100434873</c:v>
                </c:pt>
                <c:pt idx="26">
                  <c:v>0.417922018701974</c:v>
                </c:pt>
                <c:pt idx="27">
                  <c:v>0.439712540182103</c:v>
                </c:pt>
                <c:pt idx="28">
                  <c:v>0.45079999251719</c:v>
                </c:pt>
                <c:pt idx="29">
                  <c:v>0.464610387305281</c:v>
                </c:pt>
                <c:pt idx="30">
                  <c:v>0.468566168916717</c:v>
                </c:pt>
              </c:numCache>
            </c:numRef>
          </c:val>
          <c:smooth val="0"/>
        </c:ser>
        <c:dLbls>
          <c:showLegendKey val="0"/>
          <c:showVal val="0"/>
          <c:showCatName val="0"/>
          <c:showSerName val="0"/>
          <c:showPercent val="0"/>
          <c:showBubbleSize val="0"/>
        </c:dLbls>
        <c:marker val="1"/>
        <c:smooth val="0"/>
        <c:axId val="2095059176"/>
        <c:axId val="2095062184"/>
      </c:lineChart>
      <c:catAx>
        <c:axId val="2095059176"/>
        <c:scaling>
          <c:orientation val="minMax"/>
        </c:scaling>
        <c:delete val="0"/>
        <c:axPos val="b"/>
        <c:numFmt formatCode="General" sourceLinked="1"/>
        <c:majorTickMark val="out"/>
        <c:minorTickMark val="none"/>
        <c:tickLblPos val="nextTo"/>
        <c:crossAx val="2095062184"/>
        <c:crosses val="autoZero"/>
        <c:auto val="1"/>
        <c:lblAlgn val="ctr"/>
        <c:lblOffset val="100"/>
        <c:noMultiLvlLbl val="0"/>
      </c:catAx>
      <c:valAx>
        <c:axId val="2095062184"/>
        <c:scaling>
          <c:orientation val="minMax"/>
        </c:scaling>
        <c:delete val="0"/>
        <c:axPos val="l"/>
        <c:majorGridlines/>
        <c:numFmt formatCode="0%" sourceLinked="1"/>
        <c:majorTickMark val="out"/>
        <c:minorTickMark val="none"/>
        <c:tickLblPos val="nextTo"/>
        <c:crossAx val="2095059176"/>
        <c:crosses val="autoZero"/>
        <c:crossBetween val="between"/>
      </c:valAx>
    </c:plotArea>
    <c:legend>
      <c:legendPos val="r"/>
      <c:layout>
        <c:manualLayout>
          <c:xMode val="edge"/>
          <c:yMode val="edge"/>
          <c:x val="0.433187049157326"/>
          <c:y val="0.654213314346178"/>
          <c:w val="0.344373525012121"/>
          <c:h val="0.149876633346969"/>
        </c:manualLayout>
      </c:layout>
      <c:overlay val="0"/>
    </c:legend>
    <c:plotVisOnly val="1"/>
    <c:dispBlanksAs val="gap"/>
    <c:showDLblsOverMax val="0"/>
  </c:chart>
  <c:printSettings>
    <c:headerFooter/>
    <c:pageMargins b="1.0" l="0.75" r="0.75" t="1.0"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Historical cost total return</a:t>
            </a:r>
          </a:p>
        </c:rich>
      </c:tx>
      <c:layout>
        <c:manualLayout>
          <c:xMode val="edge"/>
          <c:yMode val="edge"/>
          <c:x val="0.246873578302712"/>
          <c:y val="0.00925925925925926"/>
        </c:manualLayout>
      </c:layout>
      <c:overlay val="0"/>
    </c:title>
    <c:autoTitleDeleted val="0"/>
    <c:plotArea>
      <c:layout>
        <c:manualLayout>
          <c:layoutTarget val="inner"/>
          <c:xMode val="edge"/>
          <c:yMode val="edge"/>
          <c:x val="0.0932248468941382"/>
          <c:y val="0.101851851851852"/>
          <c:w val="0.87042760279965"/>
          <c:h val="0.765123578302712"/>
        </c:manualLayout>
      </c:layout>
      <c:lineChart>
        <c:grouping val="standard"/>
        <c:varyColors val="0"/>
        <c:ser>
          <c:idx val="0"/>
          <c:order val="0"/>
          <c:tx>
            <c:strRef>
              <c:f>'DataFig8-9'!$FI$3</c:f>
              <c:strCache>
                <c:ptCount val="1"/>
                <c:pt idx="0">
                  <c:v>Top 6 havens</c:v>
                </c:pt>
              </c:strCache>
            </c:strRef>
          </c:tx>
          <c:marker>
            <c:symbol val="none"/>
          </c:marker>
          <c:cat>
            <c:numRef>
              <c:f>'DataFig8-9'!$B$58:$B$88</c:f>
              <c:numCache>
                <c:formatCode>General</c:formatCode>
                <c:ptCount val="31"/>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numCache>
            </c:numRef>
          </c:cat>
          <c:val>
            <c:numRef>
              <c:f>'DataFig8-9'!$FI$59:$FI$88</c:f>
              <c:numCache>
                <c:formatCode>0%</c:formatCode>
                <c:ptCount val="30"/>
                <c:pt idx="0">
                  <c:v>0.203491712707182</c:v>
                </c:pt>
                <c:pt idx="1">
                  <c:v>0.122463768115942</c:v>
                </c:pt>
                <c:pt idx="2">
                  <c:v>0.272925033467202</c:v>
                </c:pt>
                <c:pt idx="3">
                  <c:v>0.242842948518909</c:v>
                </c:pt>
                <c:pt idx="4">
                  <c:v>0.282676267358393</c:v>
                </c:pt>
                <c:pt idx="5">
                  <c:v>0.14218711018711</c:v>
                </c:pt>
                <c:pt idx="6">
                  <c:v>0.146672030200823</c:v>
                </c:pt>
                <c:pt idx="7">
                  <c:v>0.219647320188836</c:v>
                </c:pt>
                <c:pt idx="8">
                  <c:v>0.143231961836613</c:v>
                </c:pt>
                <c:pt idx="9">
                  <c:v>0.183514897264136</c:v>
                </c:pt>
                <c:pt idx="10">
                  <c:v>0.0922118380062304</c:v>
                </c:pt>
                <c:pt idx="11">
                  <c:v>0.158429693557631</c:v>
                </c:pt>
                <c:pt idx="12">
                  <c:v>0.2081552271617</c:v>
                </c:pt>
                <c:pt idx="13">
                  <c:v>0.247181067039597</c:v>
                </c:pt>
                <c:pt idx="14">
                  <c:v>0.171770860170488</c:v>
                </c:pt>
                <c:pt idx="15">
                  <c:v>0.165792984422502</c:v>
                </c:pt>
                <c:pt idx="16">
                  <c:v>0.244098515239176</c:v>
                </c:pt>
                <c:pt idx="17">
                  <c:v>0.147169892222831</c:v>
                </c:pt>
                <c:pt idx="18">
                  <c:v>0.291950567256526</c:v>
                </c:pt>
                <c:pt idx="19">
                  <c:v>0.142217462449728</c:v>
                </c:pt>
                <c:pt idx="20">
                  <c:v>0.154541895207204</c:v>
                </c:pt>
                <c:pt idx="21">
                  <c:v>0.259462095652313</c:v>
                </c:pt>
                <c:pt idx="22">
                  <c:v>0.249887783128047</c:v>
                </c:pt>
                <c:pt idx="23">
                  <c:v>0.20386203058085</c:v>
                </c:pt>
                <c:pt idx="24">
                  <c:v>0.274070671731091</c:v>
                </c:pt>
                <c:pt idx="25">
                  <c:v>0.125347391365374</c:v>
                </c:pt>
                <c:pt idx="26">
                  <c:v>0.174867683743791</c:v>
                </c:pt>
                <c:pt idx="27">
                  <c:v>0.107998678220752</c:v>
                </c:pt>
                <c:pt idx="28">
                  <c:v>0.136324267734059</c:v>
                </c:pt>
                <c:pt idx="29">
                  <c:v>0.118823358933488</c:v>
                </c:pt>
              </c:numCache>
            </c:numRef>
          </c:val>
          <c:smooth val="0"/>
        </c:ser>
        <c:ser>
          <c:idx val="1"/>
          <c:order val="1"/>
          <c:tx>
            <c:strRef>
              <c:f>'DataFig8-9'!$FJ$3</c:f>
              <c:strCache>
                <c:ptCount val="1"/>
                <c:pt idx="0">
                  <c:v>Non havens</c:v>
                </c:pt>
              </c:strCache>
            </c:strRef>
          </c:tx>
          <c:marker>
            <c:symbol val="none"/>
          </c:marker>
          <c:cat>
            <c:numRef>
              <c:f>'DataFig8-9'!$B$58:$B$88</c:f>
              <c:numCache>
                <c:formatCode>General</c:formatCode>
                <c:ptCount val="31"/>
                <c:pt idx="0">
                  <c:v>1982.0</c:v>
                </c:pt>
                <c:pt idx="1">
                  <c:v>1983.0</c:v>
                </c:pt>
                <c:pt idx="2">
                  <c:v>1984.0</c:v>
                </c:pt>
                <c:pt idx="3">
                  <c:v>1985.0</c:v>
                </c:pt>
                <c:pt idx="4">
                  <c:v>1986.0</c:v>
                </c:pt>
                <c:pt idx="5">
                  <c:v>1987.0</c:v>
                </c:pt>
                <c:pt idx="6">
                  <c:v>1988.0</c:v>
                </c:pt>
                <c:pt idx="7">
                  <c:v>1989.0</c:v>
                </c:pt>
                <c:pt idx="8">
                  <c:v>1990.0</c:v>
                </c:pt>
                <c:pt idx="9">
                  <c:v>1991.0</c:v>
                </c:pt>
                <c:pt idx="10">
                  <c:v>1992.0</c:v>
                </c:pt>
                <c:pt idx="11">
                  <c:v>1993.0</c:v>
                </c:pt>
                <c:pt idx="12">
                  <c:v>1994.0</c:v>
                </c:pt>
                <c:pt idx="13">
                  <c:v>1995.0</c:v>
                </c:pt>
                <c:pt idx="14">
                  <c:v>1996.0</c:v>
                </c:pt>
                <c:pt idx="15">
                  <c:v>1997.0</c:v>
                </c:pt>
                <c:pt idx="16">
                  <c:v>1998.0</c:v>
                </c:pt>
                <c:pt idx="17">
                  <c:v>1999.0</c:v>
                </c:pt>
                <c:pt idx="18">
                  <c:v>2000.0</c:v>
                </c:pt>
                <c:pt idx="19">
                  <c:v>2001.0</c:v>
                </c:pt>
                <c:pt idx="20">
                  <c:v>2002.0</c:v>
                </c:pt>
                <c:pt idx="21">
                  <c:v>2003.0</c:v>
                </c:pt>
                <c:pt idx="22">
                  <c:v>2004.0</c:v>
                </c:pt>
                <c:pt idx="23">
                  <c:v>2005.0</c:v>
                </c:pt>
                <c:pt idx="24">
                  <c:v>2006.0</c:v>
                </c:pt>
                <c:pt idx="25">
                  <c:v>2007.0</c:v>
                </c:pt>
                <c:pt idx="26">
                  <c:v>2008.0</c:v>
                </c:pt>
                <c:pt idx="27">
                  <c:v>2009.0</c:v>
                </c:pt>
                <c:pt idx="28">
                  <c:v>2010.0</c:v>
                </c:pt>
                <c:pt idx="29">
                  <c:v>2011.0</c:v>
                </c:pt>
                <c:pt idx="30">
                  <c:v>2012.0</c:v>
                </c:pt>
              </c:numCache>
            </c:numRef>
          </c:cat>
          <c:val>
            <c:numRef>
              <c:f>'DataFig8-9'!$FJ$59:$FJ$88</c:f>
              <c:numCache>
                <c:formatCode>0%</c:formatCode>
                <c:ptCount val="30"/>
                <c:pt idx="0">
                  <c:v>0.0946863504513117</c:v>
                </c:pt>
                <c:pt idx="1">
                  <c:v>0.11008002543855</c:v>
                </c:pt>
                <c:pt idx="2">
                  <c:v>0.150070292344057</c:v>
                </c:pt>
                <c:pt idx="3">
                  <c:v>0.173071792707712</c:v>
                </c:pt>
                <c:pt idx="4">
                  <c:v>0.234831873773549</c:v>
                </c:pt>
                <c:pt idx="5">
                  <c:v>0.172229152888835</c:v>
                </c:pt>
                <c:pt idx="6">
                  <c:v>0.146691677431914</c:v>
                </c:pt>
                <c:pt idx="7">
                  <c:v>0.19351370895626</c:v>
                </c:pt>
                <c:pt idx="8">
                  <c:v>0.128952234250918</c:v>
                </c:pt>
                <c:pt idx="9">
                  <c:v>0.0682121475855157</c:v>
                </c:pt>
                <c:pt idx="10">
                  <c:v>0.0873484698617481</c:v>
                </c:pt>
                <c:pt idx="11">
                  <c:v>0.0573276993745947</c:v>
                </c:pt>
                <c:pt idx="12">
                  <c:v>0.112317254116646</c:v>
                </c:pt>
                <c:pt idx="13">
                  <c:v>0.124793556419443</c:v>
                </c:pt>
                <c:pt idx="14">
                  <c:v>0.0883436120061819</c:v>
                </c:pt>
                <c:pt idx="15">
                  <c:v>0.0830681565346978</c:v>
                </c:pt>
                <c:pt idx="16">
                  <c:v>0.0787831461288039</c:v>
                </c:pt>
                <c:pt idx="17">
                  <c:v>0.0486816054361502</c:v>
                </c:pt>
                <c:pt idx="18">
                  <c:v>0.0232392488838733</c:v>
                </c:pt>
                <c:pt idx="19">
                  <c:v>0.0791905589119996</c:v>
                </c:pt>
                <c:pt idx="20">
                  <c:v>0.097067810076678</c:v>
                </c:pt>
                <c:pt idx="21">
                  <c:v>0.141778307200607</c:v>
                </c:pt>
                <c:pt idx="22">
                  <c:v>0.104332361520223</c:v>
                </c:pt>
                <c:pt idx="23">
                  <c:v>0.10731881071373</c:v>
                </c:pt>
                <c:pt idx="24">
                  <c:v>0.142019643598353</c:v>
                </c:pt>
                <c:pt idx="25">
                  <c:v>0.0961145607215575</c:v>
                </c:pt>
                <c:pt idx="26">
                  <c:v>0.0788870742037338</c:v>
                </c:pt>
                <c:pt idx="27">
                  <c:v>0.0738041168778373</c:v>
                </c:pt>
                <c:pt idx="28">
                  <c:v>0.08481565231524</c:v>
                </c:pt>
                <c:pt idx="29">
                  <c:v>0.0951751441777432</c:v>
                </c:pt>
              </c:numCache>
            </c:numRef>
          </c:val>
          <c:smooth val="0"/>
        </c:ser>
        <c:dLbls>
          <c:showLegendKey val="0"/>
          <c:showVal val="0"/>
          <c:showCatName val="0"/>
          <c:showSerName val="0"/>
          <c:showPercent val="0"/>
          <c:showBubbleSize val="0"/>
        </c:dLbls>
        <c:marker val="1"/>
        <c:smooth val="0"/>
        <c:axId val="2095098792"/>
        <c:axId val="2095101800"/>
      </c:lineChart>
      <c:catAx>
        <c:axId val="2095098792"/>
        <c:scaling>
          <c:orientation val="minMax"/>
        </c:scaling>
        <c:delete val="0"/>
        <c:axPos val="b"/>
        <c:numFmt formatCode="General" sourceLinked="1"/>
        <c:majorTickMark val="out"/>
        <c:minorTickMark val="none"/>
        <c:tickLblPos val="nextTo"/>
        <c:crossAx val="2095101800"/>
        <c:crosses val="autoZero"/>
        <c:auto val="1"/>
        <c:lblAlgn val="ctr"/>
        <c:lblOffset val="100"/>
        <c:noMultiLvlLbl val="0"/>
      </c:catAx>
      <c:valAx>
        <c:axId val="2095101800"/>
        <c:scaling>
          <c:orientation val="minMax"/>
        </c:scaling>
        <c:delete val="0"/>
        <c:axPos val="l"/>
        <c:majorGridlines/>
        <c:numFmt formatCode="0%" sourceLinked="1"/>
        <c:majorTickMark val="out"/>
        <c:minorTickMark val="none"/>
        <c:tickLblPos val="nextTo"/>
        <c:crossAx val="2095098792"/>
        <c:crosses val="autoZero"/>
        <c:crossBetween val="between"/>
      </c:valAx>
    </c:plotArea>
    <c:legend>
      <c:legendPos val="r"/>
      <c:layout>
        <c:manualLayout>
          <c:xMode val="edge"/>
          <c:yMode val="edge"/>
          <c:x val="0.220301837270341"/>
          <c:y val="0.0783198454359872"/>
          <c:w val="0.23879687870967"/>
          <c:h val="0.190706949562138"/>
        </c:manualLayout>
      </c:layout>
      <c:overlay val="0"/>
    </c:legend>
    <c:plotVisOnly val="1"/>
    <c:dispBlanksAs val="gap"/>
    <c:showDLblsOverMax val="0"/>
  </c:chart>
  <c:printSettings>
    <c:headerFooter/>
    <c:pageMargins b="1.0" l="0.75" r="0.75" t="1.0"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tx>
            <c:strRef>
              <c:f>'DataFig8-9'!$FT$3</c:f>
              <c:strCache>
                <c:ptCount val="1"/>
                <c:pt idx="0">
                  <c:v>Top 6 havens</c:v>
                </c:pt>
              </c:strCache>
            </c:strRef>
          </c:tx>
          <c:marker>
            <c:symbol val="none"/>
          </c:marker>
          <c:cat>
            <c:numRef>
              <c:f>'DataFig8-9'!$B$59:$B$88</c:f>
              <c:numCache>
                <c:formatCode>General</c:formatCode>
                <c:ptCount val="30"/>
                <c:pt idx="0">
                  <c:v>1983.0</c:v>
                </c:pt>
                <c:pt idx="1">
                  <c:v>1984.0</c:v>
                </c:pt>
                <c:pt idx="2">
                  <c:v>1985.0</c:v>
                </c:pt>
                <c:pt idx="3">
                  <c:v>1986.0</c:v>
                </c:pt>
                <c:pt idx="4">
                  <c:v>1987.0</c:v>
                </c:pt>
                <c:pt idx="5">
                  <c:v>1988.0</c:v>
                </c:pt>
                <c:pt idx="6">
                  <c:v>1989.0</c:v>
                </c:pt>
                <c:pt idx="7">
                  <c:v>1990.0</c:v>
                </c:pt>
                <c:pt idx="8">
                  <c:v>1991.0</c:v>
                </c:pt>
                <c:pt idx="9">
                  <c:v>1992.0</c:v>
                </c:pt>
                <c:pt idx="10">
                  <c:v>1993.0</c:v>
                </c:pt>
                <c:pt idx="11">
                  <c:v>1994.0</c:v>
                </c:pt>
                <c:pt idx="12">
                  <c:v>1995.0</c:v>
                </c:pt>
                <c:pt idx="13">
                  <c:v>1996.0</c:v>
                </c:pt>
                <c:pt idx="14">
                  <c:v>1997.0</c:v>
                </c:pt>
                <c:pt idx="15">
                  <c:v>1998.0</c:v>
                </c:pt>
                <c:pt idx="16">
                  <c:v>1999.0</c:v>
                </c:pt>
                <c:pt idx="17">
                  <c:v>2000.0</c:v>
                </c:pt>
                <c:pt idx="18">
                  <c:v>2001.0</c:v>
                </c:pt>
                <c:pt idx="19">
                  <c:v>2002.0</c:v>
                </c:pt>
                <c:pt idx="20">
                  <c:v>2003.0</c:v>
                </c:pt>
                <c:pt idx="21">
                  <c:v>2004.0</c:v>
                </c:pt>
                <c:pt idx="22">
                  <c:v>2005.0</c:v>
                </c:pt>
                <c:pt idx="23">
                  <c:v>2006.0</c:v>
                </c:pt>
                <c:pt idx="24">
                  <c:v>2007.0</c:v>
                </c:pt>
                <c:pt idx="25">
                  <c:v>2008.0</c:v>
                </c:pt>
                <c:pt idx="26">
                  <c:v>2009.0</c:v>
                </c:pt>
                <c:pt idx="27">
                  <c:v>2010.0</c:v>
                </c:pt>
                <c:pt idx="28">
                  <c:v>2011.0</c:v>
                </c:pt>
                <c:pt idx="29">
                  <c:v>2012.0</c:v>
                </c:pt>
              </c:numCache>
            </c:numRef>
          </c:cat>
          <c:val>
            <c:numRef>
              <c:f>'DataFig8-9'!$FT$59:$FT$88</c:f>
              <c:numCache>
                <c:formatCode>0%</c:formatCode>
                <c:ptCount val="30"/>
                <c:pt idx="0">
                  <c:v>0.201944751381215</c:v>
                </c:pt>
                <c:pt idx="1">
                  <c:v>0.184697357203751</c:v>
                </c:pt>
                <c:pt idx="2">
                  <c:v>0.18925702811245</c:v>
                </c:pt>
                <c:pt idx="3">
                  <c:v>0.186393839657207</c:v>
                </c:pt>
                <c:pt idx="4">
                  <c:v>0.178402915986493</c:v>
                </c:pt>
                <c:pt idx="5">
                  <c:v>0.162328482328482</c:v>
                </c:pt>
                <c:pt idx="6">
                  <c:v>0.183958907076771</c:v>
                </c:pt>
                <c:pt idx="7">
                  <c:v>0.198500416550958</c:v>
                </c:pt>
                <c:pt idx="8">
                  <c:v>0.153989266547406</c:v>
                </c:pt>
                <c:pt idx="9">
                  <c:v>0.152682860816023</c:v>
                </c:pt>
                <c:pt idx="10">
                  <c:v>0.142309190031153</c:v>
                </c:pt>
                <c:pt idx="11">
                  <c:v>0.17362539190237</c:v>
                </c:pt>
                <c:pt idx="12">
                  <c:v>0.174851917440156</c:v>
                </c:pt>
                <c:pt idx="13">
                  <c:v>0.174007039731923</c:v>
                </c:pt>
                <c:pt idx="14">
                  <c:v>0.174218408701399</c:v>
                </c:pt>
                <c:pt idx="15">
                  <c:v>0.154470657666996</c:v>
                </c:pt>
                <c:pt idx="16">
                  <c:v>0.160171171027186</c:v>
                </c:pt>
                <c:pt idx="17">
                  <c:v>0.128465852186936</c:v>
                </c:pt>
                <c:pt idx="18">
                  <c:v>0.11675462819235</c:v>
                </c:pt>
                <c:pt idx="19">
                  <c:v>0.106201392027106</c:v>
                </c:pt>
                <c:pt idx="20">
                  <c:v>0.121396782292913</c:v>
                </c:pt>
                <c:pt idx="21">
                  <c:v>0.156940469147252</c:v>
                </c:pt>
                <c:pt idx="22">
                  <c:v>0.158582931846303</c:v>
                </c:pt>
                <c:pt idx="23">
                  <c:v>0.166519792004865</c:v>
                </c:pt>
                <c:pt idx="24">
                  <c:v>0.175292691984442</c:v>
                </c:pt>
                <c:pt idx="25">
                  <c:v>0.154118744684891</c:v>
                </c:pt>
                <c:pt idx="26">
                  <c:v>0.133240064252034</c:v>
                </c:pt>
                <c:pt idx="27">
                  <c:v>0.137737435442056</c:v>
                </c:pt>
                <c:pt idx="28">
                  <c:v>0.137479080868339</c:v>
                </c:pt>
                <c:pt idx="29">
                  <c:v>0.121744147751973</c:v>
                </c:pt>
              </c:numCache>
            </c:numRef>
          </c:val>
          <c:smooth val="0"/>
        </c:ser>
        <c:ser>
          <c:idx val="1"/>
          <c:order val="1"/>
          <c:tx>
            <c:strRef>
              <c:f>'DataFig8-9'!$FU$3</c:f>
              <c:strCache>
                <c:ptCount val="1"/>
                <c:pt idx="0">
                  <c:v>Non havens</c:v>
                </c:pt>
              </c:strCache>
            </c:strRef>
          </c:tx>
          <c:marker>
            <c:symbol val="none"/>
          </c:marker>
          <c:cat>
            <c:numRef>
              <c:f>'DataFig8-9'!$B$59:$B$88</c:f>
              <c:numCache>
                <c:formatCode>General</c:formatCode>
                <c:ptCount val="30"/>
                <c:pt idx="0">
                  <c:v>1983.0</c:v>
                </c:pt>
                <c:pt idx="1">
                  <c:v>1984.0</c:v>
                </c:pt>
                <c:pt idx="2">
                  <c:v>1985.0</c:v>
                </c:pt>
                <c:pt idx="3">
                  <c:v>1986.0</c:v>
                </c:pt>
                <c:pt idx="4">
                  <c:v>1987.0</c:v>
                </c:pt>
                <c:pt idx="5">
                  <c:v>1988.0</c:v>
                </c:pt>
                <c:pt idx="6">
                  <c:v>1989.0</c:v>
                </c:pt>
                <c:pt idx="7">
                  <c:v>1990.0</c:v>
                </c:pt>
                <c:pt idx="8">
                  <c:v>1991.0</c:v>
                </c:pt>
                <c:pt idx="9">
                  <c:v>1992.0</c:v>
                </c:pt>
                <c:pt idx="10">
                  <c:v>1993.0</c:v>
                </c:pt>
                <c:pt idx="11">
                  <c:v>1994.0</c:v>
                </c:pt>
                <c:pt idx="12">
                  <c:v>1995.0</c:v>
                </c:pt>
                <c:pt idx="13">
                  <c:v>1996.0</c:v>
                </c:pt>
                <c:pt idx="14">
                  <c:v>1997.0</c:v>
                </c:pt>
                <c:pt idx="15">
                  <c:v>1998.0</c:v>
                </c:pt>
                <c:pt idx="16">
                  <c:v>1999.0</c:v>
                </c:pt>
                <c:pt idx="17">
                  <c:v>2000.0</c:v>
                </c:pt>
                <c:pt idx="18">
                  <c:v>2001.0</c:v>
                </c:pt>
                <c:pt idx="19">
                  <c:v>2002.0</c:v>
                </c:pt>
                <c:pt idx="20">
                  <c:v>2003.0</c:v>
                </c:pt>
                <c:pt idx="21">
                  <c:v>2004.0</c:v>
                </c:pt>
                <c:pt idx="22">
                  <c:v>2005.0</c:v>
                </c:pt>
                <c:pt idx="23">
                  <c:v>2006.0</c:v>
                </c:pt>
                <c:pt idx="24">
                  <c:v>2007.0</c:v>
                </c:pt>
                <c:pt idx="25">
                  <c:v>2008.0</c:v>
                </c:pt>
                <c:pt idx="26">
                  <c:v>2009.0</c:v>
                </c:pt>
                <c:pt idx="27">
                  <c:v>2010.0</c:v>
                </c:pt>
                <c:pt idx="28">
                  <c:v>2011.0</c:v>
                </c:pt>
                <c:pt idx="29">
                  <c:v>2012.0</c:v>
                </c:pt>
              </c:numCache>
            </c:numRef>
          </c:cat>
          <c:val>
            <c:numRef>
              <c:f>'DataFig8-9'!$FU$59:$FU$88</c:f>
              <c:numCache>
                <c:formatCode>0%</c:formatCode>
                <c:ptCount val="30"/>
                <c:pt idx="0">
                  <c:v>0.122569911466183</c:v>
                </c:pt>
                <c:pt idx="1">
                  <c:v>0.139980921087498</c:v>
                </c:pt>
                <c:pt idx="2">
                  <c:v>0.124898938662849</c:v>
                </c:pt>
                <c:pt idx="3">
                  <c:v>0.121442741908102</c:v>
                </c:pt>
                <c:pt idx="4">
                  <c:v>0.141969320451998</c:v>
                </c:pt>
                <c:pt idx="5">
                  <c:v>0.158934798292551</c:v>
                </c:pt>
                <c:pt idx="6">
                  <c:v>0.148786918897875</c:v>
                </c:pt>
                <c:pt idx="7">
                  <c:v>0.141102333734718</c:v>
                </c:pt>
                <c:pt idx="8">
                  <c:v>0.113003395149868</c:v>
                </c:pt>
                <c:pt idx="9">
                  <c:v>0.0976501305483029</c:v>
                </c:pt>
                <c:pt idx="10">
                  <c:v>0.112091610470197</c:v>
                </c:pt>
                <c:pt idx="11">
                  <c:v>0.108578622223319</c:v>
                </c:pt>
                <c:pt idx="12">
                  <c:v>0.133722776181039</c:v>
                </c:pt>
                <c:pt idx="13">
                  <c:v>0.123118414222919</c:v>
                </c:pt>
                <c:pt idx="14">
                  <c:v>0.119497477495301</c:v>
                </c:pt>
                <c:pt idx="15">
                  <c:v>0.0888918422109697</c:v>
                </c:pt>
                <c:pt idx="16">
                  <c:v>0.0989583263928403</c:v>
                </c:pt>
                <c:pt idx="17">
                  <c:v>0.103149913486154</c:v>
                </c:pt>
                <c:pt idx="18">
                  <c:v>0.0707619586508907</c:v>
                </c:pt>
                <c:pt idx="19">
                  <c:v>0.0753001583421728</c:v>
                </c:pt>
                <c:pt idx="20">
                  <c:v>0.0921062812690492</c:v>
                </c:pt>
                <c:pt idx="21">
                  <c:v>0.113628200097359</c:v>
                </c:pt>
                <c:pt idx="22">
                  <c:v>0.107732630007836</c:v>
                </c:pt>
                <c:pt idx="23">
                  <c:v>0.11932303593898</c:v>
                </c:pt>
                <c:pt idx="24">
                  <c:v>0.121313291362908</c:v>
                </c:pt>
                <c:pt idx="25">
                  <c:v>0.115710591706351</c:v>
                </c:pt>
                <c:pt idx="26">
                  <c:v>0.0850574761514762</c:v>
                </c:pt>
                <c:pt idx="27">
                  <c:v>0.100974449243931</c:v>
                </c:pt>
                <c:pt idx="28">
                  <c:v>0.105266179964838</c:v>
                </c:pt>
                <c:pt idx="29">
                  <c:v>0.0918594676260835</c:v>
                </c:pt>
              </c:numCache>
            </c:numRef>
          </c:val>
          <c:smooth val="0"/>
        </c:ser>
        <c:dLbls>
          <c:showLegendKey val="0"/>
          <c:showVal val="0"/>
          <c:showCatName val="0"/>
          <c:showSerName val="0"/>
          <c:showPercent val="0"/>
          <c:showBubbleSize val="0"/>
        </c:dLbls>
        <c:marker val="1"/>
        <c:smooth val="0"/>
        <c:axId val="2097939352"/>
        <c:axId val="2097942360"/>
      </c:lineChart>
      <c:catAx>
        <c:axId val="2097939352"/>
        <c:scaling>
          <c:orientation val="minMax"/>
        </c:scaling>
        <c:delete val="0"/>
        <c:axPos val="b"/>
        <c:numFmt formatCode="General" sourceLinked="1"/>
        <c:majorTickMark val="out"/>
        <c:minorTickMark val="none"/>
        <c:tickLblPos val="nextTo"/>
        <c:crossAx val="2097942360"/>
        <c:crosses val="autoZero"/>
        <c:auto val="1"/>
        <c:lblAlgn val="ctr"/>
        <c:lblOffset val="100"/>
        <c:noMultiLvlLbl val="0"/>
      </c:catAx>
      <c:valAx>
        <c:axId val="2097942360"/>
        <c:scaling>
          <c:orientation val="minMax"/>
        </c:scaling>
        <c:delete val="0"/>
        <c:axPos val="l"/>
        <c:majorGridlines/>
        <c:numFmt formatCode="0%" sourceLinked="1"/>
        <c:majorTickMark val="out"/>
        <c:minorTickMark val="none"/>
        <c:tickLblPos val="nextTo"/>
        <c:crossAx val="2097939352"/>
        <c:crosses val="autoZero"/>
        <c:crossBetween val="between"/>
      </c:valAx>
    </c:plotArea>
    <c:legend>
      <c:legendPos val="r"/>
      <c:overlay val="0"/>
    </c:legend>
    <c:plotVisOnly val="1"/>
    <c:dispBlanksAs val="gap"/>
    <c:showDLblsOverMax val="0"/>
  </c:chart>
  <c:printSettings>
    <c:headerFooter/>
    <c:pageMargins b="1.0" l="0.75" r="0.75" t="1.0"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Foreign profits  % of national income)</a:t>
            </a:r>
          </a:p>
        </c:rich>
      </c:tx>
      <c:overlay val="0"/>
    </c:title>
    <c:autoTitleDeleted val="0"/>
    <c:plotArea>
      <c:layout>
        <c:manualLayout>
          <c:layoutTarget val="inner"/>
          <c:xMode val="edge"/>
          <c:yMode val="edge"/>
          <c:x val="0.0900500317861671"/>
          <c:y val="0.168217930407064"/>
          <c:w val="0.871902063533882"/>
          <c:h val="0.701388773910535"/>
        </c:manualLayout>
      </c:layout>
      <c:lineChart>
        <c:grouping val="standard"/>
        <c:varyColors val="0"/>
        <c:ser>
          <c:idx val="0"/>
          <c:order val="0"/>
          <c:tx>
            <c:strRef>
              <c:f>'DataFig8-9'!$M$3</c:f>
              <c:strCache>
                <c:ptCount val="1"/>
                <c:pt idx="0">
                  <c:v>(Foreign profits inflows % NI)</c:v>
                </c:pt>
              </c:strCache>
            </c:strRef>
          </c:tx>
          <c:marker>
            <c:symbol val="none"/>
          </c:marker>
          <c:cat>
            <c:numRef>
              <c:f>'DataFig8-9'!$B$26:$B$89</c:f>
              <c:numCache>
                <c:formatCode>General</c:formatCode>
                <c:ptCount val="64"/>
                <c:pt idx="0">
                  <c:v>1950.0</c:v>
                </c:pt>
                <c:pt idx="1">
                  <c:v>1951.0</c:v>
                </c:pt>
                <c:pt idx="2">
                  <c:v>1952.0</c:v>
                </c:pt>
                <c:pt idx="3">
                  <c:v>1953.0</c:v>
                </c:pt>
                <c:pt idx="4">
                  <c:v>1954.0</c:v>
                </c:pt>
                <c:pt idx="5">
                  <c:v>1955.0</c:v>
                </c:pt>
                <c:pt idx="6">
                  <c:v>1956.0</c:v>
                </c:pt>
                <c:pt idx="7">
                  <c:v>1957.0</c:v>
                </c:pt>
                <c:pt idx="8">
                  <c:v>1958.0</c:v>
                </c:pt>
                <c:pt idx="9">
                  <c:v>1959.0</c:v>
                </c:pt>
                <c:pt idx="10">
                  <c:v>1960.0</c:v>
                </c:pt>
                <c:pt idx="11">
                  <c:v>1961.0</c:v>
                </c:pt>
                <c:pt idx="12">
                  <c:v>1962.0</c:v>
                </c:pt>
                <c:pt idx="13">
                  <c:v>1963.0</c:v>
                </c:pt>
                <c:pt idx="14">
                  <c:v>1964.0</c:v>
                </c:pt>
                <c:pt idx="15">
                  <c:v>1965.0</c:v>
                </c:pt>
                <c:pt idx="16">
                  <c:v>1966.0</c:v>
                </c:pt>
                <c:pt idx="17">
                  <c:v>1967.0</c:v>
                </c:pt>
                <c:pt idx="18">
                  <c:v>1968.0</c:v>
                </c:pt>
                <c:pt idx="19">
                  <c:v>1969.0</c:v>
                </c:pt>
                <c:pt idx="20">
                  <c:v>1970.0</c:v>
                </c:pt>
                <c:pt idx="21">
                  <c:v>1971.0</c:v>
                </c:pt>
                <c:pt idx="22">
                  <c:v>1972.0</c:v>
                </c:pt>
                <c:pt idx="23">
                  <c:v>1973.0</c:v>
                </c:pt>
                <c:pt idx="24">
                  <c:v>1974.0</c:v>
                </c:pt>
                <c:pt idx="25">
                  <c:v>1975.0</c:v>
                </c:pt>
                <c:pt idx="26">
                  <c:v>1976.0</c:v>
                </c:pt>
                <c:pt idx="27">
                  <c:v>1977.0</c:v>
                </c:pt>
                <c:pt idx="28">
                  <c:v>1978.0</c:v>
                </c:pt>
                <c:pt idx="29">
                  <c:v>1979.0</c:v>
                </c:pt>
                <c:pt idx="30">
                  <c:v>1980.0</c:v>
                </c:pt>
                <c:pt idx="31">
                  <c:v>1981.0</c:v>
                </c:pt>
                <c:pt idx="32">
                  <c:v>1982.0</c:v>
                </c:pt>
                <c:pt idx="33">
                  <c:v>1983.0</c:v>
                </c:pt>
                <c:pt idx="34">
                  <c:v>1984.0</c:v>
                </c:pt>
                <c:pt idx="35">
                  <c:v>1985.0</c:v>
                </c:pt>
                <c:pt idx="36">
                  <c:v>1986.0</c:v>
                </c:pt>
                <c:pt idx="37">
                  <c:v>1987.0</c:v>
                </c:pt>
                <c:pt idx="38">
                  <c:v>1988.0</c:v>
                </c:pt>
                <c:pt idx="39">
                  <c:v>1989.0</c:v>
                </c:pt>
                <c:pt idx="40">
                  <c:v>1990.0</c:v>
                </c:pt>
                <c:pt idx="41">
                  <c:v>1991.0</c:v>
                </c:pt>
                <c:pt idx="42">
                  <c:v>1992.0</c:v>
                </c:pt>
                <c:pt idx="43">
                  <c:v>1993.0</c:v>
                </c:pt>
                <c:pt idx="44">
                  <c:v>1994.0</c:v>
                </c:pt>
                <c:pt idx="45">
                  <c:v>1995.0</c:v>
                </c:pt>
                <c:pt idx="46">
                  <c:v>1996.0</c:v>
                </c:pt>
                <c:pt idx="47">
                  <c:v>1997.0</c:v>
                </c:pt>
                <c:pt idx="48">
                  <c:v>1998.0</c:v>
                </c:pt>
                <c:pt idx="49">
                  <c:v>1999.0</c:v>
                </c:pt>
                <c:pt idx="50">
                  <c:v>2000.0</c:v>
                </c:pt>
                <c:pt idx="51">
                  <c:v>2001.0</c:v>
                </c:pt>
                <c:pt idx="52">
                  <c:v>2002.0</c:v>
                </c:pt>
                <c:pt idx="53">
                  <c:v>2003.0</c:v>
                </c:pt>
                <c:pt idx="54">
                  <c:v>2004.0</c:v>
                </c:pt>
                <c:pt idx="55">
                  <c:v>2005.0</c:v>
                </c:pt>
                <c:pt idx="56">
                  <c:v>2006.0</c:v>
                </c:pt>
                <c:pt idx="57">
                  <c:v>2007.0</c:v>
                </c:pt>
                <c:pt idx="58">
                  <c:v>2008.0</c:v>
                </c:pt>
                <c:pt idx="59">
                  <c:v>2009.0</c:v>
                </c:pt>
                <c:pt idx="60">
                  <c:v>2010.0</c:v>
                </c:pt>
                <c:pt idx="61">
                  <c:v>2011.0</c:v>
                </c:pt>
                <c:pt idx="62">
                  <c:v>2012.0</c:v>
                </c:pt>
                <c:pt idx="63">
                  <c:v>2013.0</c:v>
                </c:pt>
              </c:numCache>
            </c:numRef>
          </c:cat>
          <c:val>
            <c:numRef>
              <c:f>'DataFig8-9'!$M$26:$M$89</c:f>
              <c:numCache>
                <c:formatCode>0.0%</c:formatCode>
                <c:ptCount val="64"/>
                <c:pt idx="0">
                  <c:v>0.00674157303370786</c:v>
                </c:pt>
                <c:pt idx="1">
                  <c:v>0.00746753246753246</c:v>
                </c:pt>
                <c:pt idx="2">
                  <c:v>0.00704441041347626</c:v>
                </c:pt>
                <c:pt idx="3">
                  <c:v>0.00667828106852497</c:v>
                </c:pt>
                <c:pt idx="4">
                  <c:v>0.00696864111498258</c:v>
                </c:pt>
                <c:pt idx="5">
                  <c:v>0.00768008474576271</c:v>
                </c:pt>
                <c:pt idx="6">
                  <c:v>0.00848091793464704</c:v>
                </c:pt>
                <c:pt idx="7">
                  <c:v>0.00882212684787792</c:v>
                </c:pt>
                <c:pt idx="8">
                  <c:v>0.0071157495256167</c:v>
                </c:pt>
                <c:pt idx="9">
                  <c:v>0.00739773716275021</c:v>
                </c:pt>
                <c:pt idx="10">
                  <c:v>0.00791831631589914</c:v>
                </c:pt>
                <c:pt idx="11">
                  <c:v>0.0082461786001609</c:v>
                </c:pt>
                <c:pt idx="12">
                  <c:v>0.00840807174887892</c:v>
                </c:pt>
                <c:pt idx="13">
                  <c:v>0.00847158489234028</c:v>
                </c:pt>
                <c:pt idx="14">
                  <c:v>0.00887719875061647</c:v>
                </c:pt>
                <c:pt idx="15">
                  <c:v>0.00863243980009087</c:v>
                </c:pt>
                <c:pt idx="16">
                  <c:v>0.00778101986939002</c:v>
                </c:pt>
                <c:pt idx="17">
                  <c:v>0.00776111549592212</c:v>
                </c:pt>
                <c:pt idx="18">
                  <c:v>0.00841245042663141</c:v>
                </c:pt>
                <c:pt idx="19">
                  <c:v>0.00889382990550305</c:v>
                </c:pt>
                <c:pt idx="20">
                  <c:v>0.00914796298266142</c:v>
                </c:pt>
                <c:pt idx="21">
                  <c:v>0.00963618485742379</c:v>
                </c:pt>
                <c:pt idx="22">
                  <c:v>0.0104185218165628</c:v>
                </c:pt>
                <c:pt idx="23">
                  <c:v>0.0140015910898966</c:v>
                </c:pt>
                <c:pt idx="24">
                  <c:v>0.0151021616819662</c:v>
                </c:pt>
                <c:pt idx="25">
                  <c:v>0.0123354696437186</c:v>
                </c:pt>
                <c:pt idx="26">
                  <c:v>0.0130047064651969</c:v>
                </c:pt>
                <c:pt idx="27">
                  <c:v>0.0131761827986879</c:v>
                </c:pt>
                <c:pt idx="28">
                  <c:v>0.0142864180501502</c:v>
                </c:pt>
                <c:pt idx="29">
                  <c:v>0.018948492127035</c:v>
                </c:pt>
                <c:pt idx="30">
                  <c:v>0.0180896654029998</c:v>
                </c:pt>
                <c:pt idx="31">
                  <c:v>0.0139598104404688</c:v>
                </c:pt>
                <c:pt idx="32">
                  <c:v>0.0129207153921983</c:v>
                </c:pt>
                <c:pt idx="33">
                  <c:v>0.0134291782388499</c:v>
                </c:pt>
                <c:pt idx="34">
                  <c:v>0.0134146341463415</c:v>
                </c:pt>
                <c:pt idx="35">
                  <c:v>0.0127028934368384</c:v>
                </c:pt>
                <c:pt idx="36">
                  <c:v>0.0126552673977444</c:v>
                </c:pt>
                <c:pt idx="37">
                  <c:v>0.0142988929889299</c:v>
                </c:pt>
                <c:pt idx="38">
                  <c:v>0.015934481684248</c:v>
                </c:pt>
                <c:pt idx="39">
                  <c:v>0.015787712768182</c:v>
                </c:pt>
                <c:pt idx="40">
                  <c:v>0.0160838744266397</c:v>
                </c:pt>
                <c:pt idx="41">
                  <c:v>0.014538863500511</c:v>
                </c:pt>
                <c:pt idx="42">
                  <c:v>0.0142371402076477</c:v>
                </c:pt>
                <c:pt idx="43">
                  <c:v>0.0154653506637937</c:v>
                </c:pt>
                <c:pt idx="44">
                  <c:v>0.0170352757239178</c:v>
                </c:pt>
                <c:pt idx="45">
                  <c:v>0.0196620109576356</c:v>
                </c:pt>
                <c:pt idx="46">
                  <c:v>0.0202046554772879</c:v>
                </c:pt>
                <c:pt idx="47">
                  <c:v>0.0210693187361119</c:v>
                </c:pt>
                <c:pt idx="48">
                  <c:v>0.0186705356801955</c:v>
                </c:pt>
                <c:pt idx="49">
                  <c:v>0.0212988323482774</c:v>
                </c:pt>
                <c:pt idx="50">
                  <c:v>0.0228022903334456</c:v>
                </c:pt>
                <c:pt idx="51">
                  <c:v>0.0199573198615073</c:v>
                </c:pt>
                <c:pt idx="52">
                  <c:v>0.0217552560189895</c:v>
                </c:pt>
                <c:pt idx="53">
                  <c:v>0.0253441738813082</c:v>
                </c:pt>
                <c:pt idx="54">
                  <c:v>0.0311263744082574</c:v>
                </c:pt>
                <c:pt idx="55">
                  <c:v>0.0341376181070838</c:v>
                </c:pt>
                <c:pt idx="56">
                  <c:v>0.0361355457816873</c:v>
                </c:pt>
                <c:pt idx="57">
                  <c:v>0.0414238641712792</c:v>
                </c:pt>
                <c:pt idx="58">
                  <c:v>0.0468304929271472</c:v>
                </c:pt>
                <c:pt idx="59">
                  <c:v>0.0410766858264405</c:v>
                </c:pt>
                <c:pt idx="60">
                  <c:v>0.0458887711448644</c:v>
                </c:pt>
                <c:pt idx="61">
                  <c:v>0.048253858885735</c:v>
                </c:pt>
                <c:pt idx="62">
                  <c:v>0.0458012011798571</c:v>
                </c:pt>
                <c:pt idx="63">
                  <c:v>0.0450706930733822</c:v>
                </c:pt>
              </c:numCache>
            </c:numRef>
          </c:val>
          <c:smooth val="0"/>
        </c:ser>
        <c:dLbls>
          <c:showLegendKey val="0"/>
          <c:showVal val="0"/>
          <c:showCatName val="0"/>
          <c:showSerName val="0"/>
          <c:showPercent val="0"/>
          <c:showBubbleSize val="0"/>
        </c:dLbls>
        <c:marker val="1"/>
        <c:smooth val="0"/>
        <c:axId val="2097968152"/>
        <c:axId val="2097971160"/>
      </c:lineChart>
      <c:catAx>
        <c:axId val="2097968152"/>
        <c:scaling>
          <c:orientation val="minMax"/>
        </c:scaling>
        <c:delete val="0"/>
        <c:axPos val="b"/>
        <c:numFmt formatCode="General" sourceLinked="1"/>
        <c:majorTickMark val="out"/>
        <c:minorTickMark val="none"/>
        <c:tickLblPos val="nextTo"/>
        <c:crossAx val="2097971160"/>
        <c:crosses val="autoZero"/>
        <c:auto val="1"/>
        <c:lblAlgn val="ctr"/>
        <c:lblOffset val="100"/>
        <c:tickLblSkip val="5"/>
        <c:tickMarkSkip val="5"/>
        <c:noMultiLvlLbl val="0"/>
      </c:catAx>
      <c:valAx>
        <c:axId val="2097971160"/>
        <c:scaling>
          <c:orientation val="minMax"/>
          <c:max val="0.05"/>
        </c:scaling>
        <c:delete val="0"/>
        <c:axPos val="l"/>
        <c:majorGridlines/>
        <c:numFmt formatCode="0.0%" sourceLinked="1"/>
        <c:majorTickMark val="out"/>
        <c:minorTickMark val="none"/>
        <c:tickLblPos val="nextTo"/>
        <c:crossAx val="2097968152"/>
        <c:crosses val="autoZero"/>
        <c:crossBetween val="between"/>
      </c:valAx>
    </c:plotArea>
    <c:plotVisOnly val="1"/>
    <c:dispBlanksAs val="gap"/>
    <c:showDLblsOverMax val="0"/>
  </c:chart>
  <c:printSettings>
    <c:headerFooter/>
    <c:pageMargins b="1.0" l="0.75" r="0.75" t="1.0"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1"/>
          <c:order val="1"/>
          <c:tx>
            <c:strRef>
              <c:f>'DataFig8-9'!$AU$3</c:f>
              <c:strCache>
                <c:ptCount val="1"/>
                <c:pt idx="0">
                  <c:v>Staturoy federal corporate tax rate</c:v>
                </c:pt>
              </c:strCache>
            </c:strRef>
          </c:tx>
          <c:marker>
            <c:symbol val="none"/>
          </c:marker>
          <c:cat>
            <c:strRef>
              <c:f>'DataFig8-9'!$B$96:$B$156</c:f>
              <c:strCache>
                <c:ptCount val="7"/>
                <c:pt idx="0">
                  <c:v>1950-59</c:v>
                </c:pt>
                <c:pt idx="1">
                  <c:v>1960-69</c:v>
                </c:pt>
                <c:pt idx="2">
                  <c:v>1970-70</c:v>
                </c:pt>
                <c:pt idx="3">
                  <c:v>1980-89</c:v>
                </c:pt>
                <c:pt idx="4">
                  <c:v>1990-99</c:v>
                </c:pt>
                <c:pt idx="5">
                  <c:v>2000-09</c:v>
                </c:pt>
                <c:pt idx="6">
                  <c:v>2010-13</c:v>
                </c:pt>
              </c:strCache>
            </c:strRef>
          </c:cat>
          <c:val>
            <c:numRef>
              <c:f>'DataFig8-9'!$AU$96:$AU$156</c:f>
              <c:numCache>
                <c:formatCode>0%</c:formatCode>
                <c:ptCount val="7"/>
                <c:pt idx="0">
                  <c:v>0.509</c:v>
                </c:pt>
                <c:pt idx="1">
                  <c:v>0.5076</c:v>
                </c:pt>
                <c:pt idx="2">
                  <c:v>0.4792</c:v>
                </c:pt>
                <c:pt idx="3">
                  <c:v>0.43</c:v>
                </c:pt>
                <c:pt idx="4">
                  <c:v>0.347</c:v>
                </c:pt>
                <c:pt idx="5">
                  <c:v>0.35</c:v>
                </c:pt>
                <c:pt idx="6">
                  <c:v>0.35</c:v>
                </c:pt>
              </c:numCache>
            </c:numRef>
          </c:val>
          <c:smooth val="0"/>
        </c:ser>
        <c:dLbls>
          <c:showLegendKey val="0"/>
          <c:showVal val="0"/>
          <c:showCatName val="0"/>
          <c:showSerName val="0"/>
          <c:showPercent val="0"/>
          <c:showBubbleSize val="0"/>
        </c:dLbls>
        <c:marker val="1"/>
        <c:smooth val="0"/>
        <c:axId val="2098000568"/>
        <c:axId val="2098003544"/>
      </c:lineChart>
      <c:lineChart>
        <c:grouping val="standard"/>
        <c:varyColors val="0"/>
        <c:ser>
          <c:idx val="0"/>
          <c:order val="0"/>
          <c:tx>
            <c:strRef>
              <c:f>'DataFig8-9'!$AT$3</c:f>
              <c:strCache>
                <c:ptCount val="1"/>
                <c:pt idx="0">
                  <c:v>After-tax corporate profits / national income</c:v>
                </c:pt>
              </c:strCache>
            </c:strRef>
          </c:tx>
          <c:marker>
            <c:symbol val="none"/>
          </c:marker>
          <c:cat>
            <c:strRef>
              <c:f>'DataFig8-9'!$B$96:$B$156</c:f>
              <c:strCache>
                <c:ptCount val="7"/>
                <c:pt idx="0">
                  <c:v>1950-59</c:v>
                </c:pt>
                <c:pt idx="1">
                  <c:v>1960-69</c:v>
                </c:pt>
                <c:pt idx="2">
                  <c:v>1970-70</c:v>
                </c:pt>
                <c:pt idx="3">
                  <c:v>1980-89</c:v>
                </c:pt>
                <c:pt idx="4">
                  <c:v>1990-99</c:v>
                </c:pt>
                <c:pt idx="5">
                  <c:v>2000-09</c:v>
                </c:pt>
                <c:pt idx="6">
                  <c:v>2010-13</c:v>
                </c:pt>
              </c:strCache>
            </c:strRef>
          </c:cat>
          <c:val>
            <c:numRef>
              <c:f>'DataFig8-9'!$AT$96:$AT$156</c:f>
              <c:numCache>
                <c:formatCode>0%</c:formatCode>
                <c:ptCount val="7"/>
                <c:pt idx="0">
                  <c:v>0.0650215199661268</c:v>
                </c:pt>
                <c:pt idx="1">
                  <c:v>0.0760966546666808</c:v>
                </c:pt>
                <c:pt idx="2">
                  <c:v>0.0650200680933048</c:v>
                </c:pt>
                <c:pt idx="3">
                  <c:v>0.0607690603293393</c:v>
                </c:pt>
                <c:pt idx="4">
                  <c:v>0.068317083478057</c:v>
                </c:pt>
                <c:pt idx="5">
                  <c:v>0.0820701184383306</c:v>
                </c:pt>
                <c:pt idx="6">
                  <c:v>0.109774626398259</c:v>
                </c:pt>
              </c:numCache>
            </c:numRef>
          </c:val>
          <c:smooth val="0"/>
        </c:ser>
        <c:dLbls>
          <c:showLegendKey val="0"/>
          <c:showVal val="0"/>
          <c:showCatName val="0"/>
          <c:showSerName val="0"/>
          <c:showPercent val="0"/>
          <c:showBubbleSize val="0"/>
        </c:dLbls>
        <c:marker val="1"/>
        <c:smooth val="0"/>
        <c:axId val="2098009880"/>
        <c:axId val="2098006584"/>
      </c:lineChart>
      <c:catAx>
        <c:axId val="2098000568"/>
        <c:scaling>
          <c:orientation val="minMax"/>
        </c:scaling>
        <c:delete val="0"/>
        <c:axPos val="b"/>
        <c:majorTickMark val="out"/>
        <c:minorTickMark val="none"/>
        <c:tickLblPos val="nextTo"/>
        <c:crossAx val="2098003544"/>
        <c:crosses val="autoZero"/>
        <c:auto val="1"/>
        <c:lblAlgn val="ctr"/>
        <c:lblOffset val="100"/>
        <c:noMultiLvlLbl val="0"/>
      </c:catAx>
      <c:valAx>
        <c:axId val="2098003544"/>
        <c:scaling>
          <c:orientation val="minMax"/>
        </c:scaling>
        <c:delete val="0"/>
        <c:axPos val="l"/>
        <c:majorGridlines/>
        <c:numFmt formatCode="0%" sourceLinked="1"/>
        <c:majorTickMark val="out"/>
        <c:minorTickMark val="none"/>
        <c:tickLblPos val="nextTo"/>
        <c:crossAx val="2098000568"/>
        <c:crosses val="autoZero"/>
        <c:crossBetween val="between"/>
      </c:valAx>
      <c:valAx>
        <c:axId val="2098006584"/>
        <c:scaling>
          <c:orientation val="minMax"/>
        </c:scaling>
        <c:delete val="0"/>
        <c:axPos val="r"/>
        <c:numFmt formatCode="0%" sourceLinked="1"/>
        <c:majorTickMark val="out"/>
        <c:minorTickMark val="none"/>
        <c:tickLblPos val="nextTo"/>
        <c:crossAx val="2098009880"/>
        <c:crosses val="max"/>
        <c:crossBetween val="between"/>
      </c:valAx>
      <c:catAx>
        <c:axId val="2098009880"/>
        <c:scaling>
          <c:orientation val="minMax"/>
        </c:scaling>
        <c:delete val="1"/>
        <c:axPos val="b"/>
        <c:majorTickMark val="out"/>
        <c:minorTickMark val="none"/>
        <c:tickLblPos val="nextTo"/>
        <c:crossAx val="2098006584"/>
        <c:crosses val="autoZero"/>
        <c:auto val="1"/>
        <c:lblAlgn val="ctr"/>
        <c:lblOffset val="100"/>
        <c:noMultiLvlLbl val="0"/>
      </c:catAx>
    </c:plotArea>
    <c:legend>
      <c:legendPos val="r"/>
      <c:overlay val="0"/>
    </c:legend>
    <c:plotVisOnly val="1"/>
    <c:dispBlanksAs val="gap"/>
    <c:showDLblsOverMax val="0"/>
  </c:chart>
  <c:printSettings>
    <c:headerFooter/>
    <c:pageMargins b="1.0" l="0.75" r="0.75" t="1.0"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1"/>
          <c:order val="1"/>
          <c:tx>
            <c:strRef>
              <c:f>'DataFig8-9'!$AY$3</c:f>
              <c:strCache>
                <c:ptCount val="1"/>
                <c:pt idx="0">
                  <c:v>Effective tax rate paid worldwide</c:v>
                </c:pt>
              </c:strCache>
            </c:strRef>
          </c:tx>
          <c:marker>
            <c:symbol val="none"/>
          </c:marker>
          <c:cat>
            <c:strRef>
              <c:f>'DataFig8-9'!$B$96:$B$156</c:f>
              <c:strCache>
                <c:ptCount val="7"/>
                <c:pt idx="0">
                  <c:v>1950-59</c:v>
                </c:pt>
                <c:pt idx="1">
                  <c:v>1960-69</c:v>
                </c:pt>
                <c:pt idx="2">
                  <c:v>1970-70</c:v>
                </c:pt>
                <c:pt idx="3">
                  <c:v>1980-89</c:v>
                </c:pt>
                <c:pt idx="4">
                  <c:v>1990-99</c:v>
                </c:pt>
                <c:pt idx="5">
                  <c:v>2000-09</c:v>
                </c:pt>
                <c:pt idx="6">
                  <c:v>2010-13</c:v>
                </c:pt>
              </c:strCache>
            </c:strRef>
          </c:cat>
          <c:val>
            <c:numRef>
              <c:f>'DataFig8-9'!$AY$96:$AY$156</c:f>
              <c:numCache>
                <c:formatCode>0%</c:formatCode>
                <c:ptCount val="7"/>
                <c:pt idx="0">
                  <c:v>0.465756382531526</c:v>
                </c:pt>
                <c:pt idx="1">
                  <c:v>0.379469458082419</c:v>
                </c:pt>
                <c:pt idx="2">
                  <c:v>0.40466498573895</c:v>
                </c:pt>
                <c:pt idx="3">
                  <c:v>0.324644358032431</c:v>
                </c:pt>
                <c:pt idx="4">
                  <c:v>0.302745195268028</c:v>
                </c:pt>
                <c:pt idx="5">
                  <c:v>0.248010027853512</c:v>
                </c:pt>
                <c:pt idx="6">
                  <c:v>0.192948072862308</c:v>
                </c:pt>
              </c:numCache>
            </c:numRef>
          </c:val>
          <c:smooth val="0"/>
        </c:ser>
        <c:dLbls>
          <c:showLegendKey val="0"/>
          <c:showVal val="0"/>
          <c:showCatName val="0"/>
          <c:showSerName val="0"/>
          <c:showPercent val="0"/>
          <c:showBubbleSize val="0"/>
        </c:dLbls>
        <c:marker val="1"/>
        <c:smooth val="0"/>
        <c:axId val="2098042904"/>
        <c:axId val="2098045880"/>
      </c:lineChart>
      <c:lineChart>
        <c:grouping val="standard"/>
        <c:varyColors val="0"/>
        <c:ser>
          <c:idx val="0"/>
          <c:order val="0"/>
          <c:tx>
            <c:strRef>
              <c:f>'DataFig8-9'!$AT$3</c:f>
              <c:strCache>
                <c:ptCount val="1"/>
                <c:pt idx="0">
                  <c:v>After-tax corporate profits / national income</c:v>
                </c:pt>
              </c:strCache>
            </c:strRef>
          </c:tx>
          <c:marker>
            <c:symbol val="none"/>
          </c:marker>
          <c:cat>
            <c:strRef>
              <c:f>'DataFig8-9'!$B$96:$B$156</c:f>
              <c:strCache>
                <c:ptCount val="7"/>
                <c:pt idx="0">
                  <c:v>1950-59</c:v>
                </c:pt>
                <c:pt idx="1">
                  <c:v>1960-69</c:v>
                </c:pt>
                <c:pt idx="2">
                  <c:v>1970-70</c:v>
                </c:pt>
                <c:pt idx="3">
                  <c:v>1980-89</c:v>
                </c:pt>
                <c:pt idx="4">
                  <c:v>1990-99</c:v>
                </c:pt>
                <c:pt idx="5">
                  <c:v>2000-09</c:v>
                </c:pt>
                <c:pt idx="6">
                  <c:v>2010-13</c:v>
                </c:pt>
              </c:strCache>
            </c:strRef>
          </c:cat>
          <c:val>
            <c:numRef>
              <c:f>'DataFig8-9'!$AT$96:$AT$156</c:f>
              <c:numCache>
                <c:formatCode>0%</c:formatCode>
                <c:ptCount val="7"/>
                <c:pt idx="0">
                  <c:v>0.0650215199661268</c:v>
                </c:pt>
                <c:pt idx="1">
                  <c:v>0.0760966546666808</c:v>
                </c:pt>
                <c:pt idx="2">
                  <c:v>0.0650200680933048</c:v>
                </c:pt>
                <c:pt idx="3">
                  <c:v>0.0607690603293393</c:v>
                </c:pt>
                <c:pt idx="4">
                  <c:v>0.068317083478057</c:v>
                </c:pt>
                <c:pt idx="5">
                  <c:v>0.0820701184383306</c:v>
                </c:pt>
                <c:pt idx="6">
                  <c:v>0.109774626398259</c:v>
                </c:pt>
              </c:numCache>
            </c:numRef>
          </c:val>
          <c:smooth val="0"/>
        </c:ser>
        <c:dLbls>
          <c:showLegendKey val="0"/>
          <c:showVal val="0"/>
          <c:showCatName val="0"/>
          <c:showSerName val="0"/>
          <c:showPercent val="0"/>
          <c:showBubbleSize val="0"/>
        </c:dLbls>
        <c:marker val="1"/>
        <c:smooth val="0"/>
        <c:axId val="2098052216"/>
        <c:axId val="2098048920"/>
      </c:lineChart>
      <c:catAx>
        <c:axId val="2098042904"/>
        <c:scaling>
          <c:orientation val="minMax"/>
        </c:scaling>
        <c:delete val="0"/>
        <c:axPos val="b"/>
        <c:majorTickMark val="out"/>
        <c:minorTickMark val="none"/>
        <c:tickLblPos val="nextTo"/>
        <c:crossAx val="2098045880"/>
        <c:crosses val="autoZero"/>
        <c:auto val="1"/>
        <c:lblAlgn val="ctr"/>
        <c:lblOffset val="100"/>
        <c:noMultiLvlLbl val="0"/>
      </c:catAx>
      <c:valAx>
        <c:axId val="2098045880"/>
        <c:scaling>
          <c:orientation val="minMax"/>
        </c:scaling>
        <c:delete val="0"/>
        <c:axPos val="l"/>
        <c:majorGridlines/>
        <c:numFmt formatCode="0%" sourceLinked="1"/>
        <c:majorTickMark val="out"/>
        <c:minorTickMark val="none"/>
        <c:tickLblPos val="nextTo"/>
        <c:crossAx val="2098042904"/>
        <c:crosses val="autoZero"/>
        <c:crossBetween val="between"/>
      </c:valAx>
      <c:valAx>
        <c:axId val="2098048920"/>
        <c:scaling>
          <c:orientation val="minMax"/>
        </c:scaling>
        <c:delete val="0"/>
        <c:axPos val="r"/>
        <c:numFmt formatCode="0%" sourceLinked="1"/>
        <c:majorTickMark val="out"/>
        <c:minorTickMark val="none"/>
        <c:tickLblPos val="nextTo"/>
        <c:crossAx val="2098052216"/>
        <c:crosses val="max"/>
        <c:crossBetween val="between"/>
      </c:valAx>
      <c:catAx>
        <c:axId val="2098052216"/>
        <c:scaling>
          <c:orientation val="minMax"/>
        </c:scaling>
        <c:delete val="1"/>
        <c:axPos val="b"/>
        <c:majorTickMark val="out"/>
        <c:minorTickMark val="none"/>
        <c:tickLblPos val="nextTo"/>
        <c:crossAx val="2098048920"/>
        <c:crosses val="autoZero"/>
        <c:auto val="1"/>
        <c:lblAlgn val="ctr"/>
        <c:lblOffset val="100"/>
        <c:noMultiLvlLbl val="0"/>
      </c:catAx>
    </c:plotArea>
    <c:legend>
      <c:legendPos val="r"/>
      <c:overlay val="0"/>
    </c:legend>
    <c:plotVisOnly val="1"/>
    <c:dispBlanksAs val="gap"/>
    <c:showDLblsOverMax val="0"/>
  </c:chart>
  <c:printSettings>
    <c:headerFooter/>
    <c:pageMargins b="1.0" l="0.75" r="0.75" t="1.0"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sheetPr/>
  <sheetViews>
    <sheetView workbookViewId="0"/>
  </sheetViews>
  <pageMargins left="0.75" right="0.75" top="1" bottom="1" header="0.5" footer="0.5"/>
  <pageSetup paperSize="9" orientation="landscape" horizontalDpi="4294967292" verticalDpi="4294967292"/>
  <drawing r:id="rId1"/>
</chartsheet>
</file>

<file path=xl/chartsheets/sheet3.xml><?xml version="1.0" encoding="utf-8"?>
<chartsheet xmlns="http://schemas.openxmlformats.org/spreadsheetml/2006/main" xmlns:r="http://schemas.openxmlformats.org/officeDocument/2006/relationships">
  <sheetPr/>
  <sheetViews>
    <sheetView workbookViewId="0"/>
  </sheetViews>
  <pageMargins left="0.75" right="0.75" top="1" bottom="1" header="0.5" footer="0.5"/>
  <pageSetup paperSize="9" orientation="landscape" horizontalDpi="4294967292" verticalDpi="4294967292"/>
  <drawing r:id="rId1"/>
</chartsheet>
</file>

<file path=xl/chartsheets/sheet4.xml><?xml version="1.0" encoding="utf-8"?>
<chartsheet xmlns="http://schemas.openxmlformats.org/spreadsheetml/2006/main" xmlns:r="http://schemas.openxmlformats.org/officeDocument/2006/relationships">
  <sheetPr/>
  <sheetViews>
    <sheetView tabSelected="1" workbookViewId="0"/>
  </sheetViews>
  <pageMargins left="0.75" right="0.75" top="1" bottom="1" header="0.5" footer="0.5"/>
  <pageSetup paperSize="9" orientation="landscape" horizontalDpi="4294967292" verticalDpi="4294967292"/>
  <drawing r:id="rId1"/>
</chartsheet>
</file>

<file path=xl/chartsheets/sheet5.xml><?xml version="1.0" encoding="utf-8"?>
<chartsheet xmlns="http://schemas.openxmlformats.org/spreadsheetml/2006/main" xmlns:r="http://schemas.openxmlformats.org/officeDocument/2006/relationships">
  <sheetPr/>
  <sheetViews>
    <sheetView workbookViewId="0"/>
  </sheetViews>
  <pageMargins left="0.75" right="0.75" top="1" bottom="1" header="0.5" footer="0.5"/>
  <pageSetup paperSize="9" orientation="landscape" horizontalDpi="4294967292" verticalDpi="429496729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5.xml.rels><?xml version="1.0" encoding="UTF-8" standalone="yes"?>
<Relationships xmlns="http://schemas.openxmlformats.org/package/2006/relationships"><Relationship Id="rId9" Type="http://schemas.openxmlformats.org/officeDocument/2006/relationships/chart" Target="../charts/chart14.xml"/><Relationship Id="rId20" Type="http://schemas.openxmlformats.org/officeDocument/2006/relationships/chart" Target="../charts/chart25.xml"/><Relationship Id="rId21" Type="http://schemas.openxmlformats.org/officeDocument/2006/relationships/chart" Target="../charts/chart26.xml"/><Relationship Id="rId10" Type="http://schemas.openxmlformats.org/officeDocument/2006/relationships/chart" Target="../charts/chart15.xml"/><Relationship Id="rId11" Type="http://schemas.openxmlformats.org/officeDocument/2006/relationships/chart" Target="../charts/chart16.xml"/><Relationship Id="rId12" Type="http://schemas.openxmlformats.org/officeDocument/2006/relationships/chart" Target="../charts/chart17.xml"/><Relationship Id="rId13" Type="http://schemas.openxmlformats.org/officeDocument/2006/relationships/chart" Target="../charts/chart18.xml"/><Relationship Id="rId14" Type="http://schemas.openxmlformats.org/officeDocument/2006/relationships/chart" Target="../charts/chart19.xml"/><Relationship Id="rId15" Type="http://schemas.openxmlformats.org/officeDocument/2006/relationships/chart" Target="../charts/chart20.xml"/><Relationship Id="rId16" Type="http://schemas.openxmlformats.org/officeDocument/2006/relationships/chart" Target="../charts/chart21.xml"/><Relationship Id="rId17" Type="http://schemas.openxmlformats.org/officeDocument/2006/relationships/chart" Target="../charts/chart22.xml"/><Relationship Id="rId18" Type="http://schemas.openxmlformats.org/officeDocument/2006/relationships/chart" Target="../charts/chart23.xml"/><Relationship Id="rId19" Type="http://schemas.openxmlformats.org/officeDocument/2006/relationships/chart" Target="../charts/chart24.xml"/><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 Id="rId7" Type="http://schemas.openxmlformats.org/officeDocument/2006/relationships/chart" Target="../charts/chart12.xml"/><Relationship Id="rId8"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0.64229</cdr:x>
      <cdr:y>0.6008</cdr:y>
    </cdr:from>
    <cdr:to>
      <cdr:x>0.92889</cdr:x>
      <cdr:y>0.70035</cdr:y>
    </cdr:to>
    <cdr:sp macro="" textlink="">
      <cdr:nvSpPr>
        <cdr:cNvPr id="2" name="Oval 5"/>
        <cdr:cNvSpPr>
          <a:spLocks xmlns:a="http://schemas.openxmlformats.org/drawingml/2006/main" noChangeArrowheads="1"/>
        </cdr:cNvSpPr>
      </cdr:nvSpPr>
      <cdr:spPr bwMode="auto">
        <a:xfrm xmlns:a="http://schemas.openxmlformats.org/drawingml/2006/main">
          <a:off x="5506060" y="3502224"/>
          <a:ext cx="2456878" cy="580307"/>
        </a:xfrm>
        <a:prstGeom xmlns:a="http://schemas.openxmlformats.org/drawingml/2006/main" prst="ellipse">
          <a:avLst/>
        </a:prstGeom>
        <a:noFill xmlns:a="http://schemas.openxmlformats.org/drawingml/2006/main"/>
        <a:ln xmlns:a="http://schemas.openxmlformats.org/drawingml/2006/main" w="9525">
          <a:noFill/>
          <a:round/>
          <a:headEnd/>
          <a:tailEnd/>
        </a:ln>
      </cdr:spPr>
      <cdr:txBody>
        <a:bodyPr xmlns:a="http://schemas.openxmlformats.org/drawingml/2006/main" wrap="square" lIns="27432" tIns="22860" rIns="27432"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lnSpc>
              <a:spcPts val="1800"/>
            </a:lnSpc>
            <a:defRPr sz="1000"/>
          </a:pPr>
          <a:r>
            <a:rPr lang="fr-FR" sz="2000" b="0" i="0" u="none" strike="noStrike" baseline="0">
              <a:solidFill>
                <a:srgbClr val="000000"/>
              </a:solidFill>
              <a:latin typeface="Arial"/>
              <a:ea typeface="Arial"/>
              <a:cs typeface="Arial"/>
            </a:rPr>
            <a:t>In Switzerland</a:t>
          </a:r>
        </a:p>
      </cdr:txBody>
    </cdr:sp>
  </cdr:relSizeAnchor>
  <cdr:relSizeAnchor xmlns:cdr="http://schemas.openxmlformats.org/drawingml/2006/chartDrawing">
    <cdr:from>
      <cdr:x>0.39596</cdr:x>
      <cdr:y>0.1489</cdr:y>
    </cdr:from>
    <cdr:to>
      <cdr:x>0.69252</cdr:x>
      <cdr:y>0.24845</cdr:y>
    </cdr:to>
    <cdr:sp macro="" textlink="">
      <cdr:nvSpPr>
        <cdr:cNvPr id="4" name="Oval 5"/>
        <cdr:cNvSpPr>
          <a:spLocks xmlns:a="http://schemas.openxmlformats.org/drawingml/2006/main" noChangeArrowheads="1"/>
        </cdr:cNvSpPr>
      </cdr:nvSpPr>
      <cdr:spPr bwMode="auto">
        <a:xfrm xmlns:a="http://schemas.openxmlformats.org/drawingml/2006/main">
          <a:off x="3394380" y="868002"/>
          <a:ext cx="2542260" cy="580307"/>
        </a:xfrm>
        <a:prstGeom xmlns:a="http://schemas.openxmlformats.org/drawingml/2006/main" prst="ellipse">
          <a:avLst/>
        </a:prstGeom>
        <a:noFill xmlns:a="http://schemas.openxmlformats.org/drawingml/2006/main"/>
        <a:ln xmlns:a="http://schemas.openxmlformats.org/drawingml/2006/main" w="9525">
          <a:noFill/>
          <a:round/>
          <a:headEnd/>
          <a:tailEnd/>
        </a:ln>
      </cdr:spPr>
      <cdr:txBody>
        <a:bodyPr xmlns:a="http://schemas.openxmlformats.org/drawingml/2006/main" wrap="square" lIns="27432" tIns="22860" rIns="27432"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lnSpc>
              <a:spcPts val="1800"/>
            </a:lnSpc>
            <a:defRPr sz="1000"/>
          </a:pPr>
          <a:r>
            <a:rPr lang="fr-FR" sz="2000" b="0" i="0" u="none" strike="noStrike" baseline="0">
              <a:solidFill>
                <a:srgbClr val="000000"/>
              </a:solidFill>
              <a:latin typeface="Arial"/>
              <a:ea typeface="Arial"/>
              <a:cs typeface="Arial"/>
            </a:rPr>
            <a:t>In all tax havens</a:t>
          </a:r>
        </a:p>
      </cdr:txBody>
    </cdr:sp>
  </cdr:relSizeAnchor>
  <cdr:relSizeAnchor xmlns:cdr="http://schemas.openxmlformats.org/drawingml/2006/chartDrawing">
    <cdr:from>
      <cdr:x>0.77308</cdr:x>
      <cdr:y>0.46296</cdr:y>
    </cdr:from>
    <cdr:to>
      <cdr:x>0.8186</cdr:x>
      <cdr:y>0.58514</cdr:y>
    </cdr:to>
    <cdr:sp macro="" textlink="">
      <cdr:nvSpPr>
        <cdr:cNvPr id="6" name="Line 1"/>
        <cdr:cNvSpPr>
          <a:spLocks xmlns:a="http://schemas.openxmlformats.org/drawingml/2006/main" noChangeShapeType="1"/>
        </cdr:cNvSpPr>
      </cdr:nvSpPr>
      <cdr:spPr bwMode="auto">
        <a:xfrm xmlns:a="http://schemas.openxmlformats.org/drawingml/2006/main" flipV="1">
          <a:off x="6627225" y="2698729"/>
          <a:ext cx="390220" cy="712224"/>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triangle" w="med"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latin typeface="Arial"/>
            <a:cs typeface="Arial"/>
          </a:endParaRPr>
        </a:p>
      </cdr:txBody>
    </cdr:sp>
  </cdr:relSizeAnchor>
  <cdr:relSizeAnchor xmlns:cdr="http://schemas.openxmlformats.org/drawingml/2006/chartDrawing">
    <cdr:from>
      <cdr:x>0.61517</cdr:x>
      <cdr:y>0.23303</cdr:y>
    </cdr:from>
    <cdr:to>
      <cdr:x>0.69103</cdr:x>
      <cdr:y>0.30995</cdr:y>
    </cdr:to>
    <cdr:sp macro="" textlink="">
      <cdr:nvSpPr>
        <cdr:cNvPr id="7" name="Line 1"/>
        <cdr:cNvSpPr>
          <a:spLocks xmlns:a="http://schemas.openxmlformats.org/drawingml/2006/main" noChangeShapeType="1"/>
        </cdr:cNvSpPr>
      </cdr:nvSpPr>
      <cdr:spPr bwMode="auto">
        <a:xfrm xmlns:a="http://schemas.openxmlformats.org/drawingml/2006/main">
          <a:off x="5664200" y="1308098"/>
          <a:ext cx="698500" cy="431801"/>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triangle" w="med"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12700</xdr:colOff>
      <xdr:row>27</xdr:row>
      <xdr:rowOff>0</xdr:rowOff>
    </xdr:from>
    <xdr:to>
      <xdr:col>6</xdr:col>
      <xdr:colOff>0</xdr:colOff>
      <xdr:row>36</xdr:row>
      <xdr:rowOff>12700</xdr:rowOff>
    </xdr:to>
    <xdr:sp macro="" textlink="">
      <xdr:nvSpPr>
        <xdr:cNvPr id="2" name="Line 1"/>
        <xdr:cNvSpPr>
          <a:spLocks noChangeShapeType="1"/>
        </xdr:cNvSpPr>
      </xdr:nvSpPr>
      <xdr:spPr bwMode="auto">
        <a:xfrm>
          <a:off x="6832600" y="5664200"/>
          <a:ext cx="1041400" cy="1841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3</xdr:col>
      <xdr:colOff>0</xdr:colOff>
      <xdr:row>20</xdr:row>
      <xdr:rowOff>25400</xdr:rowOff>
    </xdr:from>
    <xdr:to>
      <xdr:col>3</xdr:col>
      <xdr:colOff>558800</xdr:colOff>
      <xdr:row>20</xdr:row>
      <xdr:rowOff>25400</xdr:rowOff>
    </xdr:to>
    <xdr:sp macro="" textlink="">
      <xdr:nvSpPr>
        <xdr:cNvPr id="3" name="Line 1"/>
        <xdr:cNvSpPr>
          <a:spLocks noChangeShapeType="1"/>
        </xdr:cNvSpPr>
      </xdr:nvSpPr>
      <xdr:spPr bwMode="auto">
        <a:xfrm>
          <a:off x="4038600" y="42672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5</xdr:col>
      <xdr:colOff>25400</xdr:colOff>
      <xdr:row>24</xdr:row>
      <xdr:rowOff>12700</xdr:rowOff>
    </xdr:from>
    <xdr:to>
      <xdr:col>5</xdr:col>
      <xdr:colOff>1028700</xdr:colOff>
      <xdr:row>27</xdr:row>
      <xdr:rowOff>0</xdr:rowOff>
    </xdr:to>
    <xdr:sp macro="" textlink="">
      <xdr:nvSpPr>
        <xdr:cNvPr id="4" name="Line 1"/>
        <xdr:cNvSpPr>
          <a:spLocks noChangeShapeType="1"/>
        </xdr:cNvSpPr>
      </xdr:nvSpPr>
      <xdr:spPr bwMode="auto">
        <a:xfrm flipV="1">
          <a:off x="6845300" y="5067300"/>
          <a:ext cx="1003300" cy="596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5</xdr:col>
      <xdr:colOff>38100</xdr:colOff>
      <xdr:row>26</xdr:row>
      <xdr:rowOff>190500</xdr:rowOff>
    </xdr:from>
    <xdr:to>
      <xdr:col>5</xdr:col>
      <xdr:colOff>1016000</xdr:colOff>
      <xdr:row>40</xdr:row>
      <xdr:rowOff>177800</xdr:rowOff>
    </xdr:to>
    <xdr:sp macro="" textlink="">
      <xdr:nvSpPr>
        <xdr:cNvPr id="5" name="Line 1"/>
        <xdr:cNvSpPr>
          <a:spLocks noChangeShapeType="1"/>
        </xdr:cNvSpPr>
      </xdr:nvSpPr>
      <xdr:spPr bwMode="auto">
        <a:xfrm>
          <a:off x="6858000" y="5651500"/>
          <a:ext cx="977900" cy="3035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2</xdr:col>
      <xdr:colOff>2171700</xdr:colOff>
      <xdr:row>29</xdr:row>
      <xdr:rowOff>12700</xdr:rowOff>
    </xdr:from>
    <xdr:to>
      <xdr:col>3</xdr:col>
      <xdr:colOff>546100</xdr:colOff>
      <xdr:row>29</xdr:row>
      <xdr:rowOff>12700</xdr:rowOff>
    </xdr:to>
    <xdr:sp macro="" textlink="">
      <xdr:nvSpPr>
        <xdr:cNvPr id="6" name="Line 1"/>
        <xdr:cNvSpPr>
          <a:spLocks noChangeShapeType="1"/>
        </xdr:cNvSpPr>
      </xdr:nvSpPr>
      <xdr:spPr bwMode="auto">
        <a:xfrm>
          <a:off x="4025900" y="60833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3</xdr:col>
      <xdr:colOff>0</xdr:colOff>
      <xdr:row>32</xdr:row>
      <xdr:rowOff>0</xdr:rowOff>
    </xdr:from>
    <xdr:to>
      <xdr:col>3</xdr:col>
      <xdr:colOff>558800</xdr:colOff>
      <xdr:row>32</xdr:row>
      <xdr:rowOff>0</xdr:rowOff>
    </xdr:to>
    <xdr:sp macro="" textlink="">
      <xdr:nvSpPr>
        <xdr:cNvPr id="7" name="Line 1"/>
        <xdr:cNvSpPr>
          <a:spLocks noChangeShapeType="1"/>
        </xdr:cNvSpPr>
      </xdr:nvSpPr>
      <xdr:spPr bwMode="auto">
        <a:xfrm>
          <a:off x="4038600" y="66802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3</xdr:col>
      <xdr:colOff>0</xdr:colOff>
      <xdr:row>35</xdr:row>
      <xdr:rowOff>0</xdr:rowOff>
    </xdr:from>
    <xdr:to>
      <xdr:col>3</xdr:col>
      <xdr:colOff>558800</xdr:colOff>
      <xdr:row>35</xdr:row>
      <xdr:rowOff>0</xdr:rowOff>
    </xdr:to>
    <xdr:sp macro="" textlink="">
      <xdr:nvSpPr>
        <xdr:cNvPr id="8" name="Line 1"/>
        <xdr:cNvSpPr>
          <a:spLocks noChangeShapeType="1"/>
        </xdr:cNvSpPr>
      </xdr:nvSpPr>
      <xdr:spPr bwMode="auto">
        <a:xfrm>
          <a:off x="4038600" y="72898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3</xdr:col>
      <xdr:colOff>0</xdr:colOff>
      <xdr:row>37</xdr:row>
      <xdr:rowOff>190500</xdr:rowOff>
    </xdr:from>
    <xdr:to>
      <xdr:col>3</xdr:col>
      <xdr:colOff>558800</xdr:colOff>
      <xdr:row>37</xdr:row>
      <xdr:rowOff>190500</xdr:rowOff>
    </xdr:to>
    <xdr:sp macro="" textlink="">
      <xdr:nvSpPr>
        <xdr:cNvPr id="9" name="Line 1"/>
        <xdr:cNvSpPr>
          <a:spLocks noChangeShapeType="1"/>
        </xdr:cNvSpPr>
      </xdr:nvSpPr>
      <xdr:spPr bwMode="auto">
        <a:xfrm>
          <a:off x="4038600" y="78867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3</xdr:col>
      <xdr:colOff>12700</xdr:colOff>
      <xdr:row>39</xdr:row>
      <xdr:rowOff>127000</xdr:rowOff>
    </xdr:from>
    <xdr:to>
      <xdr:col>3</xdr:col>
      <xdr:colOff>571500</xdr:colOff>
      <xdr:row>39</xdr:row>
      <xdr:rowOff>127000</xdr:rowOff>
    </xdr:to>
    <xdr:sp macro="" textlink="">
      <xdr:nvSpPr>
        <xdr:cNvPr id="10" name="Line 1"/>
        <xdr:cNvSpPr>
          <a:spLocks noChangeShapeType="1"/>
        </xdr:cNvSpPr>
      </xdr:nvSpPr>
      <xdr:spPr bwMode="auto">
        <a:xfrm>
          <a:off x="4051300" y="83820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2</xdr:col>
      <xdr:colOff>2171700</xdr:colOff>
      <xdr:row>41</xdr:row>
      <xdr:rowOff>127000</xdr:rowOff>
    </xdr:from>
    <xdr:to>
      <xdr:col>3</xdr:col>
      <xdr:colOff>546100</xdr:colOff>
      <xdr:row>41</xdr:row>
      <xdr:rowOff>127000</xdr:rowOff>
    </xdr:to>
    <xdr:sp macro="" textlink="">
      <xdr:nvSpPr>
        <xdr:cNvPr id="11" name="Line 1"/>
        <xdr:cNvSpPr>
          <a:spLocks noChangeShapeType="1"/>
        </xdr:cNvSpPr>
      </xdr:nvSpPr>
      <xdr:spPr bwMode="auto">
        <a:xfrm>
          <a:off x="4025900" y="88392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3</xdr:col>
      <xdr:colOff>558800</xdr:colOff>
      <xdr:row>20</xdr:row>
      <xdr:rowOff>12700</xdr:rowOff>
    </xdr:from>
    <xdr:to>
      <xdr:col>3</xdr:col>
      <xdr:colOff>571500</xdr:colOff>
      <xdr:row>41</xdr:row>
      <xdr:rowOff>127000</xdr:rowOff>
    </xdr:to>
    <xdr:sp macro="" textlink="">
      <xdr:nvSpPr>
        <xdr:cNvPr id="12" name="Line 1"/>
        <xdr:cNvSpPr>
          <a:spLocks noChangeShapeType="1"/>
        </xdr:cNvSpPr>
      </xdr:nvSpPr>
      <xdr:spPr bwMode="auto">
        <a:xfrm>
          <a:off x="4597400" y="4254500"/>
          <a:ext cx="12700" cy="4584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3</xdr:col>
      <xdr:colOff>571500</xdr:colOff>
      <xdr:row>27</xdr:row>
      <xdr:rowOff>12700</xdr:rowOff>
    </xdr:from>
    <xdr:to>
      <xdr:col>4</xdr:col>
      <xdr:colOff>12700</xdr:colOff>
      <xdr:row>27</xdr:row>
      <xdr:rowOff>25400</xdr:rowOff>
    </xdr:to>
    <xdr:sp macro="" textlink="">
      <xdr:nvSpPr>
        <xdr:cNvPr id="13" name="Line 1"/>
        <xdr:cNvSpPr>
          <a:spLocks noChangeShapeType="1"/>
        </xdr:cNvSpPr>
      </xdr:nvSpPr>
      <xdr:spPr bwMode="auto">
        <a:xfrm flipV="1">
          <a:off x="4610100" y="5676900"/>
          <a:ext cx="495300" cy="12700"/>
        </a:xfrm>
        <a:prstGeom prst="line">
          <a:avLst/>
        </a:prstGeom>
        <a:noFill/>
        <a:ln w="635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5</xdr:col>
      <xdr:colOff>0</xdr:colOff>
      <xdr:row>17</xdr:row>
      <xdr:rowOff>0</xdr:rowOff>
    </xdr:from>
    <xdr:to>
      <xdr:col>6</xdr:col>
      <xdr:colOff>25400</xdr:colOff>
      <xdr:row>27</xdr:row>
      <xdr:rowOff>12700</xdr:rowOff>
    </xdr:to>
    <xdr:sp macro="" textlink="">
      <xdr:nvSpPr>
        <xdr:cNvPr id="14" name="Line 1"/>
        <xdr:cNvSpPr>
          <a:spLocks noChangeShapeType="1"/>
        </xdr:cNvSpPr>
      </xdr:nvSpPr>
      <xdr:spPr bwMode="auto">
        <a:xfrm flipV="1">
          <a:off x="6819900" y="3632200"/>
          <a:ext cx="1079500" cy="2044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5</xdr:col>
      <xdr:colOff>25400</xdr:colOff>
      <xdr:row>26</xdr:row>
      <xdr:rowOff>177800</xdr:rowOff>
    </xdr:from>
    <xdr:to>
      <xdr:col>6</xdr:col>
      <xdr:colOff>12700</xdr:colOff>
      <xdr:row>29</xdr:row>
      <xdr:rowOff>38100</xdr:rowOff>
    </xdr:to>
    <xdr:sp macro="" textlink="">
      <xdr:nvSpPr>
        <xdr:cNvPr id="15" name="Line 1"/>
        <xdr:cNvSpPr>
          <a:spLocks noChangeShapeType="1"/>
        </xdr:cNvSpPr>
      </xdr:nvSpPr>
      <xdr:spPr bwMode="auto">
        <a:xfrm>
          <a:off x="6845300" y="5638800"/>
          <a:ext cx="1041400" cy="469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12700</xdr:colOff>
      <xdr:row>23</xdr:row>
      <xdr:rowOff>127000</xdr:rowOff>
    </xdr:from>
    <xdr:to>
      <xdr:col>4</xdr:col>
      <xdr:colOff>419100</xdr:colOff>
      <xdr:row>28</xdr:row>
      <xdr:rowOff>12700</xdr:rowOff>
    </xdr:to>
    <xdr:sp macro="" textlink="">
      <xdr:nvSpPr>
        <xdr:cNvPr id="2" name="Line 1"/>
        <xdr:cNvSpPr>
          <a:spLocks noChangeShapeType="1"/>
        </xdr:cNvSpPr>
      </xdr:nvSpPr>
      <xdr:spPr bwMode="auto">
        <a:xfrm flipV="1">
          <a:off x="5473700" y="4267200"/>
          <a:ext cx="406400" cy="838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4</xdr:col>
      <xdr:colOff>0</xdr:colOff>
      <xdr:row>27</xdr:row>
      <xdr:rowOff>165100</xdr:rowOff>
    </xdr:from>
    <xdr:to>
      <xdr:col>4</xdr:col>
      <xdr:colOff>406400</xdr:colOff>
      <xdr:row>30</xdr:row>
      <xdr:rowOff>114300</xdr:rowOff>
    </xdr:to>
    <xdr:sp macro="" textlink="">
      <xdr:nvSpPr>
        <xdr:cNvPr id="3" name="Line 1"/>
        <xdr:cNvSpPr>
          <a:spLocks noChangeShapeType="1"/>
        </xdr:cNvSpPr>
      </xdr:nvSpPr>
      <xdr:spPr bwMode="auto">
        <a:xfrm>
          <a:off x="5689600" y="5067300"/>
          <a:ext cx="406400" cy="520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1</xdr:col>
      <xdr:colOff>1943100</xdr:colOff>
      <xdr:row>19</xdr:row>
      <xdr:rowOff>38100</xdr:rowOff>
    </xdr:from>
    <xdr:to>
      <xdr:col>3</xdr:col>
      <xdr:colOff>0</xdr:colOff>
      <xdr:row>24</xdr:row>
      <xdr:rowOff>12700</xdr:rowOff>
    </xdr:to>
    <xdr:sp macro="" textlink="">
      <xdr:nvSpPr>
        <xdr:cNvPr id="4" name="Line 1"/>
        <xdr:cNvSpPr>
          <a:spLocks noChangeShapeType="1"/>
        </xdr:cNvSpPr>
      </xdr:nvSpPr>
      <xdr:spPr bwMode="auto">
        <a:xfrm flipV="1">
          <a:off x="3517900" y="3009900"/>
          <a:ext cx="444500" cy="825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2</xdr:col>
      <xdr:colOff>0</xdr:colOff>
      <xdr:row>23</xdr:row>
      <xdr:rowOff>139700</xdr:rowOff>
    </xdr:from>
    <xdr:to>
      <xdr:col>2</xdr:col>
      <xdr:colOff>406400</xdr:colOff>
      <xdr:row>27</xdr:row>
      <xdr:rowOff>101600</xdr:rowOff>
    </xdr:to>
    <xdr:sp macro="" textlink="">
      <xdr:nvSpPr>
        <xdr:cNvPr id="5" name="Line 1"/>
        <xdr:cNvSpPr>
          <a:spLocks noChangeShapeType="1"/>
        </xdr:cNvSpPr>
      </xdr:nvSpPr>
      <xdr:spPr bwMode="auto">
        <a:xfrm>
          <a:off x="3530600" y="3810000"/>
          <a:ext cx="406400" cy="673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850900</xdr:colOff>
      <xdr:row>15</xdr:row>
      <xdr:rowOff>12700</xdr:rowOff>
    </xdr:from>
    <xdr:to>
      <xdr:col>4</xdr:col>
      <xdr:colOff>215900</xdr:colOff>
      <xdr:row>16</xdr:row>
      <xdr:rowOff>177800</xdr:rowOff>
    </xdr:to>
    <xdr:sp macro="" textlink="">
      <xdr:nvSpPr>
        <xdr:cNvPr id="2" name="Line 1"/>
        <xdr:cNvSpPr>
          <a:spLocks noChangeShapeType="1"/>
        </xdr:cNvSpPr>
      </xdr:nvSpPr>
      <xdr:spPr bwMode="auto">
        <a:xfrm flipH="1">
          <a:off x="1803400" y="2870200"/>
          <a:ext cx="2222500" cy="355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4</xdr:col>
      <xdr:colOff>215900</xdr:colOff>
      <xdr:row>15</xdr:row>
      <xdr:rowOff>12700</xdr:rowOff>
    </xdr:from>
    <xdr:to>
      <xdr:col>5</xdr:col>
      <xdr:colOff>939800</xdr:colOff>
      <xdr:row>16</xdr:row>
      <xdr:rowOff>190500</xdr:rowOff>
    </xdr:to>
    <xdr:sp macro="" textlink="">
      <xdr:nvSpPr>
        <xdr:cNvPr id="3" name="Line 1"/>
        <xdr:cNvSpPr>
          <a:spLocks noChangeShapeType="1"/>
        </xdr:cNvSpPr>
      </xdr:nvSpPr>
      <xdr:spPr bwMode="auto">
        <a:xfrm>
          <a:off x="4025900" y="2870200"/>
          <a:ext cx="1676400" cy="368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5</xdr:col>
      <xdr:colOff>927100</xdr:colOff>
      <xdr:row>20</xdr:row>
      <xdr:rowOff>190500</xdr:rowOff>
    </xdr:from>
    <xdr:to>
      <xdr:col>5</xdr:col>
      <xdr:colOff>927100</xdr:colOff>
      <xdr:row>23</xdr:row>
      <xdr:rowOff>0</xdr:rowOff>
    </xdr:to>
    <xdr:sp macro="" textlink="">
      <xdr:nvSpPr>
        <xdr:cNvPr id="4" name="Line 1"/>
        <xdr:cNvSpPr>
          <a:spLocks noChangeShapeType="1"/>
        </xdr:cNvSpPr>
      </xdr:nvSpPr>
      <xdr:spPr bwMode="auto">
        <a:xfrm>
          <a:off x="5689600" y="4000500"/>
          <a:ext cx="0" cy="381000"/>
        </a:xfrm>
        <a:prstGeom prst="line">
          <a:avLst/>
        </a:prstGeom>
        <a:noFill/>
        <a:ln w="635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5</xdr:col>
      <xdr:colOff>850900</xdr:colOff>
      <xdr:row>27</xdr:row>
      <xdr:rowOff>25400</xdr:rowOff>
    </xdr:from>
    <xdr:to>
      <xdr:col>7</xdr:col>
      <xdr:colOff>863600</xdr:colOff>
      <xdr:row>28</xdr:row>
      <xdr:rowOff>190500</xdr:rowOff>
    </xdr:to>
    <xdr:sp macro="" textlink="">
      <xdr:nvSpPr>
        <xdr:cNvPr id="5" name="Line 1"/>
        <xdr:cNvSpPr>
          <a:spLocks noChangeShapeType="1"/>
        </xdr:cNvSpPr>
      </xdr:nvSpPr>
      <xdr:spPr bwMode="auto">
        <a:xfrm>
          <a:off x="5613400" y="5168900"/>
          <a:ext cx="1917700" cy="355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3</xdr:col>
      <xdr:colOff>914400</xdr:colOff>
      <xdr:row>27</xdr:row>
      <xdr:rowOff>25400</xdr:rowOff>
    </xdr:from>
    <xdr:to>
      <xdr:col>5</xdr:col>
      <xdr:colOff>825500</xdr:colOff>
      <xdr:row>28</xdr:row>
      <xdr:rowOff>177800</xdr:rowOff>
    </xdr:to>
    <xdr:sp macro="" textlink="">
      <xdr:nvSpPr>
        <xdr:cNvPr id="6" name="Line 1"/>
        <xdr:cNvSpPr>
          <a:spLocks noChangeShapeType="1"/>
        </xdr:cNvSpPr>
      </xdr:nvSpPr>
      <xdr:spPr bwMode="auto">
        <a:xfrm flipH="1">
          <a:off x="3771900" y="5168900"/>
          <a:ext cx="1816100" cy="342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5</xdr:col>
      <xdr:colOff>838200</xdr:colOff>
      <xdr:row>27</xdr:row>
      <xdr:rowOff>0</xdr:rowOff>
    </xdr:from>
    <xdr:to>
      <xdr:col>5</xdr:col>
      <xdr:colOff>850900</xdr:colOff>
      <xdr:row>29</xdr:row>
      <xdr:rowOff>12700</xdr:rowOff>
    </xdr:to>
    <xdr:sp macro="" textlink="">
      <xdr:nvSpPr>
        <xdr:cNvPr id="7" name="Line 1"/>
        <xdr:cNvSpPr>
          <a:spLocks noChangeShapeType="1"/>
        </xdr:cNvSpPr>
      </xdr:nvSpPr>
      <xdr:spPr bwMode="auto">
        <a:xfrm>
          <a:off x="5600700" y="5143500"/>
          <a:ext cx="12700" cy="393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wsDr>
</file>

<file path=xl/drawings/drawing6.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0.47448</cdr:x>
      <cdr:y>0.19005</cdr:y>
    </cdr:from>
    <cdr:to>
      <cdr:x>0.52915</cdr:x>
      <cdr:y>0.36105</cdr:y>
    </cdr:to>
    <cdr:sp macro="" textlink="">
      <cdr:nvSpPr>
        <cdr:cNvPr id="2" name="Line 1"/>
        <cdr:cNvSpPr>
          <a:spLocks xmlns:a="http://schemas.openxmlformats.org/drawingml/2006/main" noChangeShapeType="1"/>
        </cdr:cNvSpPr>
      </cdr:nvSpPr>
      <cdr:spPr bwMode="auto">
        <a:xfrm xmlns:a="http://schemas.openxmlformats.org/drawingml/2006/main">
          <a:off x="4368800" y="1066800"/>
          <a:ext cx="503326" cy="959941"/>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triangle" w="med"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p>
      </cdr:txBody>
    </cdr:sp>
  </cdr:relSizeAnchor>
  <cdr:relSizeAnchor xmlns:cdr="http://schemas.openxmlformats.org/drawingml/2006/chartDrawing">
    <cdr:from>
      <cdr:x>0.38621</cdr:x>
      <cdr:y>0.53846</cdr:y>
    </cdr:from>
    <cdr:to>
      <cdr:x>0.47034</cdr:x>
      <cdr:y>0.69231</cdr:y>
    </cdr:to>
    <cdr:sp macro="" textlink="">
      <cdr:nvSpPr>
        <cdr:cNvPr id="3" name="Line 1"/>
        <cdr:cNvSpPr>
          <a:spLocks xmlns:a="http://schemas.openxmlformats.org/drawingml/2006/main" noChangeShapeType="1"/>
        </cdr:cNvSpPr>
      </cdr:nvSpPr>
      <cdr:spPr bwMode="auto">
        <a:xfrm xmlns:a="http://schemas.openxmlformats.org/drawingml/2006/main" flipV="1">
          <a:off x="3556000" y="3022600"/>
          <a:ext cx="774700" cy="863600"/>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triangle" w="med"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p>
      </cdr:txBody>
    </cdr:sp>
  </cdr:relSizeAnchor>
  <cdr:relSizeAnchor xmlns:cdr="http://schemas.openxmlformats.org/drawingml/2006/chartDrawing">
    <cdr:from>
      <cdr:x>0.30621</cdr:x>
      <cdr:y>0.07692</cdr:y>
    </cdr:from>
    <cdr:to>
      <cdr:x>0.66621</cdr:x>
      <cdr:y>0.1991</cdr:y>
    </cdr:to>
    <cdr:sp macro="" textlink="">
      <cdr:nvSpPr>
        <cdr:cNvPr id="4" name="Oval 5"/>
        <cdr:cNvSpPr>
          <a:spLocks xmlns:a="http://schemas.openxmlformats.org/drawingml/2006/main" noChangeArrowheads="1"/>
        </cdr:cNvSpPr>
      </cdr:nvSpPr>
      <cdr:spPr bwMode="auto">
        <a:xfrm xmlns:a="http://schemas.openxmlformats.org/drawingml/2006/main">
          <a:off x="2819400" y="431800"/>
          <a:ext cx="3314700" cy="685800"/>
        </a:xfrm>
        <a:prstGeom xmlns:a="http://schemas.openxmlformats.org/drawingml/2006/main" prst="ellipse">
          <a:avLst/>
        </a:prstGeom>
        <a:noFill xmlns:a="http://schemas.openxmlformats.org/drawingml/2006/main"/>
        <a:ln xmlns:a="http://schemas.openxmlformats.org/drawingml/2006/main" w="9525">
          <a:noFill/>
          <a:round/>
          <a:headEnd/>
          <a:tailEnd/>
        </a:ln>
      </cdr:spPr>
      <cdr:txBody>
        <a:bodyPr xmlns:a="http://schemas.openxmlformats.org/drawingml/2006/main" wrap="square" lIns="27432" tIns="22860" rIns="27432"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lnSpc>
              <a:spcPts val="1800"/>
            </a:lnSpc>
            <a:defRPr sz="1000"/>
          </a:pPr>
          <a:r>
            <a:rPr lang="fr-FR" sz="1800" b="0" i="0" u="none" strike="noStrike" baseline="0">
              <a:solidFill>
                <a:srgbClr val="000000"/>
              </a:solidFill>
              <a:latin typeface="Arial"/>
              <a:ea typeface="Arial"/>
              <a:cs typeface="Arial"/>
            </a:rPr>
            <a:t>Accounts held through shell corporations</a:t>
          </a:r>
        </a:p>
      </cdr:txBody>
    </cdr:sp>
  </cdr:relSizeAnchor>
  <cdr:relSizeAnchor xmlns:cdr="http://schemas.openxmlformats.org/drawingml/2006/chartDrawing">
    <cdr:from>
      <cdr:x>0.18345</cdr:x>
      <cdr:y>0.67195</cdr:y>
    </cdr:from>
    <cdr:to>
      <cdr:x>0.68138</cdr:x>
      <cdr:y>0.80995</cdr:y>
    </cdr:to>
    <cdr:sp macro="" textlink="">
      <cdr:nvSpPr>
        <cdr:cNvPr id="5" name="Oval 5"/>
        <cdr:cNvSpPr>
          <a:spLocks xmlns:a="http://schemas.openxmlformats.org/drawingml/2006/main" noChangeArrowheads="1"/>
        </cdr:cNvSpPr>
      </cdr:nvSpPr>
      <cdr:spPr bwMode="auto">
        <a:xfrm xmlns:a="http://schemas.openxmlformats.org/drawingml/2006/main">
          <a:off x="1689100" y="3771900"/>
          <a:ext cx="4584700" cy="774700"/>
        </a:xfrm>
        <a:prstGeom xmlns:a="http://schemas.openxmlformats.org/drawingml/2006/main" prst="ellipse">
          <a:avLst/>
        </a:prstGeom>
        <a:noFill xmlns:a="http://schemas.openxmlformats.org/drawingml/2006/main"/>
        <a:ln xmlns:a="http://schemas.openxmlformats.org/drawingml/2006/main" w="9525">
          <a:noFill/>
          <a:round/>
          <a:headEnd/>
          <a:tailEnd/>
        </a:ln>
      </cdr:spPr>
      <cdr:txBody>
        <a:bodyPr xmlns:a="http://schemas.openxmlformats.org/drawingml/2006/main" wrap="square" lIns="27432" tIns="22860" rIns="27432"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lnSpc>
              <a:spcPts val="1800"/>
            </a:lnSpc>
            <a:defRPr sz="1000"/>
          </a:pPr>
          <a:r>
            <a:rPr lang="fr-FR" sz="1800" b="0" i="0" u="none" strike="noStrike" baseline="0">
              <a:solidFill>
                <a:srgbClr val="000000"/>
              </a:solidFill>
              <a:latin typeface="Arial"/>
              <a:ea typeface="Arial"/>
              <a:cs typeface="Arial"/>
            </a:rPr>
            <a:t>Accounts directly held by Europeans </a:t>
          </a:r>
        </a:p>
      </cdr:txBody>
    </cdr:sp>
  </cdr:relSizeAnchor>
  <cdr:relSizeAnchor xmlns:cdr="http://schemas.openxmlformats.org/drawingml/2006/chartDrawing">
    <cdr:from>
      <cdr:x>0.67724</cdr:x>
      <cdr:y>0.03619</cdr:y>
    </cdr:from>
    <cdr:to>
      <cdr:x>0.67862</cdr:x>
      <cdr:y>0.9095</cdr:y>
    </cdr:to>
    <cdr:sp macro="" textlink="">
      <cdr:nvSpPr>
        <cdr:cNvPr id="6" name="Line 1"/>
        <cdr:cNvSpPr>
          <a:spLocks xmlns:a="http://schemas.openxmlformats.org/drawingml/2006/main" noChangeShapeType="1"/>
        </cdr:cNvSpPr>
      </cdr:nvSpPr>
      <cdr:spPr bwMode="auto">
        <a:xfrm xmlns:a="http://schemas.openxmlformats.org/drawingml/2006/main">
          <a:off x="6235681" y="203176"/>
          <a:ext cx="12706" cy="4902239"/>
        </a:xfrm>
        <a:prstGeom xmlns:a="http://schemas.openxmlformats.org/drawingml/2006/main" prst="line">
          <a:avLst/>
        </a:prstGeom>
        <a:noFill xmlns:a="http://schemas.openxmlformats.org/drawingml/2006/main"/>
        <a:ln xmlns:a="http://schemas.openxmlformats.org/drawingml/2006/main" w="19050">
          <a:solidFill>
            <a:srgbClr xmlns:mc="http://schemas.openxmlformats.org/markup-compatibility/2006" xmlns:a14="http://schemas.microsoft.com/office/drawing/2010/main" val="000000" mc:Ignorable="a14" a14:legacySpreadsheetColorIndex="64"/>
          </a:solidFill>
          <a:prstDash val="dash"/>
          <a:round/>
          <a:headEnd/>
          <a:tailEnd type="none" w="med"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p>
      </cdr:txBody>
    </cdr:sp>
  </cdr:relSizeAnchor>
  <cdr:relSizeAnchor xmlns:cdr="http://schemas.openxmlformats.org/drawingml/2006/chartDrawing">
    <cdr:from>
      <cdr:x>0.67034</cdr:x>
      <cdr:y>0.37783</cdr:y>
    </cdr:from>
    <cdr:to>
      <cdr:x>0.8662</cdr:x>
      <cdr:y>0.51132</cdr:y>
    </cdr:to>
    <cdr:sp macro="" textlink="">
      <cdr:nvSpPr>
        <cdr:cNvPr id="8" name="Oval 5"/>
        <cdr:cNvSpPr>
          <a:spLocks xmlns:a="http://schemas.openxmlformats.org/drawingml/2006/main" noChangeArrowheads="1"/>
        </cdr:cNvSpPr>
      </cdr:nvSpPr>
      <cdr:spPr bwMode="auto">
        <a:xfrm xmlns:a="http://schemas.openxmlformats.org/drawingml/2006/main">
          <a:off x="6172190" y="2120883"/>
          <a:ext cx="1803381" cy="749333"/>
        </a:xfrm>
        <a:prstGeom xmlns:a="http://schemas.openxmlformats.org/drawingml/2006/main" prst="ellipse">
          <a:avLst/>
        </a:prstGeom>
        <a:noFill xmlns:a="http://schemas.openxmlformats.org/drawingml/2006/main"/>
        <a:ln xmlns:a="http://schemas.openxmlformats.org/drawingml/2006/main" w="9525">
          <a:noFill/>
          <a:round/>
          <a:headEnd/>
          <a:tailEnd/>
        </a:ln>
      </cdr:spPr>
      <cdr:txBody>
        <a:bodyPr xmlns:a="http://schemas.openxmlformats.org/drawingml/2006/main" wrap="square" lIns="27432" tIns="22860" rIns="27432"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lnSpc>
              <a:spcPts val="1800"/>
            </a:lnSpc>
            <a:defRPr sz="1000"/>
          </a:pPr>
          <a:r>
            <a:rPr lang="fr-FR" sz="1800" b="0" i="0" u="none" strike="noStrike" baseline="0">
              <a:solidFill>
                <a:srgbClr val="000000"/>
              </a:solidFill>
              <a:latin typeface="Arial"/>
              <a:ea typeface="Arial"/>
              <a:cs typeface="Arial"/>
            </a:rPr>
            <a:t>EU Saving Tax Directive</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0.58069</cdr:x>
      <cdr:y>0.11991</cdr:y>
    </cdr:from>
    <cdr:to>
      <cdr:x>0.71694</cdr:x>
      <cdr:y>0.18778</cdr:y>
    </cdr:to>
    <cdr:sp macro="" textlink="">
      <cdr:nvSpPr>
        <cdr:cNvPr id="10" name="Rectangle 9"/>
        <cdr:cNvSpPr/>
      </cdr:nvSpPr>
      <cdr:spPr>
        <a:xfrm xmlns:a="http://schemas.openxmlformats.org/drawingml/2006/main">
          <a:off x="5346701" y="673107"/>
          <a:ext cx="1254516" cy="38098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fr-FR" sz="2000">
              <a:solidFill>
                <a:schemeClr val="tx1"/>
              </a:solidFill>
              <a:latin typeface="Arial"/>
              <a:cs typeface="Arial"/>
            </a:rPr>
            <a:t>Finance</a:t>
          </a:r>
        </a:p>
      </cdr:txBody>
    </cdr:sp>
  </cdr:relSizeAnchor>
  <cdr:relSizeAnchor xmlns:cdr="http://schemas.openxmlformats.org/drawingml/2006/chartDrawing">
    <cdr:from>
      <cdr:x>0.73069</cdr:x>
      <cdr:y>0.54977</cdr:y>
    </cdr:from>
    <cdr:to>
      <cdr:x>0.85615</cdr:x>
      <cdr:y>0.62217</cdr:y>
    </cdr:to>
    <cdr:sp macro="" textlink="">
      <cdr:nvSpPr>
        <cdr:cNvPr id="11" name="Rectangle 10"/>
        <cdr:cNvSpPr/>
      </cdr:nvSpPr>
      <cdr:spPr>
        <a:xfrm xmlns:a="http://schemas.openxmlformats.org/drawingml/2006/main">
          <a:off x="6727844" y="3086085"/>
          <a:ext cx="1155173" cy="40641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2000">
              <a:solidFill>
                <a:schemeClr val="tx1"/>
              </a:solidFill>
              <a:latin typeface="Arial"/>
              <a:cs typeface="Arial"/>
            </a:rPr>
            <a:t>Industry</a:t>
          </a:r>
        </a:p>
      </cdr:txBody>
    </cdr:sp>
  </cdr:relSizeAnchor>
  <cdr:relSizeAnchor xmlns:cdr="http://schemas.openxmlformats.org/drawingml/2006/chartDrawing">
    <cdr:from>
      <cdr:x>0.67172</cdr:x>
      <cdr:y>0.19457</cdr:y>
    </cdr:from>
    <cdr:to>
      <cdr:x>0.69329</cdr:x>
      <cdr:y>0.25697</cdr:y>
    </cdr:to>
    <cdr:sp macro="" textlink="">
      <cdr:nvSpPr>
        <cdr:cNvPr id="4" name="Line 1"/>
        <cdr:cNvSpPr>
          <a:spLocks xmlns:a="http://schemas.openxmlformats.org/drawingml/2006/main" noChangeShapeType="1"/>
        </cdr:cNvSpPr>
      </cdr:nvSpPr>
      <cdr:spPr bwMode="auto">
        <a:xfrm xmlns:a="http://schemas.openxmlformats.org/drawingml/2006/main">
          <a:off x="6184900" y="1092200"/>
          <a:ext cx="198574" cy="350291"/>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triangle" w="med"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p>
      </cdr:txBody>
    </cdr:sp>
  </cdr:relSizeAnchor>
  <cdr:relSizeAnchor xmlns:cdr="http://schemas.openxmlformats.org/drawingml/2006/chartDrawing">
    <cdr:from>
      <cdr:x>0.67034</cdr:x>
      <cdr:y>0.60181</cdr:y>
    </cdr:from>
    <cdr:to>
      <cdr:x>0.72276</cdr:x>
      <cdr:y>0.63348</cdr:y>
    </cdr:to>
    <cdr:sp macro="" textlink="">
      <cdr:nvSpPr>
        <cdr:cNvPr id="5" name="Line 1"/>
        <cdr:cNvSpPr>
          <a:spLocks xmlns:a="http://schemas.openxmlformats.org/drawingml/2006/main" noChangeShapeType="1"/>
        </cdr:cNvSpPr>
      </cdr:nvSpPr>
      <cdr:spPr bwMode="auto">
        <a:xfrm xmlns:a="http://schemas.openxmlformats.org/drawingml/2006/main" flipH="1">
          <a:off x="6172200" y="3378201"/>
          <a:ext cx="482600" cy="177799"/>
        </a:xfrm>
        <a:prstGeom xmlns:a="http://schemas.openxmlformats.org/drawingml/2006/main" prst="line">
          <a:avLst/>
        </a:prstGeom>
        <a:noFill xmlns:a="http://schemas.openxmlformats.org/drawingml/2006/main"/>
        <a:ln xmlns:a="http://schemas.openxmlformats.org/drawingml/2006/main" w="9525">
          <a:solidFill>
            <a:srgbClr xmlns:mc="http://schemas.openxmlformats.org/markup-compatibility/2006" xmlns:a14="http://schemas.microsoft.com/office/drawing/2010/main" val="000000" mc:Ignorable="a14" a14:legacySpreadsheetColorIndex="64"/>
          </a:solidFill>
          <a:round/>
          <a:headEnd/>
          <a:tailEnd type="triangle" w="med" len="med"/>
        </a:ln>
        <a:extLst xmlns:a="http://schemas.openxmlformats.org/drawingml/2006/main">
          <a:ext uri="{909E8E84-426E-40dd-AFC4-6F175D3DCCD1}">
            <a14:hiddenFill xmlns:a14="http://schemas.microsoft.com/office/drawing/2010/main">
              <a:noFill/>
            </a14:hiddenFill>
          </a:ext>
        </a:extLst>
      </cdr:spPr>
      <cdr:txBody>
        <a:bodyPr xmlns:a="http://schemas.openxmlformats.org/drawingml/2006/main"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fr-FR"/>
        </a:p>
      </cdr:txBody>
    </cdr:sp>
  </cdr:relSizeAnchor>
</c:userShapes>
</file>

<file path=xl/drawings/drawing10.xml><?xml version="1.0" encoding="utf-8"?>
<xdr:wsDr xmlns:xdr="http://schemas.openxmlformats.org/drawingml/2006/spreadsheetDrawing" xmlns:a="http://schemas.openxmlformats.org/drawingml/2006/main">
  <xdr:twoCellAnchor>
    <xdr:from>
      <xdr:col>2</xdr:col>
      <xdr:colOff>12700</xdr:colOff>
      <xdr:row>17</xdr:row>
      <xdr:rowOff>0</xdr:rowOff>
    </xdr:from>
    <xdr:to>
      <xdr:col>3</xdr:col>
      <xdr:colOff>0</xdr:colOff>
      <xdr:row>24</xdr:row>
      <xdr:rowOff>88900</xdr:rowOff>
    </xdr:to>
    <xdr:sp macro="" textlink="">
      <xdr:nvSpPr>
        <xdr:cNvPr id="4" name="Line 1"/>
        <xdr:cNvSpPr>
          <a:spLocks noChangeShapeType="1"/>
        </xdr:cNvSpPr>
      </xdr:nvSpPr>
      <xdr:spPr bwMode="auto">
        <a:xfrm>
          <a:off x="3314700" y="2235200"/>
          <a:ext cx="419100" cy="142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2</xdr:col>
      <xdr:colOff>0</xdr:colOff>
      <xdr:row>21</xdr:row>
      <xdr:rowOff>139700</xdr:rowOff>
    </xdr:from>
    <xdr:to>
      <xdr:col>3</xdr:col>
      <xdr:colOff>0</xdr:colOff>
      <xdr:row>24</xdr:row>
      <xdr:rowOff>127000</xdr:rowOff>
    </xdr:to>
    <xdr:sp macro="" textlink="">
      <xdr:nvSpPr>
        <xdr:cNvPr id="6" name="Line 1"/>
        <xdr:cNvSpPr>
          <a:spLocks noChangeShapeType="1"/>
        </xdr:cNvSpPr>
      </xdr:nvSpPr>
      <xdr:spPr bwMode="auto">
        <a:xfrm>
          <a:off x="3302000" y="3746500"/>
          <a:ext cx="431800" cy="558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2</xdr:col>
      <xdr:colOff>25400</xdr:colOff>
      <xdr:row>24</xdr:row>
      <xdr:rowOff>165100</xdr:rowOff>
    </xdr:from>
    <xdr:to>
      <xdr:col>2</xdr:col>
      <xdr:colOff>419100</xdr:colOff>
      <xdr:row>32</xdr:row>
      <xdr:rowOff>0</xdr:rowOff>
    </xdr:to>
    <xdr:sp macro="" textlink="">
      <xdr:nvSpPr>
        <xdr:cNvPr id="7" name="Line 1"/>
        <xdr:cNvSpPr>
          <a:spLocks noChangeShapeType="1"/>
        </xdr:cNvSpPr>
      </xdr:nvSpPr>
      <xdr:spPr bwMode="auto">
        <a:xfrm flipV="1">
          <a:off x="3327400" y="4343400"/>
          <a:ext cx="393700" cy="1358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2</xdr:col>
      <xdr:colOff>12700</xdr:colOff>
      <xdr:row>24</xdr:row>
      <xdr:rowOff>114300</xdr:rowOff>
    </xdr:from>
    <xdr:to>
      <xdr:col>3</xdr:col>
      <xdr:colOff>0</xdr:colOff>
      <xdr:row>27</xdr:row>
      <xdr:rowOff>12700</xdr:rowOff>
    </xdr:to>
    <xdr:sp macro="" textlink="">
      <xdr:nvSpPr>
        <xdr:cNvPr id="8" name="Line 1"/>
        <xdr:cNvSpPr>
          <a:spLocks noChangeShapeType="1"/>
        </xdr:cNvSpPr>
      </xdr:nvSpPr>
      <xdr:spPr bwMode="auto">
        <a:xfrm flipV="1">
          <a:off x="3314700" y="4292600"/>
          <a:ext cx="419100" cy="469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4</xdr:col>
      <xdr:colOff>0</xdr:colOff>
      <xdr:row>24</xdr:row>
      <xdr:rowOff>165100</xdr:rowOff>
    </xdr:from>
    <xdr:to>
      <xdr:col>4</xdr:col>
      <xdr:colOff>419100</xdr:colOff>
      <xdr:row>32</xdr:row>
      <xdr:rowOff>38100</xdr:rowOff>
    </xdr:to>
    <xdr:sp macro="" textlink="">
      <xdr:nvSpPr>
        <xdr:cNvPr id="10" name="Line 1"/>
        <xdr:cNvSpPr>
          <a:spLocks noChangeShapeType="1"/>
        </xdr:cNvSpPr>
      </xdr:nvSpPr>
      <xdr:spPr bwMode="auto">
        <a:xfrm flipH="1" flipV="1">
          <a:off x="5575300" y="4343400"/>
          <a:ext cx="419100" cy="1397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4</xdr:col>
      <xdr:colOff>0</xdr:colOff>
      <xdr:row>22</xdr:row>
      <xdr:rowOff>25400</xdr:rowOff>
    </xdr:from>
    <xdr:to>
      <xdr:col>4</xdr:col>
      <xdr:colOff>419100</xdr:colOff>
      <xdr:row>24</xdr:row>
      <xdr:rowOff>114300</xdr:rowOff>
    </xdr:to>
    <xdr:sp macro="" textlink="">
      <xdr:nvSpPr>
        <xdr:cNvPr id="11" name="Line 1"/>
        <xdr:cNvSpPr>
          <a:spLocks noChangeShapeType="1"/>
        </xdr:cNvSpPr>
      </xdr:nvSpPr>
      <xdr:spPr bwMode="auto">
        <a:xfrm flipH="1">
          <a:off x="5575300" y="3822700"/>
          <a:ext cx="419100" cy="469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4</xdr:col>
      <xdr:colOff>12700</xdr:colOff>
      <xdr:row>17</xdr:row>
      <xdr:rowOff>0</xdr:rowOff>
    </xdr:from>
    <xdr:to>
      <xdr:col>4</xdr:col>
      <xdr:colOff>419100</xdr:colOff>
      <xdr:row>24</xdr:row>
      <xdr:rowOff>63500</xdr:rowOff>
    </xdr:to>
    <xdr:sp macro="" textlink="">
      <xdr:nvSpPr>
        <xdr:cNvPr id="12" name="Line 1"/>
        <xdr:cNvSpPr>
          <a:spLocks noChangeShapeType="1"/>
        </xdr:cNvSpPr>
      </xdr:nvSpPr>
      <xdr:spPr bwMode="auto">
        <a:xfrm flipH="1">
          <a:off x="5588000" y="2844800"/>
          <a:ext cx="406400" cy="1397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twoCellAnchor>
    <xdr:from>
      <xdr:col>4</xdr:col>
      <xdr:colOff>0</xdr:colOff>
      <xdr:row>24</xdr:row>
      <xdr:rowOff>114300</xdr:rowOff>
    </xdr:from>
    <xdr:to>
      <xdr:col>4</xdr:col>
      <xdr:colOff>406400</xdr:colOff>
      <xdr:row>27</xdr:row>
      <xdr:rowOff>114300</xdr:rowOff>
    </xdr:to>
    <xdr:sp macro="" textlink="">
      <xdr:nvSpPr>
        <xdr:cNvPr id="9" name="Line 1"/>
        <xdr:cNvSpPr>
          <a:spLocks noChangeShapeType="1"/>
        </xdr:cNvSpPr>
      </xdr:nvSpPr>
      <xdr:spPr bwMode="auto">
        <a:xfrm flipH="1" flipV="1">
          <a:off x="5575300" y="4292600"/>
          <a:ext cx="406400" cy="571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fr-FR"/>
        </a:p>
      </xdr:txBody>
    </xdr:sp>
    <xdr:clientData/>
  </xdr:twoCellAnchor>
</xdr:wsDr>
</file>

<file path=xl/drawings/drawing11.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0.38673</cdr:x>
      <cdr:y>0.25852</cdr:y>
    </cdr:from>
    <cdr:to>
      <cdr:x>0.53298</cdr:x>
      <cdr:y>0.31895</cdr:y>
    </cdr:to>
    <cdr:sp macro="" textlink="">
      <cdr:nvSpPr>
        <cdr:cNvPr id="2" name="Rectangle 1"/>
        <cdr:cNvSpPr/>
      </cdr:nvSpPr>
      <cdr:spPr>
        <a:xfrm xmlns:a="http://schemas.openxmlformats.org/drawingml/2006/main">
          <a:off x="3560799" y="1451994"/>
          <a:ext cx="1346640" cy="33939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fr-FR" sz="1600" u="none" baseline="0">
              <a:ln>
                <a:noFill/>
              </a:ln>
              <a:solidFill>
                <a:schemeClr val="tx1"/>
              </a:solidFill>
              <a:effectLst/>
              <a:latin typeface="Arial"/>
            </a:rPr>
            <a:t>Singapore</a:t>
          </a:r>
        </a:p>
      </cdr:txBody>
    </cdr:sp>
  </cdr:relSizeAnchor>
  <cdr:relSizeAnchor xmlns:cdr="http://schemas.openxmlformats.org/drawingml/2006/chartDrawing">
    <cdr:from>
      <cdr:x>0.82545</cdr:x>
      <cdr:y>0.7495</cdr:y>
    </cdr:from>
    <cdr:to>
      <cdr:x>0.9717</cdr:x>
      <cdr:y>0.80993</cdr:y>
    </cdr:to>
    <cdr:sp macro="" textlink="">
      <cdr:nvSpPr>
        <cdr:cNvPr id="3" name="Rectangle 2"/>
        <cdr:cNvSpPr/>
      </cdr:nvSpPr>
      <cdr:spPr>
        <a:xfrm xmlns:a="http://schemas.openxmlformats.org/drawingml/2006/main">
          <a:off x="7600310" y="4209545"/>
          <a:ext cx="1346640" cy="33939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Ireland</a:t>
          </a:r>
        </a:p>
      </cdr:txBody>
    </cdr:sp>
  </cdr:relSizeAnchor>
  <cdr:relSizeAnchor xmlns:cdr="http://schemas.openxmlformats.org/drawingml/2006/chartDrawing">
    <cdr:from>
      <cdr:x>0.56213</cdr:x>
      <cdr:y>0.67381</cdr:y>
    </cdr:from>
    <cdr:to>
      <cdr:x>0.70839</cdr:x>
      <cdr:y>0.73424</cdr:y>
    </cdr:to>
    <cdr:sp macro="" textlink="">
      <cdr:nvSpPr>
        <cdr:cNvPr id="4" name="Rectangle 3"/>
        <cdr:cNvSpPr/>
      </cdr:nvSpPr>
      <cdr:spPr>
        <a:xfrm xmlns:a="http://schemas.openxmlformats.org/drawingml/2006/main">
          <a:off x="5175858" y="3784416"/>
          <a:ext cx="1346640" cy="33939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Netherlands</a:t>
          </a:r>
        </a:p>
      </cdr:txBody>
    </cdr:sp>
  </cdr:relSizeAnchor>
  <cdr:relSizeAnchor xmlns:cdr="http://schemas.openxmlformats.org/drawingml/2006/chartDrawing">
    <cdr:from>
      <cdr:x>0.74128</cdr:x>
      <cdr:y>0.5112</cdr:y>
    </cdr:from>
    <cdr:to>
      <cdr:x>0.88753</cdr:x>
      <cdr:y>0.57163</cdr:y>
    </cdr:to>
    <cdr:sp macro="" textlink="">
      <cdr:nvSpPr>
        <cdr:cNvPr id="5" name="Rectangle 4"/>
        <cdr:cNvSpPr/>
      </cdr:nvSpPr>
      <cdr:spPr>
        <a:xfrm xmlns:a="http://schemas.openxmlformats.org/drawingml/2006/main">
          <a:off x="6825322" y="2871160"/>
          <a:ext cx="1346640" cy="33939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Luxembourg</a:t>
          </a:r>
        </a:p>
      </cdr:txBody>
    </cdr:sp>
  </cdr:relSizeAnchor>
  <cdr:relSizeAnchor xmlns:cdr="http://schemas.openxmlformats.org/drawingml/2006/chartDrawing">
    <cdr:from>
      <cdr:x>0.29526</cdr:x>
      <cdr:y>0.61708</cdr:y>
    </cdr:from>
    <cdr:to>
      <cdr:x>0.44152</cdr:x>
      <cdr:y>0.67751</cdr:y>
    </cdr:to>
    <cdr:sp macro="" textlink="">
      <cdr:nvSpPr>
        <cdr:cNvPr id="6" name="Rectangle 5"/>
        <cdr:cNvSpPr/>
      </cdr:nvSpPr>
      <cdr:spPr>
        <a:xfrm xmlns:a="http://schemas.openxmlformats.org/drawingml/2006/main">
          <a:off x="2718641" y="3465821"/>
          <a:ext cx="1346640" cy="33939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Switzerland</a:t>
          </a:r>
        </a:p>
      </cdr:txBody>
    </cdr:sp>
  </cdr:relSizeAnchor>
  <cdr:relSizeAnchor xmlns:cdr="http://schemas.openxmlformats.org/drawingml/2006/chartDrawing">
    <cdr:from>
      <cdr:x>0.67374</cdr:x>
      <cdr:y>0.32779</cdr:y>
    </cdr:from>
    <cdr:to>
      <cdr:x>0.89708</cdr:x>
      <cdr:y>0.40646</cdr:y>
    </cdr:to>
    <cdr:sp macro="" textlink="">
      <cdr:nvSpPr>
        <cdr:cNvPr id="7" name="Rectangle 6"/>
        <cdr:cNvSpPr/>
      </cdr:nvSpPr>
      <cdr:spPr>
        <a:xfrm xmlns:a="http://schemas.openxmlformats.org/drawingml/2006/main">
          <a:off x="6203461" y="1841009"/>
          <a:ext cx="2056424" cy="44187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Bermuda (and other </a:t>
          </a:r>
        </a:p>
        <a:p xmlns:a="http://schemas.openxmlformats.org/drawingml/2006/main">
          <a:r>
            <a:rPr lang="fr-FR" sz="1600" u="none" baseline="0">
              <a:ln>
                <a:noFill/>
              </a:ln>
              <a:solidFill>
                <a:schemeClr val="tx1"/>
              </a:solidFill>
              <a:effectLst/>
              <a:latin typeface="Arial"/>
            </a:rPr>
            <a:t>Caribbean)</a:t>
          </a:r>
        </a:p>
      </cdr:txBody>
    </cdr:sp>
  </cdr:relSizeAnchor>
  <cdr:relSizeAnchor xmlns:cdr="http://schemas.openxmlformats.org/drawingml/2006/chartDrawing">
    <cdr:from>
      <cdr:x>0.457</cdr:x>
      <cdr:y>0.32173</cdr:y>
    </cdr:from>
    <cdr:to>
      <cdr:x>0.52095</cdr:x>
      <cdr:y>0.47485</cdr:y>
    </cdr:to>
    <cdr:cxnSp macro="">
      <cdr:nvCxnSpPr>
        <cdr:cNvPr id="10" name="Connecteur droit avec flèche 9"/>
        <cdr:cNvCxnSpPr/>
      </cdr:nvCxnSpPr>
      <cdr:spPr>
        <a:xfrm xmlns:a="http://schemas.openxmlformats.org/drawingml/2006/main">
          <a:off x="4207844" y="1806971"/>
          <a:ext cx="588849" cy="860029"/>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0.00345</cdr:x>
      <cdr:y>0.93217</cdr:y>
    </cdr:from>
    <cdr:to>
      <cdr:x>1</cdr:x>
      <cdr:y>1</cdr:y>
    </cdr:to>
    <cdr:sp macro="" textlink="">
      <cdr:nvSpPr>
        <cdr:cNvPr id="9" name="Rectangle 8"/>
        <cdr:cNvSpPr/>
      </cdr:nvSpPr>
      <cdr:spPr>
        <a:xfrm xmlns:a="http://schemas.openxmlformats.org/drawingml/2006/main">
          <a:off x="31750" y="5232643"/>
          <a:ext cx="9175749" cy="380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1000" b="0" i="0" baseline="0">
              <a:solidFill>
                <a:srgbClr val="000000"/>
              </a:solidFill>
              <a:effectLst/>
              <a:latin typeface="Arial"/>
              <a:ea typeface="+mn-ea"/>
              <a:cs typeface="Arial"/>
            </a:rPr>
            <a:t>Notes: This figure charts the share of income on U.S. direct investment abroad made in the main tax havens. In 2013, total income on U.S.DI abroad was about $500bn. 17% came from the Netherlands, 8% from Luxembourg, etc. Source: author's computations using balance of payments data, see Online Appendix.</a:t>
          </a:r>
          <a:endParaRPr lang="fr-FR" sz="1000">
            <a:solidFill>
              <a:srgbClr val="000000"/>
            </a:solidFill>
            <a:effectLst/>
            <a:latin typeface="Arial"/>
            <a:cs typeface="Arial"/>
          </a:endParaRP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0.45734</cdr:x>
      <cdr:y>0.17807</cdr:y>
    </cdr:from>
    <cdr:to>
      <cdr:x>0.74784</cdr:x>
      <cdr:y>0.23165</cdr:y>
    </cdr:to>
    <cdr:sp macro="" textlink="">
      <cdr:nvSpPr>
        <cdr:cNvPr id="2" name="Rectangle 1"/>
        <cdr:cNvSpPr/>
      </cdr:nvSpPr>
      <cdr:spPr>
        <a:xfrm xmlns:a="http://schemas.openxmlformats.org/drawingml/2006/main">
          <a:off x="4210999" y="999600"/>
          <a:ext cx="2674779" cy="30076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Nominal U.S. federal rate</a:t>
          </a:r>
        </a:p>
      </cdr:txBody>
    </cdr:sp>
  </cdr:relSizeAnchor>
  <cdr:relSizeAnchor xmlns:cdr="http://schemas.openxmlformats.org/drawingml/2006/chartDrawing">
    <cdr:from>
      <cdr:x>0.4399</cdr:x>
      <cdr:y>0.58301</cdr:y>
    </cdr:from>
    <cdr:to>
      <cdr:x>0.82716</cdr:x>
      <cdr:y>0.64354</cdr:y>
    </cdr:to>
    <cdr:sp macro="" textlink="">
      <cdr:nvSpPr>
        <cdr:cNvPr id="3" name="Rectangle 2"/>
        <cdr:cNvSpPr/>
      </cdr:nvSpPr>
      <cdr:spPr>
        <a:xfrm xmlns:a="http://schemas.openxmlformats.org/drawingml/2006/main">
          <a:off x="4050363" y="3272650"/>
          <a:ext cx="3565697" cy="339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Effective rate paid to US government</a:t>
          </a:r>
        </a:p>
      </cdr:txBody>
    </cdr:sp>
  </cdr:relSizeAnchor>
  <cdr:relSizeAnchor xmlns:cdr="http://schemas.openxmlformats.org/drawingml/2006/chartDrawing">
    <cdr:from>
      <cdr:x>0.77241</cdr:x>
      <cdr:y>0.43138</cdr:y>
    </cdr:from>
    <cdr:to>
      <cdr:x>1</cdr:x>
      <cdr:y>0.55488</cdr:y>
    </cdr:to>
    <cdr:sp macro="" textlink="">
      <cdr:nvSpPr>
        <cdr:cNvPr id="4" name="Rectangle 3"/>
        <cdr:cNvSpPr/>
      </cdr:nvSpPr>
      <cdr:spPr>
        <a:xfrm xmlns:a="http://schemas.openxmlformats.org/drawingml/2006/main">
          <a:off x="7111965" y="2421527"/>
          <a:ext cx="2095535" cy="69325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Effective rate paid to US and foreign gov.</a:t>
          </a:r>
        </a:p>
      </cdr:txBody>
    </cdr:sp>
  </cdr:relSizeAnchor>
  <cdr:relSizeAnchor xmlns:cdr="http://schemas.openxmlformats.org/drawingml/2006/chartDrawing">
    <cdr:from>
      <cdr:x>0.01379</cdr:x>
      <cdr:y>0.9095</cdr:y>
    </cdr:from>
    <cdr:to>
      <cdr:x>0.99724</cdr:x>
      <cdr:y>0.994</cdr:y>
    </cdr:to>
    <cdr:sp macro="" textlink="">
      <cdr:nvSpPr>
        <cdr:cNvPr id="5" name="Rectangle 4"/>
        <cdr:cNvSpPr/>
      </cdr:nvSpPr>
      <cdr:spPr>
        <a:xfrm xmlns:a="http://schemas.openxmlformats.org/drawingml/2006/main">
          <a:off x="126971" y="5105400"/>
          <a:ext cx="9055129" cy="47432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fr-FR" sz="1000" smtClean="0">
              <a:solidFill>
                <a:schemeClr val="tx1"/>
              </a:solidFill>
              <a:latin typeface="Arial"/>
              <a:ea typeface="+mn-ea"/>
              <a:cs typeface="Arial"/>
            </a:rPr>
            <a:t>Notes: </a:t>
          </a:r>
          <a:r>
            <a:rPr kumimoji="0" lang="fr-FR" sz="950" b="0" i="0" u="none" strike="noStrike" kern="0" cap="none" spc="0" normalizeH="0" baseline="0" noProof="0">
              <a:ln>
                <a:noFill/>
              </a:ln>
              <a:solidFill>
                <a:prstClr val="black"/>
              </a:solidFill>
              <a:effectLst/>
              <a:uLnTx/>
              <a:uFillTx/>
              <a:latin typeface="Arial"/>
              <a:ea typeface="+mn-ea"/>
              <a:cs typeface="Arial"/>
            </a:rPr>
            <a:t>The figure reports decennial averages (e.g., 1970-79 is the average of 1970, 1971, ..., 1979).</a:t>
          </a:r>
          <a:r>
            <a:rPr lang="fr-FR" sz="1000" smtClean="0">
              <a:solidFill>
                <a:schemeClr val="tx1"/>
              </a:solidFill>
              <a:latin typeface="Arial"/>
              <a:ea typeface="+mn-ea"/>
              <a:cs typeface="Arial"/>
            </a:rPr>
            <a:t> In 2013, over $100 of corporate profits earned by US residents, on average $16 is paid in corporate taxes to the U.S. government (federal and States) and $4 to foreign governments. Source: author's computations using NIPA data, see Online Appendix.</a:t>
          </a:r>
        </a:p>
      </cdr:txBody>
    </cdr:sp>
  </cdr:relSizeAnchor>
</c:userShapes>
</file>

<file path=xl/drawings/drawing15.xml><?xml version="1.0" encoding="utf-8"?>
<xdr:wsDr xmlns:xdr="http://schemas.openxmlformats.org/drawingml/2006/spreadsheetDrawing" xmlns:a="http://schemas.openxmlformats.org/drawingml/2006/main">
  <xdr:twoCellAnchor>
    <xdr:from>
      <xdr:col>8</xdr:col>
      <xdr:colOff>268655</xdr:colOff>
      <xdr:row>157</xdr:row>
      <xdr:rowOff>5862</xdr:rowOff>
    </xdr:from>
    <xdr:to>
      <xdr:col>12</xdr:col>
      <xdr:colOff>752230</xdr:colOff>
      <xdr:row>171</xdr:row>
      <xdr:rowOff>1</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258887</xdr:colOff>
      <xdr:row>174</xdr:row>
      <xdr:rowOff>5862</xdr:rowOff>
    </xdr:from>
    <xdr:to>
      <xdr:col>64</xdr:col>
      <xdr:colOff>711201</xdr:colOff>
      <xdr:row>188</xdr:row>
      <xdr:rowOff>177800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317499</xdr:colOff>
      <xdr:row>159</xdr:row>
      <xdr:rowOff>93784</xdr:rowOff>
    </xdr:from>
    <xdr:to>
      <xdr:col>64</xdr:col>
      <xdr:colOff>558800</xdr:colOff>
      <xdr:row>173</xdr:row>
      <xdr:rowOff>126999</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55</xdr:col>
      <xdr:colOff>278424</xdr:colOff>
      <xdr:row>159</xdr:row>
      <xdr:rowOff>9770</xdr:rowOff>
    </xdr:from>
    <xdr:to>
      <xdr:col>60</xdr:col>
      <xdr:colOff>63501</xdr:colOff>
      <xdr:row>173</xdr:row>
      <xdr:rowOff>23449</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591037</xdr:colOff>
      <xdr:row>157</xdr:row>
      <xdr:rowOff>107461</xdr:rowOff>
    </xdr:from>
    <xdr:to>
      <xdr:col>7</xdr:col>
      <xdr:colOff>87923</xdr:colOff>
      <xdr:row>172</xdr:row>
      <xdr:rowOff>48846</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288192</xdr:colOff>
      <xdr:row>158</xdr:row>
      <xdr:rowOff>175850</xdr:rowOff>
    </xdr:from>
    <xdr:to>
      <xdr:col>36</xdr:col>
      <xdr:colOff>117230</xdr:colOff>
      <xdr:row>173</xdr:row>
      <xdr:rowOff>48846</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400539</xdr:colOff>
      <xdr:row>186</xdr:row>
      <xdr:rowOff>68385</xdr:rowOff>
    </xdr:from>
    <xdr:to>
      <xdr:col>12</xdr:col>
      <xdr:colOff>908538</xdr:colOff>
      <xdr:row>202</xdr:row>
      <xdr:rowOff>68385</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302846</xdr:colOff>
      <xdr:row>157</xdr:row>
      <xdr:rowOff>9768</xdr:rowOff>
    </xdr:from>
    <xdr:to>
      <xdr:col>18</xdr:col>
      <xdr:colOff>654539</xdr:colOff>
      <xdr:row>171</xdr:row>
      <xdr:rowOff>85969</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880699</xdr:colOff>
      <xdr:row>175</xdr:row>
      <xdr:rowOff>107463</xdr:rowOff>
    </xdr:from>
    <xdr:to>
      <xdr:col>52</xdr:col>
      <xdr:colOff>355600</xdr:colOff>
      <xdr:row>191</xdr:row>
      <xdr:rowOff>152400</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9769</xdr:colOff>
      <xdr:row>159</xdr:row>
      <xdr:rowOff>1</xdr:rowOff>
    </xdr:from>
    <xdr:to>
      <xdr:col>42</xdr:col>
      <xdr:colOff>203201</xdr:colOff>
      <xdr:row>173</xdr:row>
      <xdr:rowOff>25400</xdr:rowOff>
    </xdr:to>
    <xdr:graphicFrame macro="">
      <xdr:nvGraphicFramePr>
        <xdr:cNvPr id="11" name="Graphique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38</xdr:col>
      <xdr:colOff>29308</xdr:colOff>
      <xdr:row>175</xdr:row>
      <xdr:rowOff>9770</xdr:rowOff>
    </xdr:from>
    <xdr:to>
      <xdr:col>42</xdr:col>
      <xdr:colOff>355600</xdr:colOff>
      <xdr:row>191</xdr:row>
      <xdr:rowOff>177800</xdr:rowOff>
    </xdr:to>
    <xdr:graphicFrame macro="">
      <xdr:nvGraphicFramePr>
        <xdr:cNvPr id="12" name="Graphique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47</xdr:col>
      <xdr:colOff>859692</xdr:colOff>
      <xdr:row>159</xdr:row>
      <xdr:rowOff>29794</xdr:rowOff>
    </xdr:from>
    <xdr:to>
      <xdr:col>52</xdr:col>
      <xdr:colOff>203200</xdr:colOff>
      <xdr:row>174</xdr:row>
      <xdr:rowOff>177800</xdr:rowOff>
    </xdr:to>
    <xdr:graphicFrame macro="">
      <xdr:nvGraphicFramePr>
        <xdr:cNvPr id="13" name="Graphique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591036</xdr:colOff>
      <xdr:row>172</xdr:row>
      <xdr:rowOff>171940</xdr:rowOff>
    </xdr:from>
    <xdr:to>
      <xdr:col>7</xdr:col>
      <xdr:colOff>117230</xdr:colOff>
      <xdr:row>186</xdr:row>
      <xdr:rowOff>146538</xdr:rowOff>
    </xdr:to>
    <xdr:graphicFrame macro="">
      <xdr:nvGraphicFramePr>
        <xdr:cNvPr id="14" name="Graphique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76</xdr:col>
      <xdr:colOff>395652</xdr:colOff>
      <xdr:row>159</xdr:row>
      <xdr:rowOff>146539</xdr:rowOff>
    </xdr:from>
    <xdr:to>
      <xdr:col>81</xdr:col>
      <xdr:colOff>234461</xdr:colOff>
      <xdr:row>174</xdr:row>
      <xdr:rowOff>9770</xdr:rowOff>
    </xdr:to>
    <xdr:graphicFrame macro="">
      <xdr:nvGraphicFramePr>
        <xdr:cNvPr id="15" name="Graphique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102</xdr:col>
      <xdr:colOff>161194</xdr:colOff>
      <xdr:row>156</xdr:row>
      <xdr:rowOff>175851</xdr:rowOff>
    </xdr:from>
    <xdr:to>
      <xdr:col>106</xdr:col>
      <xdr:colOff>903654</xdr:colOff>
      <xdr:row>170</xdr:row>
      <xdr:rowOff>183666</xdr:rowOff>
    </xdr:to>
    <xdr:graphicFrame macro="">
      <xdr:nvGraphicFramePr>
        <xdr:cNvPr id="16" name="Graphique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145</xdr:col>
      <xdr:colOff>752231</xdr:colOff>
      <xdr:row>156</xdr:row>
      <xdr:rowOff>127001</xdr:rowOff>
    </xdr:from>
    <xdr:to>
      <xdr:col>150</xdr:col>
      <xdr:colOff>591041</xdr:colOff>
      <xdr:row>170</xdr:row>
      <xdr:rowOff>185616</xdr:rowOff>
    </xdr:to>
    <xdr:graphicFrame macro="">
      <xdr:nvGraphicFramePr>
        <xdr:cNvPr id="17" name="Graphique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156</xdr:col>
      <xdr:colOff>698501</xdr:colOff>
      <xdr:row>156</xdr:row>
      <xdr:rowOff>74245</xdr:rowOff>
    </xdr:from>
    <xdr:to>
      <xdr:col>161</xdr:col>
      <xdr:colOff>297962</xdr:colOff>
      <xdr:row>170</xdr:row>
      <xdr:rowOff>82061</xdr:rowOff>
    </xdr:to>
    <xdr:graphicFrame macro="">
      <xdr:nvGraphicFramePr>
        <xdr:cNvPr id="18" name="Graphique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162</xdr:col>
      <xdr:colOff>473806</xdr:colOff>
      <xdr:row>156</xdr:row>
      <xdr:rowOff>54706</xdr:rowOff>
    </xdr:from>
    <xdr:to>
      <xdr:col>167</xdr:col>
      <xdr:colOff>258883</xdr:colOff>
      <xdr:row>170</xdr:row>
      <xdr:rowOff>62520</xdr:rowOff>
    </xdr:to>
    <xdr:graphicFrame macro="">
      <xdr:nvGraphicFramePr>
        <xdr:cNvPr id="19" name="Graphique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307729</xdr:colOff>
      <xdr:row>172</xdr:row>
      <xdr:rowOff>35170</xdr:rowOff>
    </xdr:from>
    <xdr:to>
      <xdr:col>12</xdr:col>
      <xdr:colOff>908537</xdr:colOff>
      <xdr:row>185</xdr:row>
      <xdr:rowOff>117231</xdr:rowOff>
    </xdr:to>
    <xdr:graphicFrame macro="">
      <xdr:nvGraphicFramePr>
        <xdr:cNvPr id="20"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42</xdr:col>
      <xdr:colOff>717550</xdr:colOff>
      <xdr:row>159</xdr:row>
      <xdr:rowOff>120650</xdr:rowOff>
    </xdr:from>
    <xdr:to>
      <xdr:col>47</xdr:col>
      <xdr:colOff>514350</xdr:colOff>
      <xdr:row>173</xdr:row>
      <xdr:rowOff>196850</xdr:rowOff>
    </xdr:to>
    <xdr:graphicFrame macro="">
      <xdr:nvGraphicFramePr>
        <xdr:cNvPr id="21"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42</xdr:col>
      <xdr:colOff>751840</xdr:colOff>
      <xdr:row>175</xdr:row>
      <xdr:rowOff>162560</xdr:rowOff>
    </xdr:from>
    <xdr:to>
      <xdr:col>47</xdr:col>
      <xdr:colOff>548640</xdr:colOff>
      <xdr:row>190</xdr:row>
      <xdr:rowOff>33020</xdr:rowOff>
    </xdr:to>
    <xdr:graphicFrame macro="">
      <xdr:nvGraphicFramePr>
        <xdr:cNvPr id="22"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hyperlink" Target="http://www.familybusinessdefensecouncil.com/userfiles/accf_intl_rate_survey.pdf" TargetMode="External"/><Relationship Id="rId2" Type="http://schemas.openxmlformats.org/officeDocument/2006/relationships/hyperlink" Target="https://personal.vanguard.com/us/funds/tools/benchmarkreturn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
  <sheetViews>
    <sheetView workbookViewId="0">
      <pane xSplit="1" topLeftCell="B1" activePane="topRight" state="frozen"/>
      <selection pane="topRight" activeCell="A2" sqref="A2"/>
    </sheetView>
  </sheetViews>
  <sheetFormatPr baseColWidth="10" defaultRowHeight="15" x14ac:dyDescent="0"/>
  <cols>
    <col min="1" max="1" width="10.83203125" style="4"/>
    <col min="2" max="16" width="13" style="4" customWidth="1"/>
    <col min="17" max="16384" width="10.83203125" style="4"/>
  </cols>
  <sheetData>
    <row r="1" spans="1:16" ht="16" thickBot="1"/>
    <row r="2" spans="1:16" s="3" customFormat="1" ht="110" customHeight="1">
      <c r="A2" s="5"/>
      <c r="B2" s="8" t="s">
        <v>7</v>
      </c>
      <c r="C2" s="9" t="s">
        <v>3</v>
      </c>
      <c r="D2" s="9" t="s">
        <v>4</v>
      </c>
      <c r="E2" s="9" t="s">
        <v>5</v>
      </c>
      <c r="F2" s="10" t="s">
        <v>10</v>
      </c>
      <c r="G2" s="8" t="s">
        <v>2</v>
      </c>
      <c r="H2" s="8" t="s">
        <v>6</v>
      </c>
      <c r="I2" s="8" t="s">
        <v>0</v>
      </c>
      <c r="J2" s="8" t="s">
        <v>11</v>
      </c>
      <c r="K2" s="8" t="s">
        <v>1</v>
      </c>
      <c r="L2" s="11" t="s">
        <v>9</v>
      </c>
      <c r="M2" s="8" t="s">
        <v>8</v>
      </c>
      <c r="N2" s="8" t="s">
        <v>12</v>
      </c>
      <c r="O2" s="8" t="s">
        <v>13</v>
      </c>
      <c r="P2" s="11" t="s">
        <v>14</v>
      </c>
    </row>
    <row r="3" spans="1:16">
      <c r="A3" s="6">
        <v>1910</v>
      </c>
      <c r="B3" s="12">
        <v>0.98433483423924883</v>
      </c>
      <c r="C3" s="13"/>
      <c r="D3" s="13"/>
      <c r="E3" s="13"/>
      <c r="F3" s="14">
        <v>0.5</v>
      </c>
      <c r="G3" s="12">
        <v>0</v>
      </c>
      <c r="H3" s="15">
        <f t="shared" ref="H3:H12" si="0">G3+F3*B3</f>
        <v>0.49216741711962442</v>
      </c>
      <c r="I3" s="16">
        <v>1</v>
      </c>
      <c r="J3" s="12">
        <f t="shared" ref="J3:J12" si="1">I3*H3</f>
        <v>0.49216741711962442</v>
      </c>
      <c r="K3" s="17">
        <f t="shared" ref="K3:K14" si="2">J3/(P3+J3)</f>
        <v>4.0371223882754497E-3</v>
      </c>
      <c r="L3" s="18">
        <f t="shared" ref="L3:L9" si="3">K3</f>
        <v>4.0371223882754497E-3</v>
      </c>
      <c r="M3" s="19">
        <f t="shared" ref="M3:M9" si="4">M4*N3/N4</f>
        <v>68.74334703891067</v>
      </c>
      <c r="N3" s="15">
        <v>37.320339370000035</v>
      </c>
      <c r="O3" s="20">
        <v>1.7662550676504123</v>
      </c>
      <c r="P3" s="21">
        <f t="shared" ref="P3:P14" si="5">M3*O3</f>
        <v>121.41828507472694</v>
      </c>
    </row>
    <row r="4" spans="1:16">
      <c r="A4" s="6">
        <v>1920</v>
      </c>
      <c r="B4" s="12">
        <v>2.6424384886616026</v>
      </c>
      <c r="C4" s="13"/>
      <c r="D4" s="13"/>
      <c r="E4" s="13"/>
      <c r="F4" s="14">
        <v>0.5</v>
      </c>
      <c r="G4" s="12">
        <v>0</v>
      </c>
      <c r="H4" s="12">
        <f t="shared" si="0"/>
        <v>1.3212192443308013</v>
      </c>
      <c r="I4" s="16">
        <v>0.95</v>
      </c>
      <c r="J4" s="12">
        <f t="shared" si="1"/>
        <v>1.2551582821142611</v>
      </c>
      <c r="K4" s="17">
        <f t="shared" si="2"/>
        <v>1.3715282395642847E-2</v>
      </c>
      <c r="L4" s="18">
        <f t="shared" si="3"/>
        <v>1.3715282395642847E-2</v>
      </c>
      <c r="M4" s="19">
        <f t="shared" si="4"/>
        <v>79.308659181442124</v>
      </c>
      <c r="N4" s="12">
        <v>43.056182207068623</v>
      </c>
      <c r="O4" s="20">
        <v>1.1380869362113792</v>
      </c>
      <c r="P4" s="22">
        <f t="shared" si="5"/>
        <v>90.260148942839933</v>
      </c>
    </row>
    <row r="5" spans="1:16">
      <c r="A5" s="6">
        <v>1930</v>
      </c>
      <c r="B5" s="12">
        <v>5.4221973583644862</v>
      </c>
      <c r="C5" s="13"/>
      <c r="D5" s="13"/>
      <c r="E5" s="13"/>
      <c r="F5" s="14">
        <v>0.6</v>
      </c>
      <c r="G5" s="12">
        <v>0</v>
      </c>
      <c r="H5" s="12">
        <f t="shared" si="0"/>
        <v>3.2533184150186916</v>
      </c>
      <c r="I5" s="16">
        <v>0.95</v>
      </c>
      <c r="J5" s="12">
        <f t="shared" si="1"/>
        <v>3.0906524942677569</v>
      </c>
      <c r="K5" s="17">
        <f t="shared" si="2"/>
        <v>2.1873087346263743E-2</v>
      </c>
      <c r="L5" s="18">
        <f t="shared" si="3"/>
        <v>2.1873087346263743E-2</v>
      </c>
      <c r="M5" s="19">
        <f t="shared" si="4"/>
        <v>109.70096305600222</v>
      </c>
      <c r="N5" s="12">
        <v>59.555976640888261</v>
      </c>
      <c r="O5" s="20">
        <v>1.259867456158442</v>
      </c>
      <c r="P5" s="22">
        <f t="shared" si="5"/>
        <v>138.20867326349673</v>
      </c>
    </row>
    <row r="6" spans="1:16">
      <c r="A6" s="6">
        <v>1940</v>
      </c>
      <c r="B6" s="12">
        <v>5.3914570508642354</v>
      </c>
      <c r="C6" s="13"/>
      <c r="D6" s="13"/>
      <c r="E6" s="13"/>
      <c r="F6" s="14">
        <v>0.6</v>
      </c>
      <c r="G6" s="12">
        <v>0</v>
      </c>
      <c r="H6" s="12">
        <f t="shared" si="0"/>
        <v>3.2348742305185412</v>
      </c>
      <c r="I6" s="16">
        <v>0.95</v>
      </c>
      <c r="J6" s="12">
        <f t="shared" si="1"/>
        <v>3.0731305189926141</v>
      </c>
      <c r="K6" s="17">
        <f t="shared" si="2"/>
        <v>1.6456326348392603E-2</v>
      </c>
      <c r="L6" s="18">
        <f t="shared" si="3"/>
        <v>1.6456326348392603E-2</v>
      </c>
      <c r="M6" s="19">
        <f t="shared" si="4"/>
        <v>168.09423637428685</v>
      </c>
      <c r="N6" s="12">
        <v>91.257324786331779</v>
      </c>
      <c r="O6" s="20">
        <v>1.0926698025694435</v>
      </c>
      <c r="P6" s="22">
        <f t="shared" si="5"/>
        <v>183.67149607215339</v>
      </c>
    </row>
    <row r="7" spans="1:16">
      <c r="A7" s="6">
        <v>1950</v>
      </c>
      <c r="B7" s="12">
        <v>10.153800684717867</v>
      </c>
      <c r="C7" s="13"/>
      <c r="D7" s="13"/>
      <c r="E7" s="13"/>
      <c r="F7" s="14">
        <f t="shared" ref="F7:F10" si="6">F$14</f>
        <v>0.39527154127910602</v>
      </c>
      <c r="G7" s="12">
        <v>6.71394949304783E-2</v>
      </c>
      <c r="H7" s="12">
        <f t="shared" si="0"/>
        <v>4.080647941419751</v>
      </c>
      <c r="I7" s="16">
        <v>0.95</v>
      </c>
      <c r="J7" s="12">
        <f t="shared" si="1"/>
        <v>3.8766155443487631</v>
      </c>
      <c r="K7" s="17">
        <f t="shared" si="2"/>
        <v>1.9907962528576569E-2</v>
      </c>
      <c r="L7" s="18">
        <f t="shared" si="3"/>
        <v>1.9907962528576569E-2</v>
      </c>
      <c r="M7" s="19">
        <f t="shared" si="4"/>
        <v>248.79231567330996</v>
      </c>
      <c r="N7" s="12">
        <v>135.06781461078012</v>
      </c>
      <c r="O7" s="20">
        <v>0.76710677203035749</v>
      </c>
      <c r="P7" s="22">
        <f t="shared" si="5"/>
        <v>190.85027018211051</v>
      </c>
    </row>
    <row r="8" spans="1:16">
      <c r="A8" s="6">
        <v>1960</v>
      </c>
      <c r="B8" s="12">
        <v>35.747344173170021</v>
      </c>
      <c r="C8" s="13"/>
      <c r="D8" s="13"/>
      <c r="E8" s="13"/>
      <c r="F8" s="14">
        <f t="shared" si="6"/>
        <v>0.39527154127910602</v>
      </c>
      <c r="G8" s="19">
        <v>2.0409204258133182</v>
      </c>
      <c r="H8" s="12">
        <f t="shared" si="0"/>
        <v>16.1708282537769</v>
      </c>
      <c r="I8" s="16">
        <v>0.9</v>
      </c>
      <c r="J8" s="19">
        <f t="shared" si="1"/>
        <v>14.55374542839921</v>
      </c>
      <c r="K8" s="17">
        <f t="shared" si="2"/>
        <v>3.1770214254707885E-2</v>
      </c>
      <c r="L8" s="18">
        <f t="shared" si="3"/>
        <v>3.1770214254707885E-2</v>
      </c>
      <c r="M8" s="19">
        <f t="shared" si="4"/>
        <v>512.33675923702413</v>
      </c>
      <c r="N8" s="12">
        <v>278.1444685204076</v>
      </c>
      <c r="O8" s="20">
        <v>0.86572020236855751</v>
      </c>
      <c r="P8" s="22">
        <f t="shared" si="5"/>
        <v>443.54028288752744</v>
      </c>
    </row>
    <row r="9" spans="1:16">
      <c r="A9" s="6">
        <v>1970</v>
      </c>
      <c r="B9" s="19">
        <v>172.92128204894613</v>
      </c>
      <c r="C9" s="13"/>
      <c r="D9" s="13"/>
      <c r="E9" s="13"/>
      <c r="F9" s="14">
        <f t="shared" si="6"/>
        <v>0.39527154127910602</v>
      </c>
      <c r="G9" s="19">
        <v>25.359544374037757</v>
      </c>
      <c r="H9" s="19">
        <f t="shared" si="0"/>
        <v>93.710406049483694</v>
      </c>
      <c r="I9" s="16">
        <v>0.75</v>
      </c>
      <c r="J9" s="19">
        <f t="shared" si="1"/>
        <v>70.282804537112767</v>
      </c>
      <c r="K9" s="17">
        <f t="shared" si="2"/>
        <v>4.5471192531421685E-2</v>
      </c>
      <c r="L9" s="18">
        <f t="shared" si="3"/>
        <v>4.5471192531421685E-2</v>
      </c>
      <c r="M9" s="19">
        <f t="shared" si="4"/>
        <v>1608.7279501164817</v>
      </c>
      <c r="N9" s="19">
        <v>873.36848783880487</v>
      </c>
      <c r="O9" s="20">
        <v>0.91710523268775113</v>
      </c>
      <c r="P9" s="23">
        <f t="shared" si="5"/>
        <v>1475.3728210228649</v>
      </c>
    </row>
    <row r="10" spans="1:16">
      <c r="A10" s="6">
        <v>1980</v>
      </c>
      <c r="B10" s="19">
        <v>575.09997268536404</v>
      </c>
      <c r="C10" s="13"/>
      <c r="D10" s="13"/>
      <c r="E10" s="13"/>
      <c r="F10" s="14">
        <f t="shared" si="6"/>
        <v>0.39527154127910602</v>
      </c>
      <c r="G10" s="19">
        <v>134.26863273101907</v>
      </c>
      <c r="H10" s="19">
        <f t="shared" si="0"/>
        <v>361.58928532393469</v>
      </c>
      <c r="I10" s="16">
        <v>0.6</v>
      </c>
      <c r="J10" s="19">
        <f t="shared" si="1"/>
        <v>216.95357119436082</v>
      </c>
      <c r="K10" s="17">
        <f t="shared" si="2"/>
        <v>5.5363673821882231E-2</v>
      </c>
      <c r="L10" s="24">
        <f>L9+(L$14-L$9)/5</f>
        <v>5.6119978991145986E-2</v>
      </c>
      <c r="M10" s="19">
        <v>3500.2016121822771</v>
      </c>
      <c r="N10" s="19">
        <v>1900.237879836202</v>
      </c>
      <c r="O10" s="20">
        <v>1.0575806201946178</v>
      </c>
      <c r="P10" s="23">
        <f t="shared" si="5"/>
        <v>3701.745391817934</v>
      </c>
    </row>
    <row r="11" spans="1:16">
      <c r="A11" s="6">
        <v>1990</v>
      </c>
      <c r="B11" s="19">
        <v>1488.6753062617606</v>
      </c>
      <c r="C11" s="13"/>
      <c r="D11" s="13"/>
      <c r="E11" s="13"/>
      <c r="F11" s="14">
        <v>0.44</v>
      </c>
      <c r="G11" s="19">
        <v>288.50349295511677</v>
      </c>
      <c r="H11" s="19">
        <f t="shared" si="0"/>
        <v>943.52062771029136</v>
      </c>
      <c r="I11" s="16">
        <v>0.6</v>
      </c>
      <c r="J11" s="19">
        <f t="shared" si="1"/>
        <v>566.11237662617475</v>
      </c>
      <c r="K11" s="17">
        <f t="shared" si="2"/>
        <v>5.4864763141778003E-2</v>
      </c>
      <c r="L11" s="24">
        <f>L10+(L$14-L$9)/5</f>
        <v>6.6768765450870293E-2</v>
      </c>
      <c r="M11" s="19">
        <v>7242.2765574748137</v>
      </c>
      <c r="N11" s="19">
        <v>4074.2314414472407</v>
      </c>
      <c r="O11" s="20">
        <v>1.346567074371571</v>
      </c>
      <c r="P11" s="23">
        <f t="shared" si="5"/>
        <v>9752.2111557886728</v>
      </c>
    </row>
    <row r="12" spans="1:16">
      <c r="A12" s="6">
        <v>2000</v>
      </c>
      <c r="B12" s="19">
        <v>3258.9020079898182</v>
      </c>
      <c r="C12" s="25">
        <v>1305.7729871631432</v>
      </c>
      <c r="D12" s="25">
        <v>124.31399499999999</v>
      </c>
      <c r="E12" s="26">
        <v>0</v>
      </c>
      <c r="F12" s="27">
        <f>(C12+D12+E12)/B12</f>
        <v>0.43882478781412049</v>
      </c>
      <c r="G12" s="19">
        <v>407.11989402065825</v>
      </c>
      <c r="H12" s="19">
        <f t="shared" si="0"/>
        <v>1837.2068761838013</v>
      </c>
      <c r="I12" s="16">
        <v>0.6</v>
      </c>
      <c r="J12" s="19">
        <f t="shared" si="1"/>
        <v>1102.3241257102807</v>
      </c>
      <c r="K12" s="17">
        <f t="shared" si="2"/>
        <v>5.8807266189131353E-2</v>
      </c>
      <c r="L12" s="24">
        <f>L11+(L$14-L$9)/5</f>
        <v>7.7417551910594601E-2</v>
      </c>
      <c r="M12" s="19">
        <v>11305.141368123035</v>
      </c>
      <c r="N12" s="19">
        <v>6006.356080706928</v>
      </c>
      <c r="O12" s="20">
        <v>1.5605615066393419</v>
      </c>
      <c r="P12" s="23">
        <f t="shared" si="5"/>
        <v>17642.368446208835</v>
      </c>
    </row>
    <row r="13" spans="1:16">
      <c r="A13" s="6">
        <v>2010</v>
      </c>
      <c r="B13" s="19">
        <v>4768.6796876676235</v>
      </c>
      <c r="C13" s="25">
        <v>1765.1029352767603</v>
      </c>
      <c r="D13" s="28">
        <v>77</v>
      </c>
      <c r="E13" s="28">
        <v>100</v>
      </c>
      <c r="F13" s="27">
        <f>(C13+D13+E13)/B13</f>
        <v>0.40726219047575601</v>
      </c>
      <c r="G13" s="19">
        <v>269.08861761459229</v>
      </c>
      <c r="H13" s="19">
        <f>G13+F13*B13</f>
        <v>2211.1915528913528</v>
      </c>
      <c r="I13" s="16">
        <v>0.6</v>
      </c>
      <c r="J13" s="19">
        <f>I13*H13</f>
        <v>1326.7149317348117</v>
      </c>
      <c r="K13" s="17">
        <f t="shared" si="2"/>
        <v>5.6981403051921412E-2</v>
      </c>
      <c r="L13" s="24">
        <f>L12+(L$14-L$9)/5</f>
        <v>8.8066338370318908E-2</v>
      </c>
      <c r="M13" s="19">
        <v>14364.581409752698</v>
      </c>
      <c r="N13" s="19">
        <v>7123.7847835333741</v>
      </c>
      <c r="O13" s="20">
        <v>1.5285222353163317</v>
      </c>
      <c r="P13" s="23">
        <f t="shared" si="5"/>
        <v>21956.582085818616</v>
      </c>
    </row>
    <row r="14" spans="1:16" ht="16" thickBot="1">
      <c r="A14" s="7">
        <v>2013</v>
      </c>
      <c r="B14" s="29">
        <v>5245.6449128709892</v>
      </c>
      <c r="C14" s="30">
        <v>1896.454149713418</v>
      </c>
      <c r="D14" s="31">
        <v>77</v>
      </c>
      <c r="E14" s="31">
        <v>100</v>
      </c>
      <c r="F14" s="32">
        <f>(C14+D14+E14)/B14</f>
        <v>0.39527154127910602</v>
      </c>
      <c r="G14" s="29">
        <v>213.06184486373166</v>
      </c>
      <c r="H14" s="33">
        <f>G14+E14+D14+C14</f>
        <v>2286.5159945771497</v>
      </c>
      <c r="I14" s="34">
        <v>0.6</v>
      </c>
      <c r="J14" s="29">
        <f>I14*H14</f>
        <v>1371.9095967462897</v>
      </c>
      <c r="K14" s="35">
        <f t="shared" si="2"/>
        <v>6.0299855645400885E-2</v>
      </c>
      <c r="L14" s="36">
        <f>'Tab1'!C5</f>
        <v>9.8715124830043202E-2</v>
      </c>
      <c r="M14" s="29">
        <v>14311.368240000002</v>
      </c>
      <c r="N14" s="37"/>
      <c r="O14" s="38">
        <v>1.4938856607885034</v>
      </c>
      <c r="P14" s="39">
        <f t="shared" si="5"/>
        <v>21379.547800000004</v>
      </c>
    </row>
    <row r="15" spans="1:16">
      <c r="A15" s="187" t="s">
        <v>148</v>
      </c>
      <c r="B15" s="44">
        <f>B14/1.3</f>
        <v>4035.1114714392224</v>
      </c>
      <c r="C15" s="44">
        <f t="shared" ref="C15:P15" si="7">C14/1.3</f>
        <v>1458.8108843949369</v>
      </c>
      <c r="D15" s="44">
        <f t="shared" si="7"/>
        <v>59.230769230769226</v>
      </c>
      <c r="E15" s="44">
        <f t="shared" si="7"/>
        <v>76.92307692307692</v>
      </c>
      <c r="F15" s="44"/>
      <c r="G15" s="44">
        <f t="shared" si="7"/>
        <v>163.89372681825512</v>
      </c>
      <c r="H15" s="44">
        <f t="shared" si="7"/>
        <v>1758.8584573670382</v>
      </c>
      <c r="I15" s="44"/>
      <c r="J15" s="44">
        <f t="shared" si="7"/>
        <v>1055.3150744202228</v>
      </c>
      <c r="K15" s="44"/>
      <c r="L15" s="71"/>
      <c r="M15" s="44">
        <f t="shared" si="7"/>
        <v>11008.7448</v>
      </c>
      <c r="N15" s="44"/>
      <c r="O15" s="44"/>
      <c r="P15" s="44">
        <f t="shared" si="7"/>
        <v>16445.806000000004</v>
      </c>
    </row>
    <row r="16" spans="1:16" ht="16" thickBot="1"/>
    <row r="17" spans="1:16" ht="15" customHeight="1">
      <c r="A17" s="188" t="s">
        <v>57</v>
      </c>
      <c r="B17" s="189"/>
      <c r="C17" s="189"/>
      <c r="D17" s="189"/>
      <c r="E17" s="189"/>
      <c r="F17" s="189"/>
      <c r="G17" s="189"/>
      <c r="H17" s="189"/>
      <c r="I17" s="189"/>
      <c r="J17" s="189"/>
      <c r="K17" s="189"/>
      <c r="L17" s="189"/>
      <c r="M17" s="189"/>
      <c r="N17" s="189"/>
      <c r="O17" s="189"/>
      <c r="P17" s="190"/>
    </row>
    <row r="18" spans="1:16">
      <c r="A18" s="191"/>
      <c r="B18" s="192"/>
      <c r="C18" s="192"/>
      <c r="D18" s="192"/>
      <c r="E18" s="192"/>
      <c r="F18" s="192"/>
      <c r="G18" s="192"/>
      <c r="H18" s="192"/>
      <c r="I18" s="192"/>
      <c r="J18" s="192"/>
      <c r="K18" s="192"/>
      <c r="L18" s="192"/>
      <c r="M18" s="192"/>
      <c r="N18" s="192"/>
      <c r="O18" s="192"/>
      <c r="P18" s="193"/>
    </row>
    <row r="19" spans="1:16">
      <c r="A19" s="191"/>
      <c r="B19" s="192"/>
      <c r="C19" s="192"/>
      <c r="D19" s="192"/>
      <c r="E19" s="192"/>
      <c r="F19" s="192"/>
      <c r="G19" s="192"/>
      <c r="H19" s="192"/>
      <c r="I19" s="192"/>
      <c r="J19" s="192"/>
      <c r="K19" s="192"/>
      <c r="L19" s="192"/>
      <c r="M19" s="192"/>
      <c r="N19" s="192"/>
      <c r="O19" s="192"/>
      <c r="P19" s="193"/>
    </row>
    <row r="20" spans="1:16">
      <c r="A20" s="191"/>
      <c r="B20" s="192"/>
      <c r="C20" s="192"/>
      <c r="D20" s="192"/>
      <c r="E20" s="192"/>
      <c r="F20" s="192"/>
      <c r="G20" s="192"/>
      <c r="H20" s="192"/>
      <c r="I20" s="192"/>
      <c r="J20" s="192"/>
      <c r="K20" s="192"/>
      <c r="L20" s="192"/>
      <c r="M20" s="192"/>
      <c r="N20" s="192"/>
      <c r="O20" s="192"/>
      <c r="P20" s="193"/>
    </row>
    <row r="21" spans="1:16">
      <c r="A21" s="191"/>
      <c r="B21" s="192"/>
      <c r="C21" s="192"/>
      <c r="D21" s="192"/>
      <c r="E21" s="192"/>
      <c r="F21" s="192"/>
      <c r="G21" s="192"/>
      <c r="H21" s="192"/>
      <c r="I21" s="192"/>
      <c r="J21" s="192"/>
      <c r="K21" s="192"/>
      <c r="L21" s="192"/>
      <c r="M21" s="192"/>
      <c r="N21" s="192"/>
      <c r="O21" s="192"/>
      <c r="P21" s="193"/>
    </row>
    <row r="22" spans="1:16">
      <c r="A22" s="191"/>
      <c r="B22" s="192"/>
      <c r="C22" s="192"/>
      <c r="D22" s="192"/>
      <c r="E22" s="192"/>
      <c r="F22" s="192"/>
      <c r="G22" s="192"/>
      <c r="H22" s="192"/>
      <c r="I22" s="192"/>
      <c r="J22" s="192"/>
      <c r="K22" s="192"/>
      <c r="L22" s="192"/>
      <c r="M22" s="192"/>
      <c r="N22" s="192"/>
      <c r="O22" s="192"/>
      <c r="P22" s="193"/>
    </row>
    <row r="23" spans="1:16" ht="16" thickBot="1">
      <c r="A23" s="194"/>
      <c r="B23" s="195"/>
      <c r="C23" s="195"/>
      <c r="D23" s="195"/>
      <c r="E23" s="195"/>
      <c r="F23" s="195"/>
      <c r="G23" s="195"/>
      <c r="H23" s="195"/>
      <c r="I23" s="195"/>
      <c r="J23" s="195"/>
      <c r="K23" s="195"/>
      <c r="L23" s="195"/>
      <c r="M23" s="195"/>
      <c r="N23" s="195"/>
      <c r="O23" s="195"/>
      <c r="P23" s="196"/>
    </row>
    <row r="25" spans="1:16">
      <c r="B25" s="40"/>
      <c r="L25" s="45"/>
    </row>
    <row r="26" spans="1:16">
      <c r="K26" s="40"/>
    </row>
    <row r="27" spans="1:16">
      <c r="K27" s="40"/>
    </row>
    <row r="28" spans="1:16">
      <c r="K28" s="40"/>
    </row>
  </sheetData>
  <mergeCells count="1">
    <mergeCell ref="A17:P23"/>
  </mergeCell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7"/>
  <sheetViews>
    <sheetView workbookViewId="0">
      <selection activeCell="C6" sqref="C6:G9"/>
    </sheetView>
  </sheetViews>
  <sheetFormatPr baseColWidth="10" defaultRowHeight="12" x14ac:dyDescent="0"/>
  <cols>
    <col min="1" max="1" width="18.83203125" style="43" customWidth="1"/>
    <col min="2" max="2" width="5.5" style="43" customWidth="1"/>
    <col min="3" max="3" width="28.6640625" style="43" customWidth="1"/>
    <col min="4" max="4" width="13.83203125" style="43" customWidth="1"/>
    <col min="5" max="5" width="22.6640625" style="43" customWidth="1"/>
    <col min="6" max="6" width="13.83203125" style="43" customWidth="1"/>
    <col min="7" max="7" width="28.6640625" style="43" customWidth="1"/>
    <col min="8" max="8" width="5.6640625" style="43" customWidth="1"/>
    <col min="9" max="10" width="20.6640625" style="43" customWidth="1"/>
    <col min="11" max="16384" width="10.83203125" style="43"/>
  </cols>
  <sheetData>
    <row r="1" spans="2:10" ht="13" thickBot="1">
      <c r="B1" s="65"/>
      <c r="C1" s="73"/>
      <c r="D1" s="73"/>
      <c r="E1" s="73"/>
      <c r="F1" s="73"/>
      <c r="G1" s="73"/>
      <c r="H1" s="65"/>
    </row>
    <row r="2" spans="2:10" ht="13" thickTop="1">
      <c r="B2" s="65"/>
      <c r="C2" s="202" t="s">
        <v>49</v>
      </c>
      <c r="D2" s="202"/>
      <c r="E2" s="202"/>
      <c r="F2" s="202"/>
      <c r="G2" s="202"/>
      <c r="H2" s="65"/>
    </row>
    <row r="3" spans="2:10">
      <c r="B3" s="65"/>
      <c r="C3" s="203"/>
      <c r="D3" s="203"/>
      <c r="E3" s="203"/>
      <c r="F3" s="203"/>
      <c r="G3" s="203"/>
      <c r="H3" s="65"/>
    </row>
    <row r="4" spans="2:10">
      <c r="B4" s="65"/>
      <c r="C4" s="203"/>
      <c r="D4" s="203"/>
      <c r="E4" s="203"/>
      <c r="F4" s="203"/>
      <c r="G4" s="203"/>
      <c r="H4" s="65"/>
    </row>
    <row r="5" spans="2:10">
      <c r="B5" s="65"/>
      <c r="C5" s="204"/>
      <c r="D5" s="204"/>
      <c r="E5" s="204"/>
      <c r="F5" s="204"/>
      <c r="G5" s="204"/>
      <c r="H5" s="65"/>
    </row>
    <row r="6" spans="2:10" ht="18" customHeight="1">
      <c r="B6" s="65"/>
      <c r="C6" s="209" t="s">
        <v>90</v>
      </c>
      <c r="D6" s="209"/>
      <c r="E6" s="209"/>
      <c r="F6" s="209"/>
      <c r="G6" s="209"/>
      <c r="H6" s="65"/>
    </row>
    <row r="7" spans="2:10" ht="18" customHeight="1">
      <c r="B7" s="65"/>
      <c r="C7" s="210"/>
      <c r="D7" s="210"/>
      <c r="E7" s="210"/>
      <c r="F7" s="210"/>
      <c r="G7" s="210"/>
      <c r="H7" s="65"/>
    </row>
    <row r="8" spans="2:10" ht="18" customHeight="1">
      <c r="B8" s="65"/>
      <c r="C8" s="210"/>
      <c r="D8" s="210"/>
      <c r="E8" s="210"/>
      <c r="F8" s="210"/>
      <c r="G8" s="210"/>
      <c r="H8" s="65"/>
    </row>
    <row r="9" spans="2:10" ht="18" customHeight="1">
      <c r="B9" s="65"/>
      <c r="C9" s="211"/>
      <c r="D9" s="211"/>
      <c r="E9" s="211"/>
      <c r="F9" s="211"/>
      <c r="G9" s="211"/>
      <c r="H9" s="65"/>
    </row>
    <row r="10" spans="2:10" ht="18">
      <c r="B10" s="65"/>
      <c r="C10" s="115"/>
      <c r="D10" s="115"/>
      <c r="E10" s="115"/>
      <c r="F10" s="115"/>
      <c r="G10" s="115"/>
      <c r="H10" s="65"/>
    </row>
    <row r="11" spans="2:10" ht="36">
      <c r="B11" s="65"/>
      <c r="C11" s="124" t="s">
        <v>37</v>
      </c>
      <c r="D11" s="125"/>
      <c r="E11" s="125"/>
      <c r="F11" s="125"/>
      <c r="G11" s="124" t="s">
        <v>50</v>
      </c>
      <c r="H11" s="65"/>
    </row>
    <row r="12" spans="2:10" ht="18" customHeight="1">
      <c r="B12" s="65"/>
      <c r="C12" s="126"/>
      <c r="D12" s="126"/>
      <c r="E12" s="126"/>
      <c r="F12" s="126"/>
      <c r="G12" s="126"/>
      <c r="H12" s="65"/>
    </row>
    <row r="13" spans="2:10" ht="16" customHeight="1">
      <c r="B13" s="65"/>
      <c r="C13" s="197" t="s">
        <v>82</v>
      </c>
      <c r="D13" s="126"/>
      <c r="E13" s="126"/>
      <c r="F13" s="126"/>
      <c r="G13" s="197" t="s">
        <v>91</v>
      </c>
      <c r="H13" s="65"/>
    </row>
    <row r="14" spans="2:10" ht="16" customHeight="1">
      <c r="B14" s="65"/>
      <c r="C14" s="199"/>
      <c r="D14" s="126"/>
      <c r="E14" s="126"/>
      <c r="F14" s="126"/>
      <c r="G14" s="199"/>
      <c r="H14" s="65"/>
      <c r="J14" s="131">
        <f>600/1800*2300</f>
        <v>766.66666666666663</v>
      </c>
    </row>
    <row r="15" spans="2:10" ht="16" customHeight="1">
      <c r="B15" s="65"/>
      <c r="C15" s="199"/>
      <c r="D15" s="126"/>
      <c r="E15" s="126"/>
      <c r="F15" s="126"/>
      <c r="G15" s="199"/>
      <c r="H15" s="65"/>
      <c r="J15" s="131"/>
    </row>
    <row r="16" spans="2:10" ht="16" customHeight="1" thickBot="1">
      <c r="B16" s="65"/>
      <c r="C16" s="199"/>
      <c r="D16" s="126"/>
      <c r="E16" s="126"/>
      <c r="F16" s="126"/>
      <c r="G16" s="199"/>
      <c r="H16" s="65"/>
      <c r="J16" s="131"/>
    </row>
    <row r="17" spans="2:10" ht="16" customHeight="1">
      <c r="B17" s="65"/>
      <c r="C17" s="199"/>
      <c r="D17" s="126"/>
      <c r="E17" s="205" t="s">
        <v>89</v>
      </c>
      <c r="F17" s="126"/>
      <c r="G17" s="199"/>
      <c r="H17" s="65"/>
      <c r="J17" s="131"/>
    </row>
    <row r="18" spans="2:10" ht="16" customHeight="1">
      <c r="B18" s="65"/>
      <c r="C18" s="199"/>
      <c r="D18" s="126"/>
      <c r="E18" s="206"/>
      <c r="F18" s="126"/>
      <c r="G18" s="199"/>
      <c r="H18" s="65"/>
      <c r="J18" s="131"/>
    </row>
    <row r="19" spans="2:10" ht="16" customHeight="1">
      <c r="B19" s="65"/>
      <c r="C19" s="199"/>
      <c r="D19" s="126"/>
      <c r="E19" s="206"/>
      <c r="F19" s="126"/>
      <c r="G19" s="199"/>
      <c r="H19" s="65"/>
      <c r="J19" s="131"/>
    </row>
    <row r="20" spans="2:10" ht="16" customHeight="1">
      <c r="B20" s="65"/>
      <c r="C20" s="199"/>
      <c r="D20" s="126"/>
      <c r="E20" s="206"/>
      <c r="F20" s="126"/>
      <c r="G20" s="199"/>
      <c r="H20" s="65"/>
      <c r="J20" s="131"/>
    </row>
    <row r="21" spans="2:10" ht="16" customHeight="1">
      <c r="B21" s="65"/>
      <c r="C21" s="199"/>
      <c r="D21" s="126"/>
      <c r="E21" s="206"/>
      <c r="F21" s="126"/>
      <c r="G21" s="199"/>
      <c r="H21" s="65"/>
      <c r="J21" s="131"/>
    </row>
    <row r="22" spans="2:10" ht="16" customHeight="1">
      <c r="B22" s="65"/>
      <c r="C22" s="199"/>
      <c r="D22" s="126"/>
      <c r="E22" s="206"/>
      <c r="F22" s="126"/>
      <c r="G22" s="200"/>
      <c r="H22" s="65"/>
      <c r="J22" s="131"/>
    </row>
    <row r="23" spans="2:10" ht="16" customHeight="1">
      <c r="B23" s="65"/>
      <c r="C23" s="199"/>
      <c r="D23" s="126"/>
      <c r="E23" s="206"/>
      <c r="F23" s="126"/>
      <c r="G23" s="127"/>
      <c r="H23" s="65"/>
      <c r="J23" s="131"/>
    </row>
    <row r="24" spans="2:10" ht="16" customHeight="1">
      <c r="B24" s="65"/>
      <c r="C24" s="199"/>
      <c r="D24" s="126"/>
      <c r="E24" s="206"/>
      <c r="F24" s="126"/>
      <c r="G24" s="197" t="s">
        <v>92</v>
      </c>
      <c r="H24" s="65"/>
      <c r="J24" s="131">
        <f>150/1800*2300</f>
        <v>191.66666666666666</v>
      </c>
    </row>
    <row r="25" spans="2:10" ht="16" customHeight="1">
      <c r="B25" s="65"/>
      <c r="C25" s="199"/>
      <c r="D25" s="126"/>
      <c r="E25" s="206"/>
      <c r="F25" s="126"/>
      <c r="G25" s="200"/>
      <c r="H25" s="65"/>
      <c r="J25" s="131"/>
    </row>
    <row r="26" spans="2:10" ht="16" customHeight="1">
      <c r="B26" s="65"/>
      <c r="C26" s="199"/>
      <c r="D26" s="126"/>
      <c r="E26" s="206"/>
      <c r="F26" s="126"/>
      <c r="G26" s="127"/>
      <c r="H26" s="65"/>
      <c r="J26" s="131"/>
    </row>
    <row r="27" spans="2:10" ht="16" customHeight="1">
      <c r="B27" s="65"/>
      <c r="C27" s="200"/>
      <c r="D27" s="126"/>
      <c r="E27" s="206"/>
      <c r="F27" s="126"/>
      <c r="G27" s="197" t="s">
        <v>93</v>
      </c>
      <c r="H27" s="65"/>
      <c r="J27" s="131"/>
    </row>
    <row r="28" spans="2:10" ht="16" customHeight="1">
      <c r="B28" s="65"/>
      <c r="C28" s="128"/>
      <c r="D28" s="126"/>
      <c r="E28" s="206"/>
      <c r="F28" s="126"/>
      <c r="G28" s="199"/>
      <c r="H28" s="65"/>
      <c r="J28" s="131">
        <f>400/1800*2300</f>
        <v>511.11111111111109</v>
      </c>
    </row>
    <row r="29" spans="2:10" ht="16" customHeight="1">
      <c r="B29" s="65"/>
      <c r="C29" s="208" t="s">
        <v>83</v>
      </c>
      <c r="D29" s="126"/>
      <c r="E29" s="206"/>
      <c r="F29" s="126"/>
      <c r="G29" s="199"/>
      <c r="H29" s="65"/>
      <c r="J29" s="131"/>
    </row>
    <row r="30" spans="2:10" ht="16" customHeight="1">
      <c r="B30" s="65"/>
      <c r="C30" s="198"/>
      <c r="D30" s="126"/>
      <c r="E30" s="206"/>
      <c r="F30" s="126"/>
      <c r="G30" s="199"/>
      <c r="H30" s="65"/>
      <c r="J30" s="131"/>
    </row>
    <row r="31" spans="2:10" ht="16" customHeight="1">
      <c r="B31" s="65"/>
      <c r="C31" s="128"/>
      <c r="D31" s="126"/>
      <c r="E31" s="206"/>
      <c r="F31" s="126"/>
      <c r="G31" s="199"/>
      <c r="H31" s="65"/>
      <c r="J31" s="131"/>
    </row>
    <row r="32" spans="2:10" ht="16" customHeight="1">
      <c r="B32" s="65"/>
      <c r="C32" s="197" t="s">
        <v>84</v>
      </c>
      <c r="D32" s="126"/>
      <c r="E32" s="206"/>
      <c r="F32" s="126"/>
      <c r="G32" s="200"/>
      <c r="H32" s="65"/>
      <c r="J32" s="131"/>
    </row>
    <row r="33" spans="2:10" ht="16" customHeight="1">
      <c r="B33" s="65"/>
      <c r="C33" s="198"/>
      <c r="D33" s="126"/>
      <c r="E33" s="206"/>
      <c r="F33" s="126"/>
      <c r="G33" s="127"/>
      <c r="H33" s="65"/>
      <c r="J33" s="131"/>
    </row>
    <row r="34" spans="2:10" ht="16" customHeight="1">
      <c r="B34" s="65"/>
      <c r="C34" s="128"/>
      <c r="D34" s="126"/>
      <c r="E34" s="206"/>
      <c r="F34" s="126"/>
      <c r="G34" s="197" t="s">
        <v>94</v>
      </c>
      <c r="H34" s="65"/>
      <c r="J34" s="131"/>
    </row>
    <row r="35" spans="2:10" ht="16" customHeight="1">
      <c r="B35" s="65"/>
      <c r="C35" s="197" t="s">
        <v>85</v>
      </c>
      <c r="D35" s="126"/>
      <c r="E35" s="206"/>
      <c r="F35" s="126"/>
      <c r="G35" s="199"/>
      <c r="H35" s="65"/>
      <c r="J35" s="131">
        <f>450/1800*2300</f>
        <v>575</v>
      </c>
    </row>
    <row r="36" spans="2:10" ht="16" customHeight="1">
      <c r="B36" s="65"/>
      <c r="C36" s="198"/>
      <c r="D36" s="126"/>
      <c r="E36" s="206"/>
      <c r="F36" s="126"/>
      <c r="G36" s="199"/>
      <c r="H36" s="65"/>
      <c r="J36" s="131"/>
    </row>
    <row r="37" spans="2:10" ht="16" customHeight="1">
      <c r="B37" s="65"/>
      <c r="C37" s="128"/>
      <c r="D37" s="126"/>
      <c r="E37" s="206"/>
      <c r="F37" s="126"/>
      <c r="G37" s="199"/>
      <c r="H37" s="65"/>
      <c r="J37" s="131"/>
    </row>
    <row r="38" spans="2:10" ht="28" customHeight="1" thickBot="1">
      <c r="B38" s="65"/>
      <c r="C38" s="129" t="s">
        <v>86</v>
      </c>
      <c r="D38" s="126"/>
      <c r="E38" s="207"/>
      <c r="F38" s="126"/>
      <c r="G38" s="199"/>
      <c r="H38" s="65"/>
      <c r="J38" s="131"/>
    </row>
    <row r="39" spans="2:10" ht="16" customHeight="1">
      <c r="B39" s="65"/>
      <c r="C39" s="128"/>
      <c r="D39" s="126"/>
      <c r="E39" s="126"/>
      <c r="F39" s="126"/>
      <c r="G39" s="130"/>
      <c r="H39" s="65"/>
      <c r="J39" s="131"/>
    </row>
    <row r="40" spans="2:10" ht="34" customHeight="1">
      <c r="B40" s="65"/>
      <c r="C40" s="129" t="s">
        <v>87</v>
      </c>
      <c r="D40" s="126"/>
      <c r="E40" s="126"/>
      <c r="F40" s="126"/>
      <c r="G40" s="197" t="s">
        <v>95</v>
      </c>
      <c r="H40" s="65"/>
      <c r="J40" s="131">
        <f>200/1800*2300</f>
        <v>255.55555555555554</v>
      </c>
    </row>
    <row r="41" spans="2:10" ht="16" customHeight="1">
      <c r="B41" s="65"/>
      <c r="C41" s="128"/>
      <c r="D41" s="126"/>
      <c r="E41" s="126"/>
      <c r="F41" s="126"/>
      <c r="G41" s="199"/>
      <c r="H41" s="65"/>
    </row>
    <row r="42" spans="2:10" ht="16" customHeight="1">
      <c r="B42" s="65"/>
      <c r="C42" s="129" t="s">
        <v>88</v>
      </c>
      <c r="D42" s="126"/>
      <c r="E42" s="126"/>
      <c r="F42" s="126"/>
      <c r="G42" s="200"/>
      <c r="H42" s="65"/>
    </row>
    <row r="43" spans="2:10" ht="16" customHeight="1" thickBot="1">
      <c r="B43" s="65"/>
      <c r="C43" s="128"/>
      <c r="D43" s="126"/>
      <c r="E43" s="126"/>
      <c r="F43" s="126"/>
      <c r="G43" s="127"/>
      <c r="H43" s="65"/>
    </row>
    <row r="44" spans="2:10" s="70" customFormat="1" ht="17" customHeight="1" thickTop="1">
      <c r="B44" s="74"/>
      <c r="C44" s="201"/>
      <c r="D44" s="201"/>
      <c r="E44" s="201"/>
      <c r="F44" s="201"/>
      <c r="G44" s="201"/>
      <c r="H44" s="74"/>
    </row>
    <row r="47" spans="2:10">
      <c r="C47" s="43">
        <f>70+80+40+150+220+230+230+1300</f>
        <v>2320</v>
      </c>
      <c r="G47" s="43">
        <f>250+600+500+200+750</f>
        <v>2300</v>
      </c>
    </row>
  </sheetData>
  <mergeCells count="13">
    <mergeCell ref="C35:C36"/>
    <mergeCell ref="G40:G42"/>
    <mergeCell ref="C44:G44"/>
    <mergeCell ref="C2:G5"/>
    <mergeCell ref="C13:C27"/>
    <mergeCell ref="G13:G22"/>
    <mergeCell ref="E17:E38"/>
    <mergeCell ref="G24:G25"/>
    <mergeCell ref="G27:G32"/>
    <mergeCell ref="C29:C30"/>
    <mergeCell ref="C32:C33"/>
    <mergeCell ref="G34:G38"/>
    <mergeCell ref="C6:G9"/>
  </mergeCells>
  <printOptions horizontalCentered="1" verticalCentered="1"/>
  <pageMargins left="0.78740157480314965" right="0.78740157480314965" top="0.98425196850393704" bottom="0.98425196850393704" header="0.51181102362204722" footer="0.51181102362204722"/>
  <pageSetup paperSize="9" orientation="portrait"/>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38"/>
  <sheetViews>
    <sheetView workbookViewId="0">
      <pane xSplit="1" ySplit="3" topLeftCell="B4" activePane="bottomRight" state="frozen"/>
      <selection pane="topRight" activeCell="B1" sqref="B1"/>
      <selection pane="bottomLeft" activeCell="A3" sqref="A3"/>
      <selection pane="bottomRight" activeCell="N29" sqref="N29"/>
    </sheetView>
  </sheetViews>
  <sheetFormatPr baseColWidth="10" defaultRowHeight="15" x14ac:dyDescent="0"/>
  <cols>
    <col min="1" max="1" width="29.5" style="76" customWidth="1"/>
    <col min="2" max="6" width="10.83203125" style="76" customWidth="1"/>
    <col min="7" max="7" width="18.33203125" style="76" customWidth="1"/>
    <col min="8" max="16384" width="10.83203125" style="76"/>
  </cols>
  <sheetData>
    <row r="2" spans="1:20" ht="16" thickBot="1">
      <c r="H2" s="120" t="s">
        <v>74</v>
      </c>
    </row>
    <row r="3" spans="1:20" s="77" customFormat="1" ht="45">
      <c r="A3" s="89"/>
      <c r="B3" s="116" t="s">
        <v>46</v>
      </c>
      <c r="C3" s="116" t="s">
        <v>47</v>
      </c>
      <c r="D3" s="117" t="s">
        <v>48</v>
      </c>
      <c r="E3" s="177"/>
      <c r="F3" s="177"/>
      <c r="H3" s="121" t="s">
        <v>75</v>
      </c>
      <c r="I3" s="77">
        <v>2013</v>
      </c>
      <c r="J3" s="77">
        <v>2012</v>
      </c>
      <c r="K3" s="77">
        <v>2011</v>
      </c>
      <c r="L3" s="77">
        <v>2010</v>
      </c>
      <c r="M3" s="77">
        <v>2009</v>
      </c>
      <c r="N3" s="77">
        <v>2008</v>
      </c>
    </row>
    <row r="4" spans="1:20">
      <c r="A4" s="83" t="s">
        <v>16</v>
      </c>
      <c r="B4" s="90">
        <f>ROUND(C4*B$24,-2)</f>
        <v>1300</v>
      </c>
      <c r="C4" s="91">
        <v>0.56000000000000005</v>
      </c>
      <c r="D4" s="92">
        <f>SUM(D5:D16)</f>
        <v>38.443665454545453</v>
      </c>
      <c r="E4" s="178"/>
      <c r="F4" s="178"/>
      <c r="H4" s="78">
        <f>AVERAGE(I4:N4)</f>
        <v>17427.220833333329</v>
      </c>
      <c r="I4" s="78">
        <v>8980.067500000001</v>
      </c>
      <c r="J4" s="78">
        <v>8933.8829999999962</v>
      </c>
      <c r="K4" s="78">
        <v>14220.773999999998</v>
      </c>
      <c r="L4" s="78">
        <v>15565.084750000004</v>
      </c>
      <c r="M4" s="78">
        <v>19608.090749999996</v>
      </c>
      <c r="N4" s="78">
        <v>37255.424999999988</v>
      </c>
      <c r="O4" s="78"/>
      <c r="P4" s="78"/>
      <c r="Q4" s="78"/>
      <c r="R4" s="78"/>
      <c r="S4" s="78"/>
      <c r="T4" s="78"/>
    </row>
    <row r="5" spans="1:20">
      <c r="A5" s="93" t="s">
        <v>62</v>
      </c>
      <c r="B5" s="94">
        <f t="shared" ref="B5:B16" si="0">ROUND(B$4*H5/H$4,-1)</f>
        <v>260</v>
      </c>
      <c r="C5" s="95">
        <f t="shared" ref="C5:C16" si="1">B5/B$24</f>
        <v>0.11304347826086956</v>
      </c>
      <c r="D5" s="92">
        <f>'Data-Fig4_Tab1'!B6*(1-'Data-Fig4_Tab1'!H6)*('Data-Fig4_Tab1'!O$3*'Data-Fig4_Tab1'!J6+'Data-Fig4_Tab1'!P$3*'Data-Fig4_Tab1'!K6+'Data-Fig4_Tab1'!L6)</f>
        <v>6.2649600000000003</v>
      </c>
      <c r="E5" s="178"/>
      <c r="F5" s="178"/>
      <c r="H5" s="78">
        <f t="shared" ref="H5:H16" si="2">AVERAGE(I5:N5)</f>
        <v>3421.8634999999999</v>
      </c>
      <c r="I5" s="78">
        <v>1514.2049999999999</v>
      </c>
      <c r="J5" s="78">
        <v>1733.569</v>
      </c>
      <c r="K5" s="78">
        <v>2663.0279999999998</v>
      </c>
      <c r="L5" s="78">
        <v>2624.386</v>
      </c>
      <c r="M5" s="78">
        <v>4133.2389999999996</v>
      </c>
      <c r="N5" s="78">
        <v>7862.7539999999999</v>
      </c>
      <c r="O5" s="78"/>
      <c r="P5" s="78"/>
      <c r="Q5" s="78"/>
      <c r="R5" s="78"/>
      <c r="S5" s="78"/>
      <c r="T5" s="78"/>
    </row>
    <row r="6" spans="1:20">
      <c r="A6" s="93" t="s">
        <v>63</v>
      </c>
      <c r="B6" s="94">
        <f t="shared" si="0"/>
        <v>240</v>
      </c>
      <c r="C6" s="95">
        <f t="shared" si="1"/>
        <v>0.10434782608695652</v>
      </c>
      <c r="D6" s="92">
        <f>'Data-Fig4_Tab1'!B7*(1-'Data-Fig4_Tab1'!H7)*('Data-Fig4_Tab1'!O$3*'Data-Fig4_Tab1'!J7+'Data-Fig4_Tab1'!P$3*'Data-Fig4_Tab1'!K7+'Data-Fig4_Tab1'!L7)</f>
        <v>12.230400000000001</v>
      </c>
      <c r="E6" s="178"/>
      <c r="F6" s="178"/>
      <c r="H6" s="78">
        <f t="shared" si="2"/>
        <v>3188.6756666666665</v>
      </c>
      <c r="I6" s="78">
        <v>1641.261</v>
      </c>
      <c r="J6" s="78">
        <v>1659.261</v>
      </c>
      <c r="K6" s="78">
        <v>2573.71</v>
      </c>
      <c r="L6" s="78">
        <v>2868.6219999999998</v>
      </c>
      <c r="M6" s="78">
        <v>3794.5050000000001</v>
      </c>
      <c r="N6" s="78">
        <v>6594.6949999999997</v>
      </c>
      <c r="O6" s="78"/>
      <c r="P6" s="78"/>
      <c r="Q6" s="78"/>
      <c r="R6" s="78"/>
      <c r="S6" s="78"/>
      <c r="T6" s="78"/>
    </row>
    <row r="7" spans="1:20">
      <c r="A7" s="96" t="s">
        <v>64</v>
      </c>
      <c r="B7" s="94">
        <f t="shared" si="0"/>
        <v>140</v>
      </c>
      <c r="C7" s="97">
        <f t="shared" si="1"/>
        <v>6.0869565217391307E-2</v>
      </c>
      <c r="D7" s="92">
        <f>'Data-Fig4_Tab1'!B8*(1-'Data-Fig4_Tab1'!H8)*('Data-Fig4_Tab1'!O$3*'Data-Fig4_Tab1'!J8+'Data-Fig4_Tab1'!P$3*'Data-Fig4_Tab1'!K8+'Data-Fig4_Tab1'!L8)</f>
        <v>1.9264000000000001</v>
      </c>
      <c r="E7" s="178"/>
      <c r="F7" s="178"/>
      <c r="H7" s="78">
        <f t="shared" si="2"/>
        <v>1920.62</v>
      </c>
      <c r="I7" s="79">
        <v>452.88200000000001</v>
      </c>
      <c r="J7" s="79">
        <v>575.78300000000002</v>
      </c>
      <c r="K7" s="79">
        <v>1148.6780000000001</v>
      </c>
      <c r="L7" s="79">
        <v>1275.5029999999999</v>
      </c>
      <c r="M7" s="79">
        <v>2004.6479999999999</v>
      </c>
      <c r="N7" s="79">
        <v>6066.2259999999997</v>
      </c>
      <c r="O7" s="79"/>
      <c r="P7" s="79"/>
      <c r="Q7" s="79"/>
      <c r="R7" s="79"/>
      <c r="S7" s="79"/>
      <c r="T7" s="79"/>
    </row>
    <row r="8" spans="1:20">
      <c r="A8" s="93" t="s">
        <v>65</v>
      </c>
      <c r="B8" s="94">
        <f t="shared" si="0"/>
        <v>140</v>
      </c>
      <c r="C8" s="95">
        <f t="shared" si="1"/>
        <v>6.0869565217391307E-2</v>
      </c>
      <c r="D8" s="92">
        <f>'Data-Fig4_Tab1'!B9*(1-'Data-Fig4_Tab1'!H9)*('Data-Fig4_Tab1'!O$3*'Data-Fig4_Tab1'!J9+'Data-Fig4_Tab1'!P$3*'Data-Fig4_Tab1'!K9+'Data-Fig4_Tab1'!L9)</f>
        <v>4.0857599999999996</v>
      </c>
      <c r="E8" s="178"/>
      <c r="F8" s="178"/>
      <c r="H8" s="78">
        <f t="shared" si="2"/>
        <v>1886.9970000000001</v>
      </c>
      <c r="I8" s="79">
        <v>962.3365</v>
      </c>
      <c r="J8" s="79">
        <v>1010.675</v>
      </c>
      <c r="K8" s="79">
        <v>1527.7439999999999</v>
      </c>
      <c r="L8" s="79">
        <v>1884.59275</v>
      </c>
      <c r="M8" s="79">
        <v>2272.2327500000001</v>
      </c>
      <c r="N8" s="79">
        <v>3664.4009999999998</v>
      </c>
      <c r="O8" s="79"/>
      <c r="P8" s="79"/>
      <c r="Q8" s="79"/>
      <c r="R8" s="79"/>
      <c r="S8" s="79"/>
      <c r="T8" s="79"/>
    </row>
    <row r="9" spans="1:20">
      <c r="A9" s="93" t="s">
        <v>66</v>
      </c>
      <c r="B9" s="94">
        <f t="shared" si="0"/>
        <v>110</v>
      </c>
      <c r="C9" s="95">
        <f t="shared" si="1"/>
        <v>4.7826086956521741E-2</v>
      </c>
      <c r="D9" s="92">
        <f>'Data-Fig4_Tab1'!B10*(1-'Data-Fig4_Tab1'!H10)*('Data-Fig4_Tab1'!O$3*'Data-Fig4_Tab1'!J10+'Data-Fig4_Tab1'!P$3*'Data-Fig4_Tab1'!K10+'Data-Fig4_Tab1'!L10)</f>
        <v>4.9984000000000002</v>
      </c>
      <c r="E9" s="178"/>
      <c r="F9" s="178"/>
      <c r="H9" s="78">
        <f t="shared" si="2"/>
        <v>1437.3898333333334</v>
      </c>
      <c r="I9" s="78">
        <v>666.73199999999997</v>
      </c>
      <c r="J9" s="78">
        <v>758.64200000000005</v>
      </c>
      <c r="K9" s="78">
        <v>1227.5429999999999</v>
      </c>
      <c r="L9" s="78">
        <v>1202.0540000000001</v>
      </c>
      <c r="M9" s="78">
        <v>1604.115</v>
      </c>
      <c r="N9" s="78">
        <v>3165.2530000000002</v>
      </c>
      <c r="O9" s="78"/>
      <c r="P9" s="78"/>
      <c r="Q9" s="78"/>
      <c r="R9" s="78"/>
      <c r="S9" s="78"/>
      <c r="T9" s="78"/>
    </row>
    <row r="10" spans="1:20">
      <c r="A10" s="93" t="s">
        <v>67</v>
      </c>
      <c r="B10" s="94">
        <f t="shared" si="0"/>
        <v>80</v>
      </c>
      <c r="C10" s="95">
        <f t="shared" si="1"/>
        <v>3.4782608695652174E-2</v>
      </c>
      <c r="D10" s="92">
        <f>'Data-Fig4_Tab1'!B11*(1-'Data-Fig4_Tab1'!H11)*('Data-Fig4_Tab1'!O$3*'Data-Fig4_Tab1'!J11+'Data-Fig4_Tab1'!P$3*'Data-Fig4_Tab1'!K11+'Data-Fig4_Tab1'!L11)</f>
        <v>0.89600000000000002</v>
      </c>
      <c r="E10" s="178"/>
      <c r="F10" s="178"/>
      <c r="H10" s="78">
        <f t="shared" si="2"/>
        <v>1046.0656666666666</v>
      </c>
      <c r="I10" s="78">
        <v>658.20500000000004</v>
      </c>
      <c r="J10" s="78">
        <v>859.09699999999998</v>
      </c>
      <c r="K10" s="78">
        <v>1158.3810000000001</v>
      </c>
      <c r="L10" s="78">
        <v>1308.538</v>
      </c>
      <c r="M10" s="78">
        <v>934.84400000000005</v>
      </c>
      <c r="N10" s="78">
        <v>1357.329</v>
      </c>
      <c r="O10" s="78"/>
      <c r="P10" s="78"/>
      <c r="Q10" s="78"/>
      <c r="R10" s="78"/>
      <c r="S10" s="78"/>
      <c r="T10" s="78"/>
    </row>
    <row r="11" spans="1:20">
      <c r="A11" s="93" t="s">
        <v>68</v>
      </c>
      <c r="B11" s="94">
        <f t="shared" si="0"/>
        <v>70</v>
      </c>
      <c r="C11" s="95">
        <f t="shared" si="1"/>
        <v>3.0434782608695653E-2</v>
      </c>
      <c r="D11" s="92">
        <f>'Data-Fig4_Tab1'!B12*(1-'Data-Fig4_Tab1'!H12)*('Data-Fig4_Tab1'!O$3*'Data-Fig4_Tab1'!J12+'Data-Fig4_Tab1'!P$3*'Data-Fig4_Tab1'!K12+'Data-Fig4_Tab1'!L12)</f>
        <v>1.6239999999999999</v>
      </c>
      <c r="E11" s="178"/>
      <c r="F11" s="178"/>
      <c r="H11" s="78">
        <f t="shared" si="2"/>
        <v>940.79683333333344</v>
      </c>
      <c r="I11" s="78">
        <v>298.88499999999999</v>
      </c>
      <c r="J11" s="78">
        <v>420.98500000000001</v>
      </c>
      <c r="K11" s="78">
        <v>624.18600000000004</v>
      </c>
      <c r="L11" s="78">
        <v>692.98800000000006</v>
      </c>
      <c r="M11" s="78">
        <v>1197.3330000000001</v>
      </c>
      <c r="N11" s="78">
        <v>2410.404</v>
      </c>
      <c r="O11" s="78"/>
      <c r="P11" s="78"/>
      <c r="Q11" s="78"/>
      <c r="R11" s="78"/>
      <c r="S11" s="78"/>
      <c r="T11" s="78"/>
    </row>
    <row r="12" spans="1:20">
      <c r="A12" s="93" t="s">
        <v>69</v>
      </c>
      <c r="B12" s="94">
        <f t="shared" si="0"/>
        <v>40</v>
      </c>
      <c r="C12" s="95">
        <f t="shared" si="1"/>
        <v>1.7391304347826087E-2</v>
      </c>
      <c r="D12" s="92">
        <f>'Data-Fig4_Tab1'!B13*(1-'Data-Fig4_Tab1'!H13)*('Data-Fig4_Tab1'!O$3*'Data-Fig4_Tab1'!J13+'Data-Fig4_Tab1'!P$3*'Data-Fig4_Tab1'!K13+'Data-Fig4_Tab1'!L13)</f>
        <v>0.7168000000000001</v>
      </c>
      <c r="E12" s="178"/>
      <c r="F12" s="178"/>
      <c r="H12" s="78">
        <f t="shared" si="2"/>
        <v>589.43333333333339</v>
      </c>
      <c r="I12" s="78">
        <v>1065.29</v>
      </c>
      <c r="J12" s="78">
        <v>299.05500000000001</v>
      </c>
      <c r="K12" s="78">
        <v>485.327</v>
      </c>
      <c r="L12" s="78">
        <v>343.27100000000002</v>
      </c>
      <c r="M12" s="78">
        <v>436.65300000000002</v>
      </c>
      <c r="N12" s="78">
        <v>907.00400000000002</v>
      </c>
      <c r="O12" s="78"/>
      <c r="P12" s="78"/>
      <c r="Q12" s="78"/>
      <c r="R12" s="78"/>
      <c r="S12" s="78"/>
      <c r="T12" s="78"/>
    </row>
    <row r="13" spans="1:20">
      <c r="A13" s="93" t="s">
        <v>70</v>
      </c>
      <c r="B13" s="94">
        <f t="shared" si="0"/>
        <v>20</v>
      </c>
      <c r="C13" s="95">
        <f t="shared" si="1"/>
        <v>8.6956521739130436E-3</v>
      </c>
      <c r="D13" s="92">
        <f>'Data-Fig4_Tab1'!B14*(1-'Data-Fig4_Tab1'!H14)*('Data-Fig4_Tab1'!O$3*'Data-Fig4_Tab1'!J14+'Data-Fig4_Tab1'!P$3*'Data-Fig4_Tab1'!K14+'Data-Fig4_Tab1'!L14)</f>
        <v>0.2576</v>
      </c>
      <c r="E13" s="178"/>
      <c r="F13" s="178"/>
      <c r="H13" s="78">
        <f t="shared" si="2"/>
        <v>209.23316666666668</v>
      </c>
      <c r="I13" s="78">
        <v>143.56200000000001</v>
      </c>
      <c r="J13" s="78">
        <v>207.27199999999999</v>
      </c>
      <c r="K13" s="78">
        <v>190.661</v>
      </c>
      <c r="L13" s="78">
        <v>195.089</v>
      </c>
      <c r="M13" s="78">
        <v>206.91399999999999</v>
      </c>
      <c r="N13" s="78">
        <v>311.90100000000001</v>
      </c>
      <c r="O13" s="78"/>
      <c r="P13" s="78"/>
      <c r="Q13" s="78"/>
      <c r="R13" s="78"/>
      <c r="S13" s="78"/>
      <c r="T13" s="78"/>
    </row>
    <row r="14" spans="1:20">
      <c r="A14" s="93" t="s">
        <v>71</v>
      </c>
      <c r="B14" s="94">
        <f t="shared" si="0"/>
        <v>20</v>
      </c>
      <c r="C14" s="95">
        <f t="shared" si="1"/>
        <v>8.6956521739130436E-3</v>
      </c>
      <c r="D14" s="92">
        <f>'Data-Fig4_Tab1'!B15*(1-'Data-Fig4_Tab1'!H15)*('Data-Fig4_Tab1'!O$3*'Data-Fig4_Tab1'!J15+'Data-Fig4_Tab1'!P$3*'Data-Fig4_Tab1'!K15+'Data-Fig4_Tab1'!L15)</f>
        <v>0.38400000000000001</v>
      </c>
      <c r="E14" s="178"/>
      <c r="F14" s="178"/>
      <c r="H14" s="78">
        <f t="shared" si="2"/>
        <v>230.32866666666666</v>
      </c>
      <c r="I14" s="78">
        <v>105.161</v>
      </c>
      <c r="J14" s="78">
        <v>179.59800000000001</v>
      </c>
      <c r="K14" s="78">
        <v>195.38900000000001</v>
      </c>
      <c r="L14" s="78">
        <v>217.95599999999999</v>
      </c>
      <c r="M14" s="78">
        <v>180.98699999999999</v>
      </c>
      <c r="N14" s="78">
        <v>502.88099999999997</v>
      </c>
      <c r="O14" s="78"/>
      <c r="P14" s="78"/>
      <c r="Q14" s="78"/>
      <c r="R14" s="78"/>
      <c r="S14" s="78"/>
      <c r="T14" s="78"/>
    </row>
    <row r="15" spans="1:20">
      <c r="A15" s="93" t="s">
        <v>72</v>
      </c>
      <c r="B15" s="94">
        <f t="shared" si="0"/>
        <v>10</v>
      </c>
      <c r="C15" s="95">
        <f t="shared" si="1"/>
        <v>4.3478260869565218E-3</v>
      </c>
      <c r="D15" s="92">
        <f>'Data-Fig4_Tab1'!B16*(1-'Data-Fig4_Tab1'!H16)*('Data-Fig4_Tab1'!O$3*'Data-Fig4_Tab1'!J16+'Data-Fig4_Tab1'!P$3*'Data-Fig4_Tab1'!K16+'Data-Fig4_Tab1'!L16)</f>
        <v>0.31520000000000004</v>
      </c>
      <c r="E15" s="178"/>
      <c r="F15" s="178"/>
      <c r="H15" s="78">
        <f t="shared" si="2"/>
        <v>95.467166666666671</v>
      </c>
      <c r="I15" s="78">
        <v>50.685000000000002</v>
      </c>
      <c r="J15" s="78">
        <v>58.908000000000001</v>
      </c>
      <c r="K15" s="78">
        <v>65.48</v>
      </c>
      <c r="L15" s="78">
        <v>93.710999999999999</v>
      </c>
      <c r="M15" s="78">
        <v>137.815</v>
      </c>
      <c r="N15" s="78">
        <v>166.20400000000001</v>
      </c>
      <c r="O15" s="78"/>
      <c r="P15" s="78"/>
      <c r="Q15" s="78"/>
      <c r="R15" s="78"/>
      <c r="S15" s="78"/>
      <c r="T15" s="78"/>
    </row>
    <row r="16" spans="1:20">
      <c r="A16" s="93" t="s">
        <v>73</v>
      </c>
      <c r="B16" s="94">
        <f t="shared" si="0"/>
        <v>180</v>
      </c>
      <c r="C16" s="95">
        <f t="shared" si="1"/>
        <v>7.8260869565217397E-2</v>
      </c>
      <c r="D16" s="92">
        <f>'Data-Fig4_Tab1'!B17*(1-'Data-Fig4_Tab1'!H17)*('Data-Fig4_Tab1'!O$3*'Data-Fig4_Tab1'!J17+'Data-Fig4_Tab1'!P$3*'Data-Fig4_Tab1'!K17+'Data-Fig4_Tab1'!L17)</f>
        <v>4.7441454545454542</v>
      </c>
      <c r="E16" s="178"/>
      <c r="F16" s="178"/>
      <c r="H16" s="78">
        <f t="shared" si="2"/>
        <v>2460.3499999999972</v>
      </c>
      <c r="I16" s="78">
        <f t="shared" ref="I16:N16" si="3">I4-SUM(I5:I15)</f>
        <v>1420.8630000000003</v>
      </c>
      <c r="J16" s="78">
        <f t="shared" si="3"/>
        <v>1171.0379999999968</v>
      </c>
      <c r="K16" s="78">
        <f t="shared" si="3"/>
        <v>2360.6470000000008</v>
      </c>
      <c r="L16" s="78">
        <f t="shared" si="3"/>
        <v>2858.3740000000034</v>
      </c>
      <c r="M16" s="78">
        <f t="shared" si="3"/>
        <v>2704.8049999999967</v>
      </c>
      <c r="N16" s="78">
        <f t="shared" si="3"/>
        <v>4246.372999999985</v>
      </c>
      <c r="O16" s="78"/>
      <c r="P16" s="78"/>
      <c r="Q16" s="78"/>
      <c r="R16" s="78"/>
      <c r="S16" s="78"/>
      <c r="T16" s="78"/>
    </row>
    <row r="17" spans="1:20">
      <c r="A17" s="118" t="s">
        <v>58</v>
      </c>
      <c r="B17" s="90">
        <f t="shared" ref="B17:B23" si="4">ROUND(C17*B$24,-1)</f>
        <v>230</v>
      </c>
      <c r="C17" s="91">
        <v>0.1</v>
      </c>
      <c r="D17" s="92">
        <f>'Data-Fig4_Tab1'!B18*(1-'Data-Fig4_Tab1'!H18)*('Data-Fig4_Tab1'!O$3*'Data-Fig4_Tab1'!J18+'Data-Fig4_Tab1'!P$3*'Data-Fig4_Tab1'!K18+'Data-Fig4_Tab1'!L18)</f>
        <v>0</v>
      </c>
      <c r="E17" s="178"/>
      <c r="F17" s="178"/>
      <c r="J17" s="78"/>
      <c r="K17" s="78"/>
      <c r="L17" s="78"/>
      <c r="M17" s="78"/>
      <c r="O17" s="78"/>
      <c r="P17" s="78"/>
      <c r="Q17" s="78"/>
      <c r="R17" s="78"/>
      <c r="S17" s="78"/>
      <c r="T17" s="78"/>
    </row>
    <row r="18" spans="1:20">
      <c r="A18" s="118" t="s">
        <v>26</v>
      </c>
      <c r="B18" s="90">
        <f t="shared" si="4"/>
        <v>230</v>
      </c>
      <c r="C18" s="91">
        <v>0.1</v>
      </c>
      <c r="D18" s="92">
        <f>'Data-Fig4_Tab1'!B19*(1-'Data-Fig4_Tab1'!H19)*('Data-Fig4_Tab1'!O$3*'Data-Fig4_Tab1'!J19+'Data-Fig4_Tab1'!P$3*'Data-Fig4_Tab1'!K19+'Data-Fig4_Tab1'!L19)</f>
        <v>6.0720000000000001</v>
      </c>
      <c r="E18" s="178"/>
      <c r="F18" s="178"/>
      <c r="J18" s="78"/>
      <c r="K18" s="78"/>
      <c r="L18" s="78"/>
      <c r="M18" s="78"/>
      <c r="N18" s="78"/>
      <c r="O18" s="78"/>
      <c r="P18" s="78"/>
      <c r="Q18" s="78"/>
      <c r="R18" s="78"/>
      <c r="S18" s="78"/>
      <c r="T18" s="78"/>
    </row>
    <row r="19" spans="1:20">
      <c r="A19" s="118" t="s">
        <v>59</v>
      </c>
      <c r="B19" s="90">
        <f t="shared" si="4"/>
        <v>220</v>
      </c>
      <c r="C19" s="91">
        <f>11.5%-2%</f>
        <v>9.5000000000000001E-2</v>
      </c>
      <c r="D19" s="92">
        <f>'Data-Fig4_Tab1'!B20*(1-'Data-Fig4_Tab1'!H20)*('Data-Fig4_Tab1'!O$3*'Data-Fig4_Tab1'!J20+'Data-Fig4_Tab1'!P$3*'Data-Fig4_Tab1'!K20+'Data-Fig4_Tab1'!L20)</f>
        <v>6.2928000000000015</v>
      </c>
      <c r="E19" s="178"/>
      <c r="F19" s="178"/>
      <c r="J19" s="78"/>
      <c r="K19" s="78"/>
      <c r="L19" s="78"/>
      <c r="M19" s="78"/>
      <c r="N19" s="78"/>
      <c r="O19" s="78"/>
      <c r="P19" s="78"/>
      <c r="Q19" s="78"/>
      <c r="R19" s="78"/>
      <c r="S19" s="78"/>
      <c r="T19" s="78"/>
    </row>
    <row r="20" spans="1:20">
      <c r="A20" s="118" t="s">
        <v>15</v>
      </c>
      <c r="B20" s="90">
        <f t="shared" si="4"/>
        <v>150</v>
      </c>
      <c r="C20" s="91">
        <v>6.5000000000000002E-2</v>
      </c>
      <c r="D20" s="92">
        <f>'Data-Fig4_Tab1'!B21*(1-'Data-Fig4_Tab1'!H21)*('Data-Fig4_Tab1'!O$3*'Data-Fig4_Tab1'!J21+'Data-Fig4_Tab1'!P$3*'Data-Fig4_Tab1'!K21+'Data-Fig4_Tab1'!L21)</f>
        <v>4.305600000000001</v>
      </c>
      <c r="E20" s="178"/>
      <c r="F20" s="178"/>
      <c r="I20" s="122"/>
      <c r="J20" s="78"/>
      <c r="K20" s="78"/>
      <c r="L20" s="78"/>
      <c r="M20" s="78"/>
      <c r="N20" s="78"/>
      <c r="O20" s="78"/>
      <c r="P20" s="78"/>
      <c r="Q20" s="78"/>
      <c r="R20" s="78"/>
      <c r="S20" s="78"/>
      <c r="T20" s="78"/>
    </row>
    <row r="21" spans="1:20">
      <c r="A21" s="123" t="s">
        <v>77</v>
      </c>
      <c r="B21" s="90">
        <f t="shared" si="4"/>
        <v>80</v>
      </c>
      <c r="C21" s="91">
        <f>0.05*2/3</f>
        <v>3.3333333333333333E-2</v>
      </c>
      <c r="D21" s="92"/>
      <c r="E21" s="178"/>
      <c r="F21" s="178"/>
      <c r="H21" s="78">
        <f t="shared" ref="H21:H24" si="5">AVERAGE(I21:N21)</f>
        <v>2680.9244999999996</v>
      </c>
      <c r="I21" s="78">
        <v>1226.0129999999999</v>
      </c>
      <c r="J21" s="78">
        <v>1411.9059999999999</v>
      </c>
      <c r="K21" s="78">
        <v>1411.9059999999999</v>
      </c>
      <c r="L21" s="78">
        <v>2990.5650000000001</v>
      </c>
      <c r="M21" s="78">
        <v>3097.0810000000001</v>
      </c>
      <c r="N21" s="78">
        <v>5948.076</v>
      </c>
      <c r="O21" s="78"/>
      <c r="P21" s="78"/>
      <c r="Q21" s="78"/>
      <c r="R21" s="78"/>
      <c r="S21" s="78"/>
      <c r="T21" s="78"/>
    </row>
    <row r="22" spans="1:20">
      <c r="A22" s="123" t="s">
        <v>78</v>
      </c>
      <c r="B22" s="90">
        <f t="shared" si="4"/>
        <v>40</v>
      </c>
      <c r="C22" s="91">
        <f>0.05*1/3</f>
        <v>1.6666666666666666E-2</v>
      </c>
      <c r="D22" s="92"/>
      <c r="E22" s="178"/>
      <c r="F22" s="178"/>
      <c r="H22" s="78">
        <f t="shared" si="5"/>
        <v>1170.9031666666667</v>
      </c>
      <c r="I22" s="78">
        <v>754.84299999999996</v>
      </c>
      <c r="J22" s="78">
        <v>695.81</v>
      </c>
      <c r="K22" s="78">
        <v>921.93499999999995</v>
      </c>
      <c r="L22" s="78">
        <v>1473.971</v>
      </c>
      <c r="M22" s="78">
        <v>1356.444</v>
      </c>
      <c r="N22" s="78">
        <v>1822.4159999999999</v>
      </c>
      <c r="O22" s="78"/>
      <c r="P22" s="78"/>
      <c r="Q22" s="78"/>
      <c r="R22" s="78"/>
      <c r="S22" s="78"/>
      <c r="T22" s="78"/>
    </row>
    <row r="23" spans="1:20">
      <c r="A23" s="118" t="s">
        <v>60</v>
      </c>
      <c r="B23" s="90">
        <f t="shared" si="4"/>
        <v>70</v>
      </c>
      <c r="C23" s="98">
        <v>0.03</v>
      </c>
      <c r="D23" s="92">
        <f>'Data-Fig4_Tab1'!B24*(1-'Data-Fig4_Tab1'!H24)*('Data-Fig4_Tab1'!O$3*'Data-Fig4_Tab1'!J24+'Data-Fig4_Tab1'!P$3*'Data-Fig4_Tab1'!K24+'Data-Fig4_Tab1'!L24)</f>
        <v>0.39744000000000002</v>
      </c>
      <c r="E23" s="178"/>
      <c r="F23" s="178"/>
      <c r="H23" s="78">
        <f t="shared" si="5"/>
        <v>3246.8855000000003</v>
      </c>
      <c r="I23" s="78">
        <v>2534.4789999999998</v>
      </c>
      <c r="J23" s="78">
        <v>2508.1640000000002</v>
      </c>
      <c r="K23" s="78">
        <v>2802.473</v>
      </c>
      <c r="L23" s="78">
        <v>2843.6990000000001</v>
      </c>
      <c r="M23" s="78">
        <v>3518.252</v>
      </c>
      <c r="N23" s="78">
        <v>5274.2460000000001</v>
      </c>
      <c r="O23" s="78"/>
      <c r="P23" s="78"/>
      <c r="Q23" s="78"/>
      <c r="R23" s="78"/>
      <c r="S23" s="78"/>
      <c r="T23" s="78"/>
    </row>
    <row r="24" spans="1:20" ht="30">
      <c r="A24" s="118" t="s">
        <v>17</v>
      </c>
      <c r="B24" s="90">
        <v>2300</v>
      </c>
      <c r="C24" s="98">
        <f>C4+SUM(C17:C23)</f>
        <v>1</v>
      </c>
      <c r="D24" s="92">
        <f>D4+SUM(D17:D23)</f>
        <v>55.511505454545457</v>
      </c>
      <c r="E24" s="178"/>
      <c r="F24" s="178"/>
      <c r="G24" s="180" t="s">
        <v>145</v>
      </c>
      <c r="H24" s="78">
        <f t="shared" si="5"/>
        <v>153998.21283333332</v>
      </c>
      <c r="I24" s="78">
        <v>91448.792000000001</v>
      </c>
      <c r="J24" s="78">
        <v>98892.074999999997</v>
      </c>
      <c r="K24" s="78">
        <v>129209.072</v>
      </c>
      <c r="L24" s="78">
        <v>145181.38500000001</v>
      </c>
      <c r="M24" s="78">
        <v>179027.08199999999</v>
      </c>
      <c r="N24" s="78">
        <v>280230.87099999998</v>
      </c>
      <c r="O24" s="78"/>
      <c r="P24" s="78"/>
      <c r="Q24" s="78"/>
      <c r="R24" s="78"/>
      <c r="S24" s="78"/>
      <c r="T24" s="78"/>
    </row>
    <row r="25" spans="1:20" ht="31" thickBot="1">
      <c r="A25" s="119" t="s">
        <v>61</v>
      </c>
      <c r="B25" s="99">
        <f>ROUND(C25*B24,-2)</f>
        <v>1400</v>
      </c>
      <c r="C25" s="100">
        <v>0.6</v>
      </c>
      <c r="D25" s="101"/>
      <c r="E25" s="179"/>
      <c r="F25" s="179"/>
      <c r="G25" s="180" t="s">
        <v>143</v>
      </c>
      <c r="H25" s="78">
        <f>AVERAGE(I25:N25)</f>
        <v>84962.761333333328</v>
      </c>
      <c r="I25" s="78">
        <v>50734.890500000009</v>
      </c>
      <c r="J25" s="78">
        <v>54886.173000000003</v>
      </c>
      <c r="K25" s="78">
        <v>68461.426000000007</v>
      </c>
      <c r="L25" s="78">
        <v>81942.42525</v>
      </c>
      <c r="M25" s="78">
        <v>100525.69724999998</v>
      </c>
      <c r="N25" s="78">
        <v>153225.95599999998</v>
      </c>
      <c r="O25" s="78"/>
      <c r="P25" s="78"/>
      <c r="Q25" s="78"/>
      <c r="R25" s="78"/>
      <c r="S25" s="78"/>
      <c r="T25" s="78"/>
    </row>
    <row r="26" spans="1:20">
      <c r="A26" s="181"/>
      <c r="B26" s="182"/>
      <c r="C26" s="179"/>
      <c r="D26" s="179"/>
      <c r="E26" s="179"/>
      <c r="F26" s="179"/>
      <c r="G26" s="175" t="s">
        <v>139</v>
      </c>
      <c r="H26" s="78">
        <f>AVERAGE(I26:N26)</f>
        <v>27088.186851443515</v>
      </c>
      <c r="I26" s="78">
        <v>15215.917525848925</v>
      </c>
      <c r="J26" s="78">
        <v>17761.014610506641</v>
      </c>
      <c r="K26" s="78">
        <v>21553.272625273938</v>
      </c>
      <c r="L26" s="78">
        <v>26140.688834236611</v>
      </c>
      <c r="M26" s="78">
        <v>33818.558941787407</v>
      </c>
      <c r="N26" s="78">
        <v>48039.668571007547</v>
      </c>
      <c r="O26" s="78"/>
      <c r="P26" s="78"/>
      <c r="Q26" s="78"/>
      <c r="R26" s="78"/>
      <c r="S26" s="78"/>
      <c r="T26" s="78"/>
    </row>
    <row r="27" spans="1:20" ht="30">
      <c r="G27" s="180" t="s">
        <v>140</v>
      </c>
      <c r="H27" s="78">
        <f t="shared" ref="H27:H30" si="6">AVERAGE(I27:N27)</f>
        <v>181086.39968477687</v>
      </c>
      <c r="I27" s="78">
        <f t="shared" ref="I27:N27" si="7">I24+I26</f>
        <v>106664.70952584893</v>
      </c>
      <c r="J27" s="78">
        <f t="shared" si="7"/>
        <v>116653.08961050663</v>
      </c>
      <c r="K27" s="78">
        <f t="shared" si="7"/>
        <v>150762.34462527395</v>
      </c>
      <c r="L27" s="78">
        <f t="shared" si="7"/>
        <v>171322.07383423662</v>
      </c>
      <c r="M27" s="78">
        <f t="shared" si="7"/>
        <v>212845.64094178739</v>
      </c>
      <c r="N27" s="78">
        <f t="shared" si="7"/>
        <v>328270.53957100754</v>
      </c>
      <c r="O27" s="78"/>
      <c r="P27" s="78"/>
      <c r="Q27" s="78"/>
      <c r="R27" s="78"/>
      <c r="S27" s="78"/>
      <c r="T27" s="78"/>
    </row>
    <row r="28" spans="1:20" ht="30">
      <c r="G28" s="180" t="s">
        <v>144</v>
      </c>
      <c r="H28" s="78">
        <f t="shared" si="6"/>
        <v>112050.94818477686</v>
      </c>
      <c r="I28" s="78">
        <f t="shared" ref="I28:N28" si="8">I26+I25</f>
        <v>65950.808025848935</v>
      </c>
      <c r="J28" s="78">
        <f t="shared" si="8"/>
        <v>72647.187610506648</v>
      </c>
      <c r="K28" s="78">
        <f t="shared" si="8"/>
        <v>90014.698625273944</v>
      </c>
      <c r="L28" s="78">
        <f t="shared" si="8"/>
        <v>108083.11408423661</v>
      </c>
      <c r="M28" s="78">
        <f t="shared" si="8"/>
        <v>134344.2561917874</v>
      </c>
      <c r="N28" s="78">
        <f t="shared" si="8"/>
        <v>201265.62457100753</v>
      </c>
      <c r="O28" s="78"/>
      <c r="P28" s="78"/>
      <c r="Q28" s="78"/>
      <c r="R28" s="78"/>
      <c r="S28" s="78"/>
      <c r="T28" s="78"/>
    </row>
    <row r="29" spans="1:20">
      <c r="G29" s="175" t="s">
        <v>141</v>
      </c>
      <c r="H29" s="176">
        <f t="shared" si="6"/>
        <v>0.61888229015703577</v>
      </c>
      <c r="I29" s="176">
        <f t="shared" ref="I29:N29" si="9">I28/I27</f>
        <v>0.61830016993452308</v>
      </c>
      <c r="J29" s="176">
        <f t="shared" si="9"/>
        <v>0.62276265337736503</v>
      </c>
      <c r="K29" s="176">
        <f t="shared" si="9"/>
        <v>0.59706353631610865</v>
      </c>
      <c r="L29" s="176">
        <f t="shared" si="9"/>
        <v>0.63087675548927147</v>
      </c>
      <c r="M29" s="176">
        <f t="shared" si="9"/>
        <v>0.63118161874186618</v>
      </c>
      <c r="N29" s="176">
        <f t="shared" si="9"/>
        <v>0.61310900708308058</v>
      </c>
      <c r="O29" s="78"/>
      <c r="P29" s="78"/>
      <c r="Q29" s="78"/>
      <c r="R29" s="78"/>
      <c r="S29" s="78"/>
      <c r="T29" s="78"/>
    </row>
    <row r="30" spans="1:20">
      <c r="G30" s="175" t="s">
        <v>142</v>
      </c>
      <c r="H30" s="176">
        <f t="shared" si="6"/>
        <v>9.1927799464635571E-2</v>
      </c>
      <c r="I30" s="176">
        <f>I4/I27</f>
        <v>8.4189677541134517E-2</v>
      </c>
      <c r="J30" s="176">
        <f t="shared" ref="J30:N30" si="10">J4/J27</f>
        <v>7.6585052567654799E-2</v>
      </c>
      <c r="K30" s="176">
        <f t="shared" si="10"/>
        <v>9.432576838298927E-2</v>
      </c>
      <c r="L30" s="176">
        <f t="shared" si="10"/>
        <v>9.0852768715956975E-2</v>
      </c>
      <c r="M30" s="176">
        <f t="shared" si="10"/>
        <v>9.2123525120078667E-2</v>
      </c>
      <c r="N30" s="183">
        <f t="shared" si="10"/>
        <v>0.1134900044599992</v>
      </c>
      <c r="O30" s="78"/>
      <c r="P30" s="78"/>
      <c r="Q30" s="78"/>
      <c r="R30" s="78"/>
      <c r="S30" s="78"/>
      <c r="T30" s="78"/>
    </row>
    <row r="31" spans="1:20" ht="16" thickBot="1">
      <c r="I31" s="176"/>
      <c r="J31" s="176"/>
      <c r="K31" s="176"/>
      <c r="L31" s="176"/>
      <c r="M31" s="176"/>
      <c r="N31" s="176"/>
      <c r="O31" s="78"/>
      <c r="P31" s="78"/>
      <c r="Q31" s="78"/>
      <c r="R31" s="78"/>
      <c r="S31" s="78"/>
      <c r="T31" s="78"/>
    </row>
    <row r="32" spans="1:20">
      <c r="A32" s="80" t="s">
        <v>29</v>
      </c>
      <c r="B32" s="81"/>
      <c r="C32" s="81"/>
      <c r="D32" s="81"/>
      <c r="E32" s="81"/>
      <c r="F32" s="81"/>
      <c r="G32" s="81"/>
      <c r="H32" s="81"/>
      <c r="I32" s="81"/>
      <c r="J32" s="81"/>
      <c r="K32" s="81"/>
      <c r="L32" s="81"/>
      <c r="M32" s="81"/>
      <c r="N32" s="81"/>
      <c r="O32" s="81"/>
      <c r="P32" s="81"/>
      <c r="Q32" s="82"/>
    </row>
    <row r="33" spans="1:17">
      <c r="A33" s="123" t="s">
        <v>80</v>
      </c>
      <c r="B33" s="84"/>
      <c r="C33" s="84"/>
      <c r="D33" s="84"/>
      <c r="E33" s="84"/>
      <c r="F33" s="84"/>
      <c r="G33" s="84"/>
      <c r="H33" s="84"/>
      <c r="I33" s="84"/>
      <c r="J33" s="84"/>
      <c r="K33" s="84"/>
      <c r="L33" s="84"/>
      <c r="M33" s="84"/>
      <c r="N33" s="84"/>
      <c r="O33" s="84"/>
      <c r="P33" s="84"/>
      <c r="Q33" s="85"/>
    </row>
    <row r="34" spans="1:17">
      <c r="A34" s="123" t="s">
        <v>81</v>
      </c>
      <c r="B34" s="84"/>
      <c r="C34" s="84"/>
      <c r="D34" s="84"/>
      <c r="E34" s="84"/>
      <c r="F34" s="84"/>
      <c r="G34" s="84"/>
      <c r="H34" s="84"/>
      <c r="I34" s="84"/>
      <c r="J34" s="84"/>
      <c r="K34" s="84"/>
      <c r="L34" s="84"/>
      <c r="M34" s="84"/>
      <c r="N34" s="84"/>
      <c r="O34" s="84"/>
      <c r="P34" s="84"/>
      <c r="Q34" s="85"/>
    </row>
    <row r="35" spans="1:17">
      <c r="A35" s="83" t="s">
        <v>19</v>
      </c>
      <c r="B35" s="84"/>
      <c r="C35" s="84"/>
      <c r="D35" s="84"/>
      <c r="E35" s="84"/>
      <c r="F35" s="84"/>
      <c r="G35" s="84"/>
      <c r="H35" s="84"/>
      <c r="I35" s="84"/>
      <c r="J35" s="84"/>
      <c r="K35" s="84"/>
      <c r="L35" s="84"/>
      <c r="M35" s="84"/>
      <c r="N35" s="84"/>
      <c r="O35" s="84"/>
      <c r="P35" s="84"/>
      <c r="Q35" s="85"/>
    </row>
    <row r="36" spans="1:17">
      <c r="A36" s="123" t="s">
        <v>79</v>
      </c>
      <c r="B36" s="84"/>
      <c r="C36" s="84"/>
      <c r="D36" s="84"/>
      <c r="E36" s="84"/>
      <c r="F36" s="84"/>
      <c r="G36" s="84"/>
      <c r="H36" s="84"/>
      <c r="I36" s="84"/>
      <c r="J36" s="84"/>
      <c r="K36" s="84"/>
      <c r="L36" s="84"/>
      <c r="M36" s="84"/>
      <c r="N36" s="84"/>
      <c r="O36" s="84"/>
      <c r="P36" s="84"/>
      <c r="Q36" s="85"/>
    </row>
    <row r="37" spans="1:17">
      <c r="A37" s="118" t="s">
        <v>76</v>
      </c>
      <c r="B37" s="84"/>
      <c r="C37" s="84"/>
      <c r="D37" s="84"/>
      <c r="E37" s="84"/>
      <c r="F37" s="84"/>
      <c r="G37" s="84"/>
      <c r="H37" s="84"/>
      <c r="I37" s="84"/>
      <c r="J37" s="84"/>
      <c r="K37" s="84"/>
      <c r="L37" s="84"/>
      <c r="M37" s="84"/>
      <c r="N37" s="84"/>
      <c r="O37" s="84"/>
      <c r="P37" s="84"/>
      <c r="Q37" s="85"/>
    </row>
    <row r="38" spans="1:17" ht="16" thickBot="1">
      <c r="A38" s="86" t="s">
        <v>18</v>
      </c>
      <c r="B38" s="87"/>
      <c r="C38" s="87"/>
      <c r="D38" s="87"/>
      <c r="E38" s="87"/>
      <c r="F38" s="87"/>
      <c r="G38" s="87"/>
      <c r="H38" s="87"/>
      <c r="I38" s="87"/>
      <c r="J38" s="87"/>
      <c r="K38" s="87"/>
      <c r="L38" s="87"/>
      <c r="M38" s="87"/>
      <c r="N38" s="87"/>
      <c r="O38" s="87"/>
      <c r="P38" s="87"/>
      <c r="Q38" s="88"/>
    </row>
  </sheetData>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5"/>
  <sheetViews>
    <sheetView workbookViewId="0">
      <selection activeCell="B3" sqref="B3:F6"/>
    </sheetView>
  </sheetViews>
  <sheetFormatPr baseColWidth="10" defaultRowHeight="12" x14ac:dyDescent="0"/>
  <cols>
    <col min="1" max="1" width="18.83203125" style="43" customWidth="1"/>
    <col min="2" max="2" width="22.6640625" style="43" customWidth="1"/>
    <col min="3" max="3" width="5.6640625" style="43" customWidth="1"/>
    <col min="4" max="4" width="24.1640625" style="43" customWidth="1"/>
    <col min="5" max="5" width="5.6640625" style="43" customWidth="1"/>
    <col min="6" max="6" width="34.5" style="43" customWidth="1"/>
    <col min="7" max="7" width="4" style="43" customWidth="1"/>
    <col min="8" max="9" width="20.6640625" style="43" customWidth="1"/>
    <col min="10" max="16384" width="10.83203125" style="43"/>
  </cols>
  <sheetData>
    <row r="2" spans="2:6" ht="13" thickBot="1">
      <c r="B2" s="73"/>
      <c r="C2" s="73"/>
      <c r="D2" s="73"/>
      <c r="E2" s="73"/>
      <c r="F2" s="73"/>
    </row>
    <row r="3" spans="2:6" ht="13" thickTop="1">
      <c r="B3" s="202" t="s">
        <v>51</v>
      </c>
      <c r="C3" s="202"/>
      <c r="D3" s="202"/>
      <c r="E3" s="202"/>
      <c r="F3" s="202"/>
    </row>
    <row r="4" spans="2:6">
      <c r="B4" s="203"/>
      <c r="C4" s="203"/>
      <c r="D4" s="203"/>
      <c r="E4" s="203"/>
      <c r="F4" s="203"/>
    </row>
    <row r="5" spans="2:6">
      <c r="B5" s="203"/>
      <c r="C5" s="203"/>
      <c r="D5" s="203"/>
      <c r="E5" s="203"/>
      <c r="F5" s="203"/>
    </row>
    <row r="6" spans="2:6">
      <c r="B6" s="204"/>
      <c r="C6" s="204"/>
      <c r="D6" s="204"/>
      <c r="E6" s="204"/>
      <c r="F6" s="204"/>
    </row>
    <row r="7" spans="2:6">
      <c r="B7" s="212" t="s">
        <v>52</v>
      </c>
      <c r="C7" s="212"/>
      <c r="D7" s="212"/>
      <c r="E7" s="212"/>
      <c r="F7" s="212"/>
    </row>
    <row r="8" spans="2:6">
      <c r="B8" s="213"/>
      <c r="C8" s="213"/>
      <c r="D8" s="213"/>
      <c r="E8" s="213"/>
      <c r="F8" s="213"/>
    </row>
    <row r="9" spans="2:6">
      <c r="B9" s="213"/>
      <c r="C9" s="213"/>
      <c r="D9" s="213"/>
      <c r="E9" s="213"/>
      <c r="F9" s="213"/>
    </row>
    <row r="10" spans="2:6">
      <c r="B10" s="214"/>
      <c r="C10" s="214"/>
      <c r="D10" s="214"/>
      <c r="E10" s="214"/>
      <c r="F10" s="214"/>
    </row>
    <row r="11" spans="2:6" ht="24" customHeight="1" thickBot="1">
      <c r="B11" s="65"/>
      <c r="C11" s="65"/>
      <c r="D11" s="65"/>
      <c r="E11" s="65"/>
      <c r="F11" s="65"/>
    </row>
    <row r="12" spans="2:6" ht="15" customHeight="1">
      <c r="B12" s="215" t="s">
        <v>53</v>
      </c>
      <c r="C12" s="65"/>
      <c r="D12" s="219" t="s">
        <v>54</v>
      </c>
      <c r="E12" s="65"/>
      <c r="F12" s="65"/>
    </row>
    <row r="13" spans="2:6" ht="15" customHeight="1">
      <c r="B13" s="216"/>
      <c r="C13" s="65"/>
      <c r="D13" s="220"/>
      <c r="E13" s="65"/>
      <c r="F13" s="67"/>
    </row>
    <row r="14" spans="2:6" ht="15" customHeight="1">
      <c r="B14" s="216"/>
      <c r="C14" s="65"/>
      <c r="D14" s="220"/>
      <c r="E14" s="65"/>
      <c r="F14" s="66"/>
    </row>
    <row r="15" spans="2:6" ht="15" customHeight="1">
      <c r="B15" s="217"/>
      <c r="C15" s="65"/>
      <c r="D15" s="220"/>
      <c r="E15" s="65"/>
      <c r="F15" s="66"/>
    </row>
    <row r="16" spans="2:6" ht="15" customHeight="1">
      <c r="B16" s="217"/>
      <c r="C16" s="65"/>
      <c r="D16" s="220"/>
      <c r="E16" s="65"/>
      <c r="F16" s="66"/>
    </row>
    <row r="17" spans="2:6" ht="15" customHeight="1">
      <c r="B17" s="217"/>
      <c r="C17" s="65"/>
      <c r="D17" s="220"/>
      <c r="E17" s="65"/>
      <c r="F17" s="66"/>
    </row>
    <row r="18" spans="2:6" ht="15" customHeight="1">
      <c r="B18" s="217"/>
      <c r="C18" s="65"/>
      <c r="D18" s="220"/>
      <c r="E18" s="65"/>
      <c r="F18" s="65"/>
    </row>
    <row r="19" spans="2:6" ht="15" customHeight="1">
      <c r="B19" s="217"/>
      <c r="C19" s="65"/>
      <c r="D19" s="220"/>
      <c r="E19" s="65"/>
      <c r="F19" s="65"/>
    </row>
    <row r="20" spans="2:6" ht="15" customHeight="1">
      <c r="B20" s="217"/>
      <c r="C20" s="65"/>
      <c r="D20" s="220"/>
      <c r="E20" s="65"/>
      <c r="F20" s="65"/>
    </row>
    <row r="21" spans="2:6" ht="15" customHeight="1" thickBot="1">
      <c r="B21" s="217"/>
      <c r="C21" s="65"/>
      <c r="D21" s="220"/>
      <c r="E21" s="65"/>
      <c r="F21" s="65"/>
    </row>
    <row r="22" spans="2:6" ht="15" customHeight="1">
      <c r="B22" s="217"/>
      <c r="C22" s="65"/>
      <c r="D22" s="220"/>
      <c r="E22" s="65"/>
      <c r="F22" s="219" t="s">
        <v>132</v>
      </c>
    </row>
    <row r="23" spans="2:6" ht="15" customHeight="1" thickBot="1">
      <c r="B23" s="217"/>
      <c r="C23" s="65"/>
      <c r="D23" s="221"/>
      <c r="E23" s="65"/>
      <c r="F23" s="220"/>
    </row>
    <row r="24" spans="2:6" ht="15" customHeight="1">
      <c r="B24" s="217"/>
      <c r="C24" s="65"/>
      <c r="D24" s="65"/>
      <c r="E24" s="65"/>
      <c r="F24" s="220"/>
    </row>
    <row r="25" spans="2:6" ht="15" customHeight="1" thickBot="1">
      <c r="B25" s="217"/>
      <c r="C25" s="65"/>
      <c r="D25" s="65"/>
      <c r="E25" s="65"/>
      <c r="F25" s="221"/>
    </row>
    <row r="26" spans="2:6" ht="15" customHeight="1">
      <c r="B26" s="217"/>
      <c r="C26" s="65"/>
      <c r="D26" s="219" t="s">
        <v>55</v>
      </c>
      <c r="E26" s="65"/>
      <c r="F26" s="65"/>
    </row>
    <row r="27" spans="2:6" ht="15" customHeight="1" thickBot="1">
      <c r="B27" s="217"/>
      <c r="C27" s="65"/>
      <c r="D27" s="220"/>
      <c r="E27" s="65"/>
      <c r="F27" s="68"/>
    </row>
    <row r="28" spans="2:6" ht="15" customHeight="1">
      <c r="B28" s="217"/>
      <c r="C28" s="65"/>
      <c r="D28" s="220"/>
      <c r="E28" s="65"/>
      <c r="F28" s="219" t="s">
        <v>133</v>
      </c>
    </row>
    <row r="29" spans="2:6" ht="15" customHeight="1">
      <c r="B29" s="217"/>
      <c r="C29" s="65"/>
      <c r="D29" s="220"/>
      <c r="E29" s="65"/>
      <c r="F29" s="220"/>
    </row>
    <row r="30" spans="2:6" ht="15" customHeight="1">
      <c r="B30" s="217"/>
      <c r="C30" s="65"/>
      <c r="D30" s="220"/>
      <c r="E30" s="65"/>
      <c r="F30" s="220"/>
    </row>
    <row r="31" spans="2:6" ht="15" customHeight="1">
      <c r="B31" s="217"/>
      <c r="C31" s="65"/>
      <c r="D31" s="220"/>
      <c r="E31" s="65"/>
      <c r="F31" s="220"/>
    </row>
    <row r="32" spans="2:6" ht="15" customHeight="1">
      <c r="B32" s="217"/>
      <c r="C32" s="65"/>
      <c r="D32" s="220"/>
      <c r="E32" s="65"/>
      <c r="F32" s="220"/>
    </row>
    <row r="33" spans="2:6" ht="15" customHeight="1" thickBot="1">
      <c r="B33" s="218"/>
      <c r="C33" s="65"/>
      <c r="D33" s="221"/>
      <c r="E33" s="65"/>
      <c r="F33" s="221"/>
    </row>
    <row r="34" spans="2:6" ht="18" thickBot="1">
      <c r="B34" s="72"/>
      <c r="C34" s="73"/>
      <c r="D34" s="73"/>
      <c r="E34" s="73"/>
      <c r="F34" s="73"/>
    </row>
    <row r="35" spans="2:6" ht="13" thickTop="1">
      <c r="B35" s="65"/>
      <c r="C35" s="65"/>
      <c r="D35" s="65"/>
      <c r="E35" s="65"/>
      <c r="F35" s="65"/>
    </row>
  </sheetData>
  <mergeCells count="7">
    <mergeCell ref="B3:F6"/>
    <mergeCell ref="B7:F10"/>
    <mergeCell ref="B12:B33"/>
    <mergeCell ref="D26:D33"/>
    <mergeCell ref="D12:D23"/>
    <mergeCell ref="F22:F25"/>
    <mergeCell ref="F28:F33"/>
  </mergeCells>
  <printOptions horizontalCentered="1" verticalCentered="1"/>
  <pageMargins left="0.78740157480314965" right="0.78740157480314965" top="0.98425196850393704" bottom="0.98425196850393704" header="0.51181102362204722" footer="0.51181102362204722"/>
  <pageSetup paperSize="9" orientation="portrait"/>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H13"/>
  <sheetViews>
    <sheetView workbookViewId="0">
      <selection activeCell="H5" sqref="H5"/>
    </sheetView>
  </sheetViews>
  <sheetFormatPr baseColWidth="10" defaultRowHeight="15" x14ac:dyDescent="0"/>
  <cols>
    <col min="1" max="2" width="10.83203125" style="41"/>
    <col min="3" max="3" width="36" style="41" customWidth="1"/>
    <col min="4" max="16384" width="10.83203125" style="41"/>
  </cols>
  <sheetData>
    <row r="1" spans="3:8" ht="16" thickBot="1"/>
    <row r="2" spans="3:8" ht="16" thickTop="1">
      <c r="C2" s="102"/>
      <c r="D2" s="103"/>
      <c r="E2" s="103"/>
      <c r="F2" s="167" t="s">
        <v>123</v>
      </c>
      <c r="G2" s="103"/>
      <c r="H2" s="168" t="s">
        <v>124</v>
      </c>
    </row>
    <row r="3" spans="3:8">
      <c r="C3" s="166" t="s">
        <v>122</v>
      </c>
      <c r="D3" s="105"/>
      <c r="E3" s="105"/>
      <c r="F3" s="106">
        <f>ROUND(H3/E$13,-3)</f>
        <v>62000</v>
      </c>
      <c r="G3" s="105"/>
      <c r="H3" s="108">
        <f>0.85*80000</f>
        <v>68000</v>
      </c>
    </row>
    <row r="4" spans="3:8">
      <c r="C4" s="166" t="s">
        <v>125</v>
      </c>
      <c r="D4" s="105"/>
      <c r="E4" s="105"/>
      <c r="F4" s="106">
        <f t="shared" ref="F4" si="0">ROUND(H4/E$13,-3)</f>
        <v>87000</v>
      </c>
      <c r="G4" s="107">
        <f>F4/F3</f>
        <v>1.403225806451613</v>
      </c>
      <c r="H4" s="108">
        <f>H3*0.3*4.4/(1-0.06)</f>
        <v>95489.361702127659</v>
      </c>
    </row>
    <row r="5" spans="3:8">
      <c r="C5" s="166" t="s">
        <v>126</v>
      </c>
      <c r="D5" s="105"/>
      <c r="E5" s="105"/>
      <c r="F5" s="106">
        <f>ROUND(H5/E$13,-2)</f>
        <v>6900</v>
      </c>
      <c r="G5" s="109">
        <v>0.08</v>
      </c>
      <c r="H5" s="108">
        <f>'Tab1'!B13</f>
        <v>7600</v>
      </c>
    </row>
    <row r="6" spans="3:8">
      <c r="C6" s="166" t="s">
        <v>127</v>
      </c>
      <c r="D6" s="105"/>
      <c r="E6" s="105"/>
      <c r="F6" s="106">
        <f>ROUND(H6/E$13,-2)</f>
        <v>2100</v>
      </c>
      <c r="G6" s="107">
        <f>F6/F5</f>
        <v>0.30434782608695654</v>
      </c>
      <c r="H6" s="108">
        <f>DataFig2!B24</f>
        <v>2300</v>
      </c>
    </row>
    <row r="7" spans="3:8">
      <c r="C7" s="166" t="s">
        <v>128</v>
      </c>
      <c r="D7" s="105"/>
      <c r="E7" s="105"/>
      <c r="F7" s="106">
        <f>ROUND(H7/E$13,-2)</f>
        <v>4800</v>
      </c>
      <c r="G7" s="105"/>
      <c r="H7" s="108">
        <f>H5-H6</f>
        <v>5300</v>
      </c>
    </row>
    <row r="8" spans="3:8">
      <c r="C8" s="104"/>
      <c r="D8" s="105"/>
      <c r="E8" s="105"/>
      <c r="F8" s="105"/>
      <c r="G8" s="105"/>
      <c r="H8" s="108"/>
    </row>
    <row r="9" spans="3:8">
      <c r="C9" s="166" t="s">
        <v>129</v>
      </c>
      <c r="D9" s="105"/>
      <c r="E9" s="105"/>
      <c r="F9" s="106">
        <f>ROUND(H9/E$13,-2)</f>
        <v>21800</v>
      </c>
      <c r="G9" s="105"/>
      <c r="H9" s="108">
        <f>H10+'Data-Fig1'!P14</f>
        <v>23979.547800000004</v>
      </c>
    </row>
    <row r="10" spans="3:8" ht="16" thickBot="1">
      <c r="C10" s="169" t="s">
        <v>130</v>
      </c>
      <c r="D10" s="110"/>
      <c r="E10" s="110"/>
      <c r="F10" s="111">
        <f>ROUND(H10/E$13,-2)</f>
        <v>2400</v>
      </c>
      <c r="G10" s="112">
        <f>F10/F9</f>
        <v>0.11009174311926606</v>
      </c>
      <c r="H10" s="113">
        <f>'Tab1'!B5</f>
        <v>2600</v>
      </c>
    </row>
    <row r="11" spans="3:8" ht="16" thickTop="1"/>
    <row r="13" spans="3:8">
      <c r="D13" s="122" t="s">
        <v>131</v>
      </c>
      <c r="E13" s="41">
        <v>1.1000000000000001</v>
      </c>
      <c r="F13" s="41" t="s">
        <v>20</v>
      </c>
    </row>
  </sheetData>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B2:J44"/>
  <sheetViews>
    <sheetView workbookViewId="0">
      <selection activeCell="B3" sqref="B3:H6"/>
    </sheetView>
  </sheetViews>
  <sheetFormatPr baseColWidth="10" defaultRowHeight="12" x14ac:dyDescent="0"/>
  <cols>
    <col min="1" max="1" width="17.5" style="43" customWidth="1"/>
    <col min="2" max="2" width="25" style="43" customWidth="1"/>
    <col min="3" max="3" width="5.6640625" style="43" customWidth="1"/>
    <col min="4" max="4" width="22.6640625" style="43" customWidth="1"/>
    <col min="5" max="5" width="5.6640625" style="43" customWidth="1"/>
    <col min="6" max="6" width="22.6640625" style="43" customWidth="1"/>
    <col min="7" max="7" width="5.6640625" style="43" customWidth="1"/>
    <col min="8" max="8" width="22.6640625" style="43" customWidth="1"/>
    <col min="9" max="10" width="20.6640625" style="43" customWidth="1"/>
    <col min="11" max="16384" width="10.83203125" style="43"/>
  </cols>
  <sheetData>
    <row r="2" spans="2:10" ht="13" thickBot="1">
      <c r="B2" s="42"/>
      <c r="C2" s="42"/>
      <c r="D2" s="42"/>
      <c r="E2" s="42"/>
      <c r="F2" s="42"/>
      <c r="G2" s="42"/>
      <c r="H2" s="42"/>
    </row>
    <row r="3" spans="2:10" ht="13" customHeight="1" thickTop="1">
      <c r="B3" s="202" t="s">
        <v>147</v>
      </c>
      <c r="C3" s="202"/>
      <c r="D3" s="202"/>
      <c r="E3" s="202"/>
      <c r="F3" s="202"/>
      <c r="G3" s="202"/>
      <c r="H3" s="202"/>
    </row>
    <row r="4" spans="2:10" ht="12" customHeight="1">
      <c r="B4" s="203"/>
      <c r="C4" s="203"/>
      <c r="D4" s="203"/>
      <c r="E4" s="203"/>
      <c r="F4" s="203"/>
      <c r="G4" s="203"/>
      <c r="H4" s="203"/>
      <c r="J4" s="64"/>
    </row>
    <row r="5" spans="2:10" ht="12" customHeight="1">
      <c r="B5" s="203"/>
      <c r="C5" s="203"/>
      <c r="D5" s="203"/>
      <c r="E5" s="203"/>
      <c r="F5" s="203"/>
      <c r="G5" s="203"/>
      <c r="H5" s="203"/>
      <c r="J5" s="64"/>
    </row>
    <row r="6" spans="2:10" ht="12" customHeight="1">
      <c r="B6" s="204"/>
      <c r="C6" s="204"/>
      <c r="D6" s="204"/>
      <c r="E6" s="204"/>
      <c r="F6" s="204"/>
      <c r="G6" s="204"/>
      <c r="H6" s="204"/>
    </row>
    <row r="7" spans="2:10" ht="12" hidden="1" customHeight="1">
      <c r="B7" s="234" t="s">
        <v>30</v>
      </c>
      <c r="C7" s="234"/>
      <c r="D7" s="234"/>
      <c r="E7" s="234"/>
      <c r="F7" s="234"/>
      <c r="G7" s="234"/>
      <c r="H7" s="234"/>
    </row>
    <row r="8" spans="2:10" ht="12" hidden="1" customHeight="1">
      <c r="B8" s="235"/>
      <c r="C8" s="235"/>
      <c r="D8" s="235"/>
      <c r="E8" s="235"/>
      <c r="F8" s="235"/>
      <c r="G8" s="235"/>
      <c r="H8" s="235"/>
    </row>
    <row r="9" spans="2:10" ht="12" hidden="1" customHeight="1">
      <c r="B9" s="235"/>
      <c r="C9" s="235"/>
      <c r="D9" s="235"/>
      <c r="E9" s="235"/>
      <c r="F9" s="235"/>
      <c r="G9" s="235"/>
      <c r="H9" s="235"/>
    </row>
    <row r="10" spans="2:10" ht="12" hidden="1" customHeight="1">
      <c r="B10" s="236"/>
      <c r="C10" s="236"/>
      <c r="D10" s="236"/>
      <c r="E10" s="236"/>
      <c r="F10" s="236"/>
      <c r="G10" s="236"/>
      <c r="H10" s="236"/>
    </row>
    <row r="11" spans="2:10" ht="24" customHeight="1" thickBot="1">
      <c r="B11" s="65"/>
      <c r="C11" s="65"/>
      <c r="D11" s="65"/>
      <c r="E11" s="65"/>
      <c r="F11" s="65"/>
      <c r="G11" s="65"/>
      <c r="H11" s="65"/>
    </row>
    <row r="12" spans="2:10" ht="16" customHeight="1">
      <c r="B12" s="225" t="s">
        <v>56</v>
      </c>
      <c r="C12" s="226"/>
      <c r="D12" s="226"/>
      <c r="E12" s="226"/>
      <c r="F12" s="226"/>
      <c r="G12" s="226"/>
      <c r="H12" s="227"/>
    </row>
    <row r="13" spans="2:10" ht="16" customHeight="1">
      <c r="B13" s="228"/>
      <c r="C13" s="229"/>
      <c r="D13" s="229"/>
      <c r="E13" s="229"/>
      <c r="F13" s="229"/>
      <c r="G13" s="229"/>
      <c r="H13" s="230"/>
      <c r="J13" s="43">
        <f>5800*1.3</f>
        <v>7540</v>
      </c>
    </row>
    <row r="14" spans="2:10" ht="16" customHeight="1">
      <c r="B14" s="228"/>
      <c r="C14" s="229"/>
      <c r="D14" s="229"/>
      <c r="E14" s="229"/>
      <c r="F14" s="229"/>
      <c r="G14" s="229"/>
      <c r="H14" s="230"/>
      <c r="J14" s="43">
        <f>J13*0.2</f>
        <v>1508</v>
      </c>
    </row>
    <row r="15" spans="2:10" ht="16" customHeight="1" thickBot="1">
      <c r="B15" s="231"/>
      <c r="C15" s="232"/>
      <c r="D15" s="232"/>
      <c r="E15" s="232"/>
      <c r="F15" s="232"/>
      <c r="G15" s="232"/>
      <c r="H15" s="233"/>
    </row>
    <row r="16" spans="2:10" ht="16" customHeight="1">
      <c r="B16" s="173"/>
      <c r="C16" s="173"/>
      <c r="D16" s="173"/>
      <c r="E16" s="173"/>
      <c r="F16" s="173"/>
      <c r="G16" s="173"/>
      <c r="H16" s="173"/>
    </row>
    <row r="17" spans="2:10" ht="16" customHeight="1" thickBot="1">
      <c r="B17" s="173"/>
      <c r="C17" s="173"/>
      <c r="D17" s="65"/>
      <c r="E17" s="172"/>
      <c r="F17" s="65"/>
      <c r="G17" s="65"/>
      <c r="H17" s="65"/>
    </row>
    <row r="18" spans="2:10" ht="16" customHeight="1">
      <c r="B18" s="237" t="s">
        <v>36</v>
      </c>
      <c r="C18" s="174"/>
      <c r="D18" s="239" t="s">
        <v>134</v>
      </c>
      <c r="E18" s="240"/>
      <c r="F18" s="240"/>
      <c r="G18" s="240"/>
      <c r="H18" s="241"/>
    </row>
    <row r="19" spans="2:10" ht="16" customHeight="1">
      <c r="B19" s="216"/>
      <c r="C19" s="173"/>
      <c r="D19" s="242"/>
      <c r="E19" s="243"/>
      <c r="F19" s="243"/>
      <c r="G19" s="243"/>
      <c r="H19" s="244"/>
    </row>
    <row r="20" spans="2:10" ht="16" customHeight="1">
      <c r="B20" s="216"/>
      <c r="C20" s="173"/>
      <c r="D20" s="242"/>
      <c r="E20" s="243"/>
      <c r="F20" s="243"/>
      <c r="G20" s="243"/>
      <c r="H20" s="244"/>
    </row>
    <row r="21" spans="2:10" ht="16" customHeight="1" thickBot="1">
      <c r="B21" s="238"/>
      <c r="C21" s="173"/>
      <c r="D21" s="245"/>
      <c r="E21" s="246"/>
      <c r="F21" s="246"/>
      <c r="G21" s="246"/>
      <c r="H21" s="247"/>
    </row>
    <row r="22" spans="2:10" ht="16" customHeight="1">
      <c r="B22" s="173"/>
      <c r="C22" s="173"/>
      <c r="D22" s="65"/>
      <c r="E22" s="172"/>
      <c r="F22" s="65"/>
      <c r="G22" s="65"/>
      <c r="H22" s="65"/>
    </row>
    <row r="23" spans="2:10" ht="16" customHeight="1" thickBot="1">
      <c r="B23" s="173"/>
      <c r="C23" s="173"/>
      <c r="D23" s="65"/>
      <c r="E23" s="172"/>
      <c r="F23" s="65"/>
      <c r="G23" s="65"/>
      <c r="H23" s="65"/>
    </row>
    <row r="24" spans="2:10" ht="16" customHeight="1">
      <c r="B24" s="173"/>
      <c r="C24" s="173"/>
      <c r="D24" s="239" t="s">
        <v>137</v>
      </c>
      <c r="E24" s="240"/>
      <c r="F24" s="240"/>
      <c r="G24" s="240"/>
      <c r="H24" s="241"/>
    </row>
    <row r="25" spans="2:10" ht="16" customHeight="1">
      <c r="B25" s="173"/>
      <c r="C25" s="173"/>
      <c r="D25" s="242"/>
      <c r="E25" s="243"/>
      <c r="F25" s="243"/>
      <c r="G25" s="243"/>
      <c r="H25" s="244"/>
    </row>
    <row r="26" spans="2:10" ht="16" customHeight="1">
      <c r="B26" s="173"/>
      <c r="C26" s="173"/>
      <c r="D26" s="242"/>
      <c r="E26" s="243"/>
      <c r="F26" s="243"/>
      <c r="G26" s="243"/>
      <c r="H26" s="244"/>
      <c r="J26" s="43">
        <f>130*1.3</f>
        <v>169</v>
      </c>
    </row>
    <row r="27" spans="2:10" ht="16" customHeight="1" thickBot="1">
      <c r="B27" s="173"/>
      <c r="C27" s="173"/>
      <c r="D27" s="245"/>
      <c r="E27" s="246"/>
      <c r="F27" s="246"/>
      <c r="G27" s="246"/>
      <c r="H27" s="247"/>
    </row>
    <row r="28" spans="2:10" ht="16" customHeight="1">
      <c r="B28" s="173"/>
      <c r="C28" s="173"/>
      <c r="D28" s="65"/>
      <c r="E28" s="172"/>
      <c r="F28" s="65"/>
      <c r="G28" s="65"/>
      <c r="H28" s="65"/>
    </row>
    <row r="29" spans="2:10" ht="16" customHeight="1" thickBot="1">
      <c r="B29" s="173"/>
      <c r="C29" s="173"/>
      <c r="D29" s="65"/>
      <c r="E29" s="172"/>
      <c r="F29" s="65"/>
      <c r="G29" s="65"/>
      <c r="H29" s="65"/>
    </row>
    <row r="30" spans="2:10" ht="16" customHeight="1">
      <c r="B30" s="173"/>
      <c r="C30" s="173"/>
      <c r="D30" s="222" t="s">
        <v>135</v>
      </c>
      <c r="E30" s="172"/>
      <c r="F30" s="222" t="s">
        <v>35</v>
      </c>
      <c r="G30" s="65"/>
      <c r="H30" s="222" t="s">
        <v>136</v>
      </c>
    </row>
    <row r="31" spans="2:10" ht="16" customHeight="1">
      <c r="B31" s="173"/>
      <c r="C31" s="173"/>
      <c r="D31" s="223"/>
      <c r="E31" s="172"/>
      <c r="F31" s="223"/>
      <c r="G31" s="65"/>
      <c r="H31" s="223"/>
    </row>
    <row r="32" spans="2:10" ht="16" customHeight="1">
      <c r="B32" s="173"/>
      <c r="C32" s="173"/>
      <c r="D32" s="223"/>
      <c r="E32" s="172"/>
      <c r="F32" s="223"/>
      <c r="G32" s="65"/>
      <c r="H32" s="223"/>
    </row>
    <row r="33" spans="2:10" ht="16" customHeight="1">
      <c r="B33" s="173"/>
      <c r="C33" s="173"/>
      <c r="D33" s="223"/>
      <c r="E33" s="172"/>
      <c r="F33" s="223"/>
      <c r="G33" s="65"/>
      <c r="H33" s="223"/>
    </row>
    <row r="34" spans="2:10" ht="16" customHeight="1">
      <c r="B34" s="173"/>
      <c r="C34" s="173"/>
      <c r="D34" s="223"/>
      <c r="E34" s="172"/>
      <c r="F34" s="223"/>
      <c r="G34" s="65"/>
      <c r="H34" s="223"/>
    </row>
    <row r="35" spans="2:10" ht="16" customHeight="1">
      <c r="B35" s="173"/>
      <c r="C35" s="173"/>
      <c r="D35" s="223"/>
      <c r="E35" s="172"/>
      <c r="F35" s="223"/>
      <c r="G35" s="65"/>
      <c r="H35" s="223"/>
    </row>
    <row r="36" spans="2:10" ht="16" customHeight="1">
      <c r="B36" s="173"/>
      <c r="C36" s="173"/>
      <c r="D36" s="223"/>
      <c r="E36" s="172"/>
      <c r="F36" s="223"/>
      <c r="G36" s="65"/>
      <c r="H36" s="223"/>
    </row>
    <row r="37" spans="2:10" ht="16" customHeight="1">
      <c r="B37" s="173"/>
      <c r="C37" s="173"/>
      <c r="D37" s="223"/>
      <c r="E37" s="172"/>
      <c r="F37" s="223"/>
      <c r="G37" s="65"/>
      <c r="H37" s="223"/>
      <c r="J37" s="43">
        <f>80*1.3</f>
        <v>104</v>
      </c>
    </row>
    <row r="38" spans="2:10" ht="16" customHeight="1">
      <c r="B38" s="173"/>
      <c r="C38" s="173"/>
      <c r="D38" s="223"/>
      <c r="E38" s="172"/>
      <c r="F38" s="223"/>
      <c r="G38" s="65"/>
      <c r="H38" s="223"/>
      <c r="J38" s="43">
        <f>45*1.3</f>
        <v>58.5</v>
      </c>
    </row>
    <row r="39" spans="2:10" ht="16" customHeight="1">
      <c r="B39" s="173"/>
      <c r="C39" s="173"/>
      <c r="D39" s="223"/>
      <c r="E39" s="172"/>
      <c r="F39" s="223"/>
      <c r="G39" s="65"/>
      <c r="H39" s="223"/>
      <c r="J39" s="43">
        <f>5*1.3</f>
        <v>6.5</v>
      </c>
    </row>
    <row r="40" spans="2:10" ht="16" customHeight="1">
      <c r="B40" s="173"/>
      <c r="C40" s="173"/>
      <c r="D40" s="223"/>
      <c r="E40" s="172"/>
      <c r="F40" s="223"/>
      <c r="G40" s="65"/>
      <c r="H40" s="223"/>
    </row>
    <row r="41" spans="2:10" ht="16" customHeight="1" thickBot="1">
      <c r="B41" s="173"/>
      <c r="C41" s="173"/>
      <c r="D41" s="224"/>
      <c r="E41" s="172"/>
      <c r="F41" s="224"/>
      <c r="G41" s="65"/>
      <c r="H41" s="224"/>
    </row>
    <row r="42" spans="2:10" ht="24" customHeight="1">
      <c r="B42" s="75"/>
      <c r="C42" s="75"/>
      <c r="D42" s="66"/>
      <c r="E42" s="66"/>
      <c r="F42" s="66"/>
      <c r="G42" s="66"/>
      <c r="H42" s="66"/>
    </row>
    <row r="43" spans="2:10" ht="7" customHeight="1" thickBot="1">
      <c r="B43" s="73"/>
      <c r="C43" s="73"/>
      <c r="D43" s="73"/>
      <c r="E43" s="73"/>
      <c r="F43" s="73"/>
      <c r="G43" s="73"/>
      <c r="H43" s="73"/>
    </row>
    <row r="44" spans="2:10" ht="13" thickTop="1"/>
  </sheetData>
  <mergeCells count="9">
    <mergeCell ref="D30:D41"/>
    <mergeCell ref="H30:H41"/>
    <mergeCell ref="F30:F41"/>
    <mergeCell ref="B12:H15"/>
    <mergeCell ref="B3:H6"/>
    <mergeCell ref="B7:H10"/>
    <mergeCell ref="B18:B21"/>
    <mergeCell ref="D18:H21"/>
    <mergeCell ref="D24:H27"/>
  </mergeCells>
  <printOptions horizontalCentered="1" verticalCentered="1"/>
  <pageMargins left="0.79000000000000015" right="0.79000000000000015" top="0.98" bottom="0.98" header="0.51" footer="0.51"/>
  <pageSetup paperSize="9" scale="77" orientation="landscape"/>
  <drawing r:id="rId1"/>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9"/>
  <sheetViews>
    <sheetView topLeftCell="A2" workbookViewId="0">
      <pane xSplit="1" ySplit="3" topLeftCell="B5" activePane="bottomRight" state="frozen"/>
      <selection activeCell="A2" sqref="A2"/>
      <selection pane="topRight" activeCell="A2" sqref="A2"/>
      <selection pane="bottomLeft" activeCell="A2" sqref="A2"/>
      <selection pane="bottomRight" activeCell="B13" sqref="B13"/>
    </sheetView>
  </sheetViews>
  <sheetFormatPr baseColWidth="10" defaultRowHeight="15" x14ac:dyDescent="0"/>
  <cols>
    <col min="1" max="1" width="16.33203125" style="140" customWidth="1"/>
    <col min="2" max="3" width="12.83203125" style="140" customWidth="1"/>
    <col min="4" max="4" width="12.83203125" style="141" customWidth="1"/>
    <col min="5" max="5" width="10.83203125" style="141"/>
    <col min="6" max="16384" width="10.83203125" style="140"/>
  </cols>
  <sheetData>
    <row r="3" spans="1:13" ht="16" thickBot="1">
      <c r="G3" s="142"/>
    </row>
    <row r="4" spans="1:13" s="144" customFormat="1" ht="89" customHeight="1" thickTop="1">
      <c r="A4" s="143"/>
      <c r="B4" s="143" t="s">
        <v>112</v>
      </c>
      <c r="C4" s="143" t="s">
        <v>113</v>
      </c>
      <c r="D4" s="143" t="s">
        <v>114</v>
      </c>
      <c r="J4" s="145" t="s">
        <v>115</v>
      </c>
      <c r="K4" s="145" t="s">
        <v>116</v>
      </c>
      <c r="L4" s="145" t="s">
        <v>117</v>
      </c>
      <c r="M4" s="145" t="s">
        <v>118</v>
      </c>
    </row>
    <row r="5" spans="1:13" ht="18" customHeight="1">
      <c r="A5" s="146" t="s">
        <v>16</v>
      </c>
      <c r="B5" s="147">
        <f>ROUND('Data-Fig4_Tab1'!F5,-2)</f>
        <v>2600</v>
      </c>
      <c r="C5" s="148">
        <f>'Data-Fig4_Tab1'!G5*0.08*J13/(J5+'Data-Fig4_Tab1'!G5*0.08*J13)</f>
        <v>9.8715124830043202E-2</v>
      </c>
      <c r="D5" s="147">
        <f>ROUND('Data-Fig4_Tab1'!N5*D$13,0)</f>
        <v>78</v>
      </c>
      <c r="J5" s="149">
        <v>23980</v>
      </c>
      <c r="K5" s="150"/>
      <c r="L5" s="150"/>
      <c r="M5" s="150">
        <f>583.373-M11</f>
        <v>473.00800000000004</v>
      </c>
    </row>
    <row r="6" spans="1:13" ht="18" customHeight="1">
      <c r="A6" s="171" t="s">
        <v>119</v>
      </c>
      <c r="B6" s="151">
        <f>ROUND('Data-Fig4_Tab1'!F22,-2)</f>
        <v>1200</v>
      </c>
      <c r="C6" s="152">
        <f>'Data-Fig4_Tab1'!G22*0.08*J13/(J6+'Data-Fig4_Tab1'!G22*0.08*J13)</f>
        <v>3.5031864046559197E-2</v>
      </c>
      <c r="D6" s="151">
        <f>ROUND('Data-Fig4_Tab1'!N22*D$13,0)</f>
        <v>35</v>
      </c>
      <c r="J6" s="149">
        <v>33296.920479164612</v>
      </c>
      <c r="K6" s="150"/>
      <c r="L6" s="150"/>
      <c r="M6" s="150">
        <v>239</v>
      </c>
    </row>
    <row r="7" spans="1:13" ht="18" customHeight="1">
      <c r="A7" s="171" t="s">
        <v>26</v>
      </c>
      <c r="B7" s="151">
        <f>ROUND('Data-Fig4_Tab1'!F19,-2)</f>
        <v>1300</v>
      </c>
      <c r="C7" s="153">
        <f>'Data-Fig4_Tab1'!G19*0.08*J13/(J7+'Data-Fig4_Tab1'!G19*0.08*J13)</f>
        <v>4.1725283337256752E-2</v>
      </c>
      <c r="D7" s="151">
        <f>ROUND('Data-Fig4_Tab1'!N19*D$13,0)</f>
        <v>34</v>
      </c>
      <c r="J7" s="149">
        <f t="shared" ref="J7:J12" si="0">(K7-L7)*M7/1000</f>
        <v>29779.117999999999</v>
      </c>
      <c r="K7" s="150">
        <f>(26019*1107+10752*998+700*768)/M7</f>
        <v>14065.177819274402</v>
      </c>
      <c r="L7" s="150">
        <f>(7827*1107+1403*998+296*768)/M7</f>
        <v>3612.5501937549138</v>
      </c>
      <c r="M7" s="150">
        <f>1107+998+768-M12</f>
        <v>2848.96</v>
      </c>
    </row>
    <row r="8" spans="1:13" ht="18" customHeight="1">
      <c r="A8" s="171" t="s">
        <v>59</v>
      </c>
      <c r="B8" s="154">
        <f>ROUND('Data-Fig4_Tab1'!F20,-2)</f>
        <v>700</v>
      </c>
      <c r="C8" s="153">
        <f>'Data-Fig4_Tab1'!G20*0.08*J13/(J8+'Data-Fig4_Tab1'!G20*0.08*J13)</f>
        <v>0.21649440347990534</v>
      </c>
      <c r="D8" s="154">
        <f>ROUND('Data-Fig4_Tab1'!N20*D$13,0)</f>
        <v>21</v>
      </c>
      <c r="J8" s="149">
        <f t="shared" si="0"/>
        <v>2626.4189999999999</v>
      </c>
      <c r="K8" s="150">
        <v>10036</v>
      </c>
      <c r="L8" s="150">
        <v>3353</v>
      </c>
      <c r="M8" s="150">
        <v>393</v>
      </c>
    </row>
    <row r="9" spans="1:13" ht="18" customHeight="1">
      <c r="A9" s="171" t="s">
        <v>15</v>
      </c>
      <c r="B9" s="154">
        <f>ROUND('Data-Fig4_Tab1'!F21,-2)</f>
        <v>500</v>
      </c>
      <c r="C9" s="153">
        <f>'Data-Fig4_Tab1'!G21*0.08*J13/(J9+'Data-Fig4_Tab1'!G21*0.08*J13)</f>
        <v>0.298962171759517</v>
      </c>
      <c r="D9" s="154">
        <f>ROUND('Data-Fig4_Tab1'!N21*D$13,0)</f>
        <v>14</v>
      </c>
      <c r="J9" s="149">
        <f t="shared" si="0"/>
        <v>1164.3499999999999</v>
      </c>
      <c r="K9" s="150">
        <v>2629</v>
      </c>
      <c r="L9" s="150">
        <v>512</v>
      </c>
      <c r="M9" s="150">
        <v>550</v>
      </c>
    </row>
    <row r="10" spans="1:13" ht="18" customHeight="1">
      <c r="A10" s="171" t="s">
        <v>78</v>
      </c>
      <c r="B10" s="154">
        <f>ROUND('Data-Fig4_Tab1'!F23,-2)</f>
        <v>300</v>
      </c>
      <c r="C10" s="153">
        <f>'Data-Fig4_Tab1'!G23*0.08*J13/(J10+'Data-Fig4_Tab1'!G23*0.08*J13)</f>
        <v>9.2044984774410601E-2</v>
      </c>
      <c r="D10" s="154">
        <f>ROUND('Data-Fig4_Tab1'!N23*D$13,0)</f>
        <v>6</v>
      </c>
      <c r="J10" s="149">
        <f t="shared" si="0"/>
        <v>2814.9659999999999</v>
      </c>
      <c r="K10" s="150">
        <v>166409</v>
      </c>
      <c r="L10" s="150">
        <v>62151</v>
      </c>
      <c r="M10" s="150">
        <v>27</v>
      </c>
    </row>
    <row r="11" spans="1:13" ht="18" customHeight="1">
      <c r="A11" s="171" t="s">
        <v>60</v>
      </c>
      <c r="B11" s="154">
        <f>ROUND('Data-Fig4_Tab1'!F24,-2)</f>
        <v>200</v>
      </c>
      <c r="C11" s="152">
        <f>'Data-Fig4_Tab1'!G24*0.08*J13/(J11+'Data-Fig4_Tab1'!G24*0.08*J13)</f>
        <v>0.51802588242796033</v>
      </c>
      <c r="D11" s="154">
        <f>ROUND('Data-Fig4_Tab1'!N24*D$13,0)</f>
        <v>1</v>
      </c>
      <c r="J11" s="149">
        <f t="shared" si="0"/>
        <v>213.22517999999999</v>
      </c>
      <c r="K11" s="150">
        <v>4484</v>
      </c>
      <c r="L11" s="150">
        <v>2552</v>
      </c>
      <c r="M11" s="150">
        <v>110.36499999999999</v>
      </c>
    </row>
    <row r="12" spans="1:13" ht="18" customHeight="1">
      <c r="A12" s="171" t="s">
        <v>58</v>
      </c>
      <c r="B12" s="154">
        <v>800</v>
      </c>
      <c r="C12" s="153">
        <f>'Data-Fig4_Tab1'!G18*0.08*J13/(J12+'Data-Fig4_Tab1'!G18*0.08*J13)</f>
        <v>0.56805770148664603</v>
      </c>
      <c r="D12" s="154">
        <f>ROUND('Data-Fig4_Tab1'!N18*D$13,0)</f>
        <v>0</v>
      </c>
      <c r="J12" s="149">
        <f t="shared" si="0"/>
        <v>580.86908100000005</v>
      </c>
      <c r="K12" s="150">
        <f>(16.694*19652+1.278*99415+2.291*64918+3.777*83377)/M12</f>
        <v>38218.174916805321</v>
      </c>
      <c r="L12" s="150">
        <f>(16.694*5862+1.278*18652+2.291*23631+3.777*42907)/M12</f>
        <v>14055.567554076539</v>
      </c>
      <c r="M12" s="150">
        <f>16.694+1.278+2.291+3.777</f>
        <v>24.04</v>
      </c>
    </row>
    <row r="13" spans="1:13" s="159" customFormat="1" ht="32" customHeight="1" thickBot="1">
      <c r="A13" s="155" t="s">
        <v>17</v>
      </c>
      <c r="B13" s="156">
        <f>ROUND(0.08*J13,-2)</f>
        <v>7600</v>
      </c>
      <c r="C13" s="157">
        <f>B13/J13</f>
        <v>7.9590017825311943E-2</v>
      </c>
      <c r="D13" s="158">
        <f>ROUND(0.08*J13*'Data-Fig4_Tab1'!M25/'Data-Fig4_Tab1'!F25,-1)</f>
        <v>190</v>
      </c>
      <c r="J13" s="149">
        <f>'Data-Fig3'!H4</f>
        <v>95489.361702127659</v>
      </c>
      <c r="K13" s="149"/>
      <c r="L13" s="149"/>
      <c r="M13" s="149"/>
    </row>
    <row r="14" spans="1:13" ht="16" customHeight="1" thickTop="1">
      <c r="H14" s="160"/>
      <c r="I14" s="160"/>
      <c r="J14" s="160"/>
    </row>
    <row r="15" spans="1:13" ht="15" customHeight="1">
      <c r="G15" s="160"/>
      <c r="H15" s="160"/>
      <c r="I15" s="160"/>
      <c r="J15" s="248" t="s">
        <v>120</v>
      </c>
      <c r="K15" s="249"/>
      <c r="L15" s="249"/>
      <c r="M15" s="250"/>
    </row>
    <row r="16" spans="1:13">
      <c r="J16" s="251"/>
      <c r="K16" s="252"/>
      <c r="L16" s="252"/>
      <c r="M16" s="253"/>
    </row>
    <row r="17" spans="2:13">
      <c r="J17" s="254"/>
      <c r="K17" s="255"/>
      <c r="L17" s="255"/>
      <c r="M17" s="256"/>
    </row>
    <row r="19" spans="2:13">
      <c r="B19" s="141"/>
    </row>
  </sheetData>
  <mergeCells count="1">
    <mergeCell ref="J15:M17"/>
  </mergeCells>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32"/>
  <sheetViews>
    <sheetView topLeftCell="A2" workbookViewId="0">
      <pane xSplit="1" ySplit="3" topLeftCell="B5" activePane="bottomRight" state="frozen"/>
      <selection activeCell="A2" sqref="A2"/>
      <selection pane="topRight" activeCell="B2" sqref="B2"/>
      <selection pane="bottomLeft" activeCell="A4" sqref="A4"/>
      <selection pane="bottomRight" activeCell="E5" sqref="E5"/>
    </sheetView>
  </sheetViews>
  <sheetFormatPr baseColWidth="10" defaultRowHeight="15" x14ac:dyDescent="0"/>
  <cols>
    <col min="1" max="1" width="16.33203125" style="52" customWidth="1"/>
    <col min="2" max="19" width="11" style="52" customWidth="1"/>
    <col min="20" max="16384" width="10.83203125" style="52"/>
  </cols>
  <sheetData>
    <row r="2" spans="1:19">
      <c r="O2" s="52" t="s">
        <v>22</v>
      </c>
      <c r="P2" s="52" t="s">
        <v>21</v>
      </c>
    </row>
    <row r="3" spans="1:19">
      <c r="O3" s="47">
        <v>0.08</v>
      </c>
      <c r="P3" s="53">
        <v>0.03</v>
      </c>
    </row>
    <row r="4" spans="1:19" s="54" customFormat="1" ht="118" customHeight="1">
      <c r="B4" s="136" t="s">
        <v>96</v>
      </c>
      <c r="C4" s="132" t="s">
        <v>98</v>
      </c>
      <c r="D4" s="132" t="s">
        <v>97</v>
      </c>
      <c r="E4" s="132" t="s">
        <v>98</v>
      </c>
      <c r="F4" s="132" t="s">
        <v>99</v>
      </c>
      <c r="G4" s="132" t="s">
        <v>100</v>
      </c>
      <c r="H4" s="132" t="s">
        <v>101</v>
      </c>
      <c r="I4" s="132" t="s">
        <v>102</v>
      </c>
      <c r="J4" s="132" t="s">
        <v>103</v>
      </c>
      <c r="K4" s="46" t="s">
        <v>104</v>
      </c>
      <c r="L4" s="132" t="s">
        <v>105</v>
      </c>
      <c r="M4" s="132" t="s">
        <v>106</v>
      </c>
      <c r="N4" s="132" t="s">
        <v>100</v>
      </c>
      <c r="O4" s="132" t="s">
        <v>107</v>
      </c>
      <c r="P4" s="132" t="s">
        <v>108</v>
      </c>
      <c r="Q4" s="132" t="s">
        <v>109</v>
      </c>
      <c r="R4" s="132" t="s">
        <v>110</v>
      </c>
      <c r="S4" s="132" t="s">
        <v>111</v>
      </c>
    </row>
    <row r="5" spans="1:19">
      <c r="A5" s="52" t="s">
        <v>16</v>
      </c>
      <c r="B5" s="49">
        <f>C5*DataFig2!B$24</f>
        <v>1288.0000000000002</v>
      </c>
      <c r="C5" s="48">
        <f>DataFig2!C4</f>
        <v>0.56000000000000005</v>
      </c>
      <c r="D5" s="49">
        <f t="shared" ref="D5:D21" si="0">E5*D$25</f>
        <v>1325</v>
      </c>
      <c r="E5" s="163">
        <v>0.25</v>
      </c>
      <c r="F5" s="49">
        <f t="shared" ref="F5:F24" si="1">B5+D5</f>
        <v>2613</v>
      </c>
      <c r="G5" s="48">
        <f t="shared" ref="G5:G21" si="2">F5/F$25</f>
        <v>0.34381578947368419</v>
      </c>
      <c r="H5" s="139">
        <v>0.2</v>
      </c>
      <c r="I5" s="49">
        <f t="shared" ref="I5:I21" si="3">(1-H5)*F5</f>
        <v>2090.4</v>
      </c>
      <c r="J5" s="48"/>
      <c r="M5" s="49">
        <f t="shared" ref="M5:M21" si="4">O5+P5+Q5</f>
        <v>77.991690863918706</v>
      </c>
      <c r="N5" s="48">
        <f t="shared" ref="N5:N25" si="5">M5/M$25</f>
        <v>0.41180645849426517</v>
      </c>
      <c r="O5" s="49">
        <f>SUM(O6:O17)</f>
        <v>48.196998938452865</v>
      </c>
      <c r="P5" s="49">
        <f>SUM(P6:P17)</f>
        <v>19.310232298136643</v>
      </c>
      <c r="Q5" s="49">
        <f>SUM(Q6:Q17)</f>
        <v>10.484459627329194</v>
      </c>
      <c r="R5" s="49">
        <f>(O5+Q5)</f>
        <v>58.681458565782059</v>
      </c>
      <c r="S5" s="48">
        <f t="shared" ref="S5:S17" si="6">R5/(O$3*I5)</f>
        <v>0.35089850367024289</v>
      </c>
    </row>
    <row r="6" spans="1:19">
      <c r="A6" s="133" t="s">
        <v>62</v>
      </c>
      <c r="B6" s="49">
        <f>C6*DataFig2!B$24</f>
        <v>260</v>
      </c>
      <c r="C6" s="48">
        <f>DataFig2!C5</f>
        <v>0.11304347826086956</v>
      </c>
      <c r="D6" s="49">
        <f t="shared" si="0"/>
        <v>267.46894409937886</v>
      </c>
      <c r="E6" s="163">
        <f>E$5*C6/C$5</f>
        <v>5.0465838509316768E-2</v>
      </c>
      <c r="F6" s="49">
        <f t="shared" si="1"/>
        <v>527.46894409937886</v>
      </c>
      <c r="G6" s="48">
        <f t="shared" si="2"/>
        <v>6.94038084341288E-2</v>
      </c>
      <c r="H6" s="139">
        <v>0.2</v>
      </c>
      <c r="I6" s="49">
        <f t="shared" si="3"/>
        <v>421.9751552795031</v>
      </c>
      <c r="J6" s="48">
        <v>0.26400000000000001</v>
      </c>
      <c r="K6" s="53">
        <v>0.3</v>
      </c>
      <c r="L6" s="53">
        <v>0</v>
      </c>
      <c r="M6" s="49">
        <f t="shared" si="4"/>
        <v>12.709891677018632</v>
      </c>
      <c r="N6" s="48">
        <f t="shared" si="5"/>
        <v>6.7109911599316174E-2</v>
      </c>
      <c r="O6" s="49">
        <f t="shared" ref="O6:O21" si="7">O$3*J6*I6</f>
        <v>8.9121152795031051</v>
      </c>
      <c r="P6" s="49">
        <f t="shared" ref="P6:P21" si="8">I6*P$3*K6</f>
        <v>3.7977763975155279</v>
      </c>
      <c r="Q6" s="49">
        <f t="shared" ref="Q6:Q21" si="9">L6*I6</f>
        <v>0</v>
      </c>
      <c r="R6" s="49">
        <f t="shared" ref="R6:R25" si="10">(O6+Q6)</f>
        <v>8.9121152795031051</v>
      </c>
      <c r="S6" s="48">
        <f t="shared" si="6"/>
        <v>0.26400000000000001</v>
      </c>
    </row>
    <row r="7" spans="1:19">
      <c r="A7" s="133" t="s">
        <v>63</v>
      </c>
      <c r="B7" s="49">
        <f>C7*DataFig2!B$24</f>
        <v>240</v>
      </c>
      <c r="C7" s="48">
        <f>DataFig2!C6</f>
        <v>0.10434782608695652</v>
      </c>
      <c r="D7" s="49">
        <f t="shared" si="0"/>
        <v>246.89440993788816</v>
      </c>
      <c r="E7" s="163">
        <f t="shared" ref="E7:E17" si="11">E$5*C7/C$5</f>
        <v>4.6583850931677009E-2</v>
      </c>
      <c r="F7" s="49">
        <f t="shared" si="1"/>
        <v>486.89440993788816</v>
      </c>
      <c r="G7" s="48">
        <f t="shared" si="2"/>
        <v>6.4065053939195815E-2</v>
      </c>
      <c r="H7" s="139">
        <v>0.2</v>
      </c>
      <c r="I7" s="49">
        <f t="shared" si="3"/>
        <v>389.51552795031057</v>
      </c>
      <c r="J7" s="57">
        <v>0.44</v>
      </c>
      <c r="K7" s="53">
        <v>0.45</v>
      </c>
      <c r="L7" s="55">
        <v>1.4999999999999999E-2</v>
      </c>
      <c r="M7" s="49">
        <f t="shared" si="4"/>
        <v>24.812139130434783</v>
      </c>
      <c r="N7" s="48">
        <f t="shared" si="5"/>
        <v>0.13101138120982045</v>
      </c>
      <c r="O7" s="49">
        <f t="shared" si="7"/>
        <v>13.710946583850934</v>
      </c>
      <c r="P7" s="49">
        <f t="shared" si="8"/>
        <v>5.2584596273291924</v>
      </c>
      <c r="Q7" s="49">
        <f t="shared" si="9"/>
        <v>5.842732919254658</v>
      </c>
      <c r="R7" s="49">
        <f t="shared" si="10"/>
        <v>19.553679503105592</v>
      </c>
      <c r="S7" s="48">
        <f t="shared" si="6"/>
        <v>0.62749999999999995</v>
      </c>
    </row>
    <row r="8" spans="1:19">
      <c r="A8" s="134" t="s">
        <v>64</v>
      </c>
      <c r="B8" s="49">
        <f>C8*DataFig2!B$24</f>
        <v>140</v>
      </c>
      <c r="C8" s="48">
        <f>DataFig2!C7</f>
        <v>6.0869565217391307E-2</v>
      </c>
      <c r="D8" s="49">
        <f t="shared" si="0"/>
        <v>144.02173913043478</v>
      </c>
      <c r="E8" s="163">
        <f t="shared" si="11"/>
        <v>2.717391304347826E-2</v>
      </c>
      <c r="F8" s="49">
        <f t="shared" si="1"/>
        <v>284.02173913043475</v>
      </c>
      <c r="G8" s="48">
        <f t="shared" si="2"/>
        <v>3.7371281464530885E-2</v>
      </c>
      <c r="H8" s="139">
        <v>0.2</v>
      </c>
      <c r="I8" s="49">
        <f t="shared" si="3"/>
        <v>227.21739130434781</v>
      </c>
      <c r="J8" s="48">
        <v>0.2</v>
      </c>
      <c r="K8" s="53">
        <v>0.04</v>
      </c>
      <c r="L8" s="53">
        <v>0</v>
      </c>
      <c r="M8" s="49">
        <f t="shared" si="4"/>
        <v>3.9081391304347823</v>
      </c>
      <c r="N8" s="48">
        <f t="shared" si="5"/>
        <v>2.0635492278469884E-2</v>
      </c>
      <c r="O8" s="49">
        <f t="shared" si="7"/>
        <v>3.635478260869565</v>
      </c>
      <c r="P8" s="49">
        <f t="shared" si="8"/>
        <v>0.27266086956521735</v>
      </c>
      <c r="Q8" s="49">
        <f t="shared" si="9"/>
        <v>0</v>
      </c>
      <c r="R8" s="49">
        <f t="shared" si="10"/>
        <v>3.635478260869565</v>
      </c>
      <c r="S8" s="48">
        <f t="shared" si="6"/>
        <v>0.2</v>
      </c>
    </row>
    <row r="9" spans="1:19">
      <c r="A9" s="133" t="s">
        <v>65</v>
      </c>
      <c r="B9" s="49">
        <f>C9*DataFig2!B$24</f>
        <v>140</v>
      </c>
      <c r="C9" s="48">
        <f>DataFig2!C8</f>
        <v>6.0869565217391307E-2</v>
      </c>
      <c r="D9" s="49">
        <f t="shared" si="0"/>
        <v>144.02173913043478</v>
      </c>
      <c r="E9" s="163">
        <f t="shared" si="11"/>
        <v>2.717391304347826E-2</v>
      </c>
      <c r="F9" s="49">
        <f t="shared" si="1"/>
        <v>284.02173913043475</v>
      </c>
      <c r="G9" s="48">
        <f t="shared" si="2"/>
        <v>3.7371281464530885E-2</v>
      </c>
      <c r="H9" s="139">
        <v>0.2</v>
      </c>
      <c r="I9" s="49">
        <f t="shared" si="3"/>
        <v>227.21739130434781</v>
      </c>
      <c r="J9" s="48">
        <v>0.30599999999999999</v>
      </c>
      <c r="K9" s="53">
        <v>0.4</v>
      </c>
      <c r="L9" s="53">
        <v>0</v>
      </c>
      <c r="M9" s="49">
        <f t="shared" si="4"/>
        <v>8.2888904347826085</v>
      </c>
      <c r="N9" s="48">
        <f t="shared" si="5"/>
        <v>4.3766439437126825E-2</v>
      </c>
      <c r="O9" s="49">
        <f t="shared" si="7"/>
        <v>5.5622817391304347</v>
      </c>
      <c r="P9" s="49">
        <f t="shared" si="8"/>
        <v>2.7266086956521738</v>
      </c>
      <c r="Q9" s="49">
        <f t="shared" si="9"/>
        <v>0</v>
      </c>
      <c r="R9" s="49">
        <f t="shared" si="10"/>
        <v>5.5622817391304347</v>
      </c>
      <c r="S9" s="48">
        <f t="shared" si="6"/>
        <v>0.30599999999999999</v>
      </c>
    </row>
    <row r="10" spans="1:19">
      <c r="A10" s="133" t="s">
        <v>66</v>
      </c>
      <c r="B10" s="49">
        <f>C10*DataFig2!B$24</f>
        <v>110</v>
      </c>
      <c r="C10" s="48">
        <f>DataFig2!C9</f>
        <v>4.7826086956521741E-2</v>
      </c>
      <c r="D10" s="49">
        <f t="shared" si="0"/>
        <v>113.15993788819875</v>
      </c>
      <c r="E10" s="163">
        <f t="shared" si="11"/>
        <v>2.1350931677018632E-2</v>
      </c>
      <c r="F10" s="49">
        <f t="shared" si="1"/>
        <v>223.15993788819875</v>
      </c>
      <c r="G10" s="48">
        <f t="shared" si="2"/>
        <v>2.9363149722131415E-2</v>
      </c>
      <c r="H10" s="139">
        <v>0.2</v>
      </c>
      <c r="I10" s="49">
        <f t="shared" si="3"/>
        <v>178.52795031055902</v>
      </c>
      <c r="J10" s="48">
        <v>0.27</v>
      </c>
      <c r="K10" s="53">
        <v>0.34</v>
      </c>
      <c r="L10" s="170">
        <v>2.5000000000000001E-2</v>
      </c>
      <c r="M10" s="49">
        <f t="shared" si="4"/>
        <v>10.140387577639753</v>
      </c>
      <c r="N10" s="48">
        <f t="shared" si="5"/>
        <v>5.3542589599617885E-2</v>
      </c>
      <c r="O10" s="49">
        <f t="shared" si="7"/>
        <v>3.8562037267080749</v>
      </c>
      <c r="P10" s="49">
        <f t="shared" si="8"/>
        <v>1.8209850931677021</v>
      </c>
      <c r="Q10" s="49">
        <f t="shared" si="9"/>
        <v>4.4631987577639753</v>
      </c>
      <c r="R10" s="49">
        <f t="shared" si="10"/>
        <v>8.3194024844720502</v>
      </c>
      <c r="S10" s="48">
        <f t="shared" si="6"/>
        <v>0.58250000000000002</v>
      </c>
    </row>
    <row r="11" spans="1:19">
      <c r="A11" s="133" t="s">
        <v>67</v>
      </c>
      <c r="B11" s="49">
        <f>C11*DataFig2!B$24</f>
        <v>80</v>
      </c>
      <c r="C11" s="48">
        <f>DataFig2!C10</f>
        <v>3.4782608695652174E-2</v>
      </c>
      <c r="D11" s="49">
        <f t="shared" si="0"/>
        <v>82.298136645962728</v>
      </c>
      <c r="E11" s="163">
        <f t="shared" si="11"/>
        <v>1.5527950310559004E-2</v>
      </c>
      <c r="F11" s="49">
        <f t="shared" si="1"/>
        <v>162.29813664596273</v>
      </c>
      <c r="G11" s="48">
        <f t="shared" si="2"/>
        <v>2.1355017979731938E-2</v>
      </c>
      <c r="H11" s="139">
        <v>0.2</v>
      </c>
      <c r="I11" s="49">
        <f t="shared" si="3"/>
        <v>129.8385093167702</v>
      </c>
      <c r="J11" s="48">
        <v>0.1</v>
      </c>
      <c r="K11" s="53">
        <v>0.2</v>
      </c>
      <c r="L11" s="53">
        <v>0</v>
      </c>
      <c r="M11" s="49">
        <f t="shared" si="4"/>
        <v>1.817739130434783</v>
      </c>
      <c r="N11" s="48">
        <f t="shared" si="5"/>
        <v>9.5979033853348331E-3</v>
      </c>
      <c r="O11" s="49">
        <f t="shared" si="7"/>
        <v>1.0387080745341617</v>
      </c>
      <c r="P11" s="49">
        <f t="shared" si="8"/>
        <v>0.77903105590062127</v>
      </c>
      <c r="Q11" s="49">
        <f t="shared" si="9"/>
        <v>0</v>
      </c>
      <c r="R11" s="49">
        <f t="shared" si="10"/>
        <v>1.0387080745341617</v>
      </c>
      <c r="S11" s="48">
        <f t="shared" si="6"/>
        <v>0.1</v>
      </c>
    </row>
    <row r="12" spans="1:19">
      <c r="A12" s="133" t="s">
        <v>68</v>
      </c>
      <c r="B12" s="49">
        <f>C12*DataFig2!B$24</f>
        <v>70</v>
      </c>
      <c r="C12" s="48">
        <f>DataFig2!C11</f>
        <v>3.0434782608695653E-2</v>
      </c>
      <c r="D12" s="49">
        <f t="shared" si="0"/>
        <v>72.010869565217391</v>
      </c>
      <c r="E12" s="163">
        <f t="shared" si="11"/>
        <v>1.358695652173913E-2</v>
      </c>
      <c r="F12" s="49">
        <f t="shared" si="1"/>
        <v>142.01086956521738</v>
      </c>
      <c r="G12" s="48">
        <f t="shared" si="2"/>
        <v>1.8685640732265443E-2</v>
      </c>
      <c r="H12" s="139">
        <v>0.2</v>
      </c>
      <c r="I12" s="49">
        <f t="shared" si="3"/>
        <v>113.60869565217391</v>
      </c>
      <c r="J12" s="48">
        <v>0.25</v>
      </c>
      <c r="K12" s="53">
        <v>0.3</v>
      </c>
      <c r="L12" s="53">
        <v>0</v>
      </c>
      <c r="M12" s="49">
        <f t="shared" si="4"/>
        <v>3.2946521739130432</v>
      </c>
      <c r="N12" s="48">
        <f t="shared" si="5"/>
        <v>1.7396199885919381E-2</v>
      </c>
      <c r="O12" s="49">
        <f t="shared" si="7"/>
        <v>2.2721739130434782</v>
      </c>
      <c r="P12" s="49">
        <f t="shared" si="8"/>
        <v>1.0224782608695651</v>
      </c>
      <c r="Q12" s="49">
        <f t="shared" si="9"/>
        <v>0</v>
      </c>
      <c r="R12" s="49">
        <f t="shared" si="10"/>
        <v>2.2721739130434782</v>
      </c>
      <c r="S12" s="48">
        <f t="shared" si="6"/>
        <v>0.25</v>
      </c>
    </row>
    <row r="13" spans="1:19">
      <c r="A13" s="133" t="s">
        <v>69</v>
      </c>
      <c r="B13" s="49">
        <f>C13*DataFig2!B$24</f>
        <v>40</v>
      </c>
      <c r="C13" s="48">
        <f>DataFig2!C12</f>
        <v>1.7391304347826087E-2</v>
      </c>
      <c r="D13" s="49">
        <f t="shared" si="0"/>
        <v>41.149068322981364</v>
      </c>
      <c r="E13" s="163">
        <f t="shared" si="11"/>
        <v>7.7639751552795021E-3</v>
      </c>
      <c r="F13" s="49">
        <f t="shared" si="1"/>
        <v>81.149068322981364</v>
      </c>
      <c r="G13" s="48">
        <f t="shared" si="2"/>
        <v>1.0677508989865969E-2</v>
      </c>
      <c r="H13" s="139">
        <v>0.2</v>
      </c>
      <c r="I13" s="49">
        <f t="shared" si="3"/>
        <v>64.9192546583851</v>
      </c>
      <c r="J13" s="48">
        <v>0.28000000000000003</v>
      </c>
      <c r="K13" s="53">
        <v>0</v>
      </c>
      <c r="L13" s="53">
        <v>0</v>
      </c>
      <c r="M13" s="49">
        <f t="shared" si="4"/>
        <v>1.4541913043478265</v>
      </c>
      <c r="N13" s="48">
        <f t="shared" si="5"/>
        <v>7.6783227082678667E-3</v>
      </c>
      <c r="O13" s="49">
        <f t="shared" si="7"/>
        <v>1.4541913043478265</v>
      </c>
      <c r="P13" s="49">
        <f t="shared" si="8"/>
        <v>0</v>
      </c>
      <c r="Q13" s="49">
        <f t="shared" si="9"/>
        <v>0</v>
      </c>
      <c r="R13" s="49">
        <f t="shared" si="10"/>
        <v>1.4541913043478265</v>
      </c>
      <c r="S13" s="48">
        <f t="shared" si="6"/>
        <v>0.28000000000000003</v>
      </c>
    </row>
    <row r="14" spans="1:19">
      <c r="A14" s="133" t="s">
        <v>70</v>
      </c>
      <c r="B14" s="49">
        <f>C14*DataFig2!B$24</f>
        <v>20</v>
      </c>
      <c r="C14" s="48">
        <f>DataFig2!C13</f>
        <v>8.6956521739130436E-3</v>
      </c>
      <c r="D14" s="49">
        <f t="shared" si="0"/>
        <v>20.574534161490682</v>
      </c>
      <c r="E14" s="163">
        <f t="shared" si="11"/>
        <v>3.8819875776397511E-3</v>
      </c>
      <c r="F14" s="49">
        <f t="shared" si="1"/>
        <v>40.574534161490682</v>
      </c>
      <c r="G14" s="48">
        <f t="shared" si="2"/>
        <v>5.3387544949329846E-3</v>
      </c>
      <c r="H14" s="139">
        <v>0.2</v>
      </c>
      <c r="I14" s="49">
        <f t="shared" si="3"/>
        <v>32.45962732919255</v>
      </c>
      <c r="J14" s="48">
        <v>0.19</v>
      </c>
      <c r="K14" s="53">
        <v>0.03</v>
      </c>
      <c r="L14" s="53">
        <v>0</v>
      </c>
      <c r="M14" s="49">
        <f t="shared" si="4"/>
        <v>0.52260000000000006</v>
      </c>
      <c r="N14" s="48">
        <f t="shared" si="5"/>
        <v>2.7593972232837641E-3</v>
      </c>
      <c r="O14" s="49">
        <f t="shared" si="7"/>
        <v>0.49338633540372678</v>
      </c>
      <c r="P14" s="49">
        <f t="shared" si="8"/>
        <v>2.9213664596273295E-2</v>
      </c>
      <c r="Q14" s="49">
        <f t="shared" si="9"/>
        <v>0</v>
      </c>
      <c r="R14" s="49">
        <f t="shared" si="10"/>
        <v>0.49338633540372678</v>
      </c>
      <c r="S14" s="48">
        <f t="shared" si="6"/>
        <v>0.19</v>
      </c>
    </row>
    <row r="15" spans="1:19">
      <c r="A15" s="133" t="s">
        <v>71</v>
      </c>
      <c r="B15" s="49">
        <f>C15*DataFig2!B$24</f>
        <v>20</v>
      </c>
      <c r="C15" s="48">
        <f>DataFig2!C14</f>
        <v>8.6956521739130436E-3</v>
      </c>
      <c r="D15" s="49">
        <f t="shared" si="0"/>
        <v>20.574534161490682</v>
      </c>
      <c r="E15" s="163">
        <f t="shared" si="11"/>
        <v>3.8819875776397511E-3</v>
      </c>
      <c r="F15" s="49">
        <f t="shared" si="1"/>
        <v>40.574534161490682</v>
      </c>
      <c r="G15" s="48">
        <f t="shared" si="2"/>
        <v>5.3387544949329846E-3</v>
      </c>
      <c r="H15" s="139">
        <v>0.2</v>
      </c>
      <c r="I15" s="49">
        <f t="shared" si="3"/>
        <v>32.45962732919255</v>
      </c>
      <c r="J15" s="48">
        <v>0.3</v>
      </c>
      <c r="K15" s="53">
        <v>0</v>
      </c>
      <c r="L15" s="53">
        <v>0</v>
      </c>
      <c r="M15" s="49">
        <f t="shared" si="4"/>
        <v>0.77903105590062116</v>
      </c>
      <c r="N15" s="48">
        <f t="shared" si="5"/>
        <v>4.1133871651434992E-3</v>
      </c>
      <c r="O15" s="49">
        <f t="shared" si="7"/>
        <v>0.77903105590062116</v>
      </c>
      <c r="P15" s="49">
        <f t="shared" si="8"/>
        <v>0</v>
      </c>
      <c r="Q15" s="49">
        <f t="shared" si="9"/>
        <v>0</v>
      </c>
      <c r="R15" s="49">
        <f t="shared" si="10"/>
        <v>0.77903105590062116</v>
      </c>
      <c r="S15" s="48">
        <f t="shared" si="6"/>
        <v>0.29999999999999993</v>
      </c>
    </row>
    <row r="16" spans="1:19">
      <c r="A16" s="133" t="s">
        <v>72</v>
      </c>
      <c r="B16" s="49">
        <f>C16*DataFig2!B$24</f>
        <v>10</v>
      </c>
      <c r="C16" s="48">
        <f>DataFig2!C15</f>
        <v>4.3478260869565218E-3</v>
      </c>
      <c r="D16" s="49">
        <f t="shared" si="0"/>
        <v>10.287267080745341</v>
      </c>
      <c r="E16" s="163">
        <f t="shared" si="11"/>
        <v>1.9409937888198755E-3</v>
      </c>
      <c r="F16" s="49">
        <f t="shared" si="1"/>
        <v>20.287267080745341</v>
      </c>
      <c r="G16" s="48">
        <f t="shared" si="2"/>
        <v>2.6693772474664923E-3</v>
      </c>
      <c r="H16" s="139">
        <v>0.2</v>
      </c>
      <c r="I16" s="49">
        <f t="shared" si="3"/>
        <v>16.229813664596275</v>
      </c>
      <c r="J16" s="48">
        <v>0.28000000000000003</v>
      </c>
      <c r="K16" s="53">
        <v>0.2</v>
      </c>
      <c r="L16" s="55">
        <v>1.0999999999999999E-2</v>
      </c>
      <c r="M16" s="49">
        <f t="shared" si="4"/>
        <v>0.6394546583850933</v>
      </c>
      <c r="N16" s="48">
        <f t="shared" si="5"/>
        <v>3.3764052980552895E-3</v>
      </c>
      <c r="O16" s="49">
        <f t="shared" si="7"/>
        <v>0.36354782608695663</v>
      </c>
      <c r="P16" s="49">
        <f t="shared" si="8"/>
        <v>9.7378881987577659E-2</v>
      </c>
      <c r="Q16" s="49">
        <f t="shared" si="9"/>
        <v>0.17852795031055901</v>
      </c>
      <c r="R16" s="49">
        <f t="shared" si="10"/>
        <v>0.5420757763975157</v>
      </c>
      <c r="S16" s="48">
        <f t="shared" si="6"/>
        <v>0.41750000000000004</v>
      </c>
    </row>
    <row r="17" spans="1:19">
      <c r="A17" s="133" t="s">
        <v>73</v>
      </c>
      <c r="B17" s="49">
        <f>C17*DataFig2!B$24</f>
        <v>180</v>
      </c>
      <c r="C17" s="48">
        <f>DataFig2!C16</f>
        <v>7.8260869565217397E-2</v>
      </c>
      <c r="D17" s="49">
        <f t="shared" si="0"/>
        <v>185.17080745341613</v>
      </c>
      <c r="E17" s="163">
        <f t="shared" si="11"/>
        <v>3.4937888198757761E-2</v>
      </c>
      <c r="F17" s="49">
        <f t="shared" si="1"/>
        <v>365.17080745341616</v>
      </c>
      <c r="G17" s="48">
        <f t="shared" si="2"/>
        <v>4.8048790454396861E-2</v>
      </c>
      <c r="H17" s="139">
        <v>0.2</v>
      </c>
      <c r="I17" s="49">
        <f t="shared" si="3"/>
        <v>292.13664596273293</v>
      </c>
      <c r="J17" s="48">
        <f>AVERAGE(J6:J16)</f>
        <v>0.26181818181818178</v>
      </c>
      <c r="K17" s="53">
        <v>0.4</v>
      </c>
      <c r="L17" s="53">
        <v>0</v>
      </c>
      <c r="M17" s="49">
        <f t="shared" si="4"/>
        <v>9.6245745906267643</v>
      </c>
      <c r="N17" s="48">
        <f t="shared" si="5"/>
        <v>5.0819028703909225E-2</v>
      </c>
      <c r="O17" s="49">
        <f t="shared" si="7"/>
        <v>6.1189348390739688</v>
      </c>
      <c r="P17" s="49">
        <f t="shared" si="8"/>
        <v>3.5056397515527951</v>
      </c>
      <c r="Q17" s="49">
        <f t="shared" si="9"/>
        <v>0</v>
      </c>
      <c r="R17" s="49">
        <f t="shared" si="10"/>
        <v>6.1189348390739688</v>
      </c>
      <c r="S17" s="48">
        <f t="shared" si="6"/>
        <v>0.26181818181818178</v>
      </c>
    </row>
    <row r="18" spans="1:19">
      <c r="A18" s="135" t="s">
        <v>58</v>
      </c>
      <c r="B18" s="49">
        <f>C18*DataFig2!B$24</f>
        <v>230</v>
      </c>
      <c r="C18" s="48">
        <f>DataFig2!C17</f>
        <v>0.1</v>
      </c>
      <c r="D18" s="49">
        <f t="shared" si="0"/>
        <v>530</v>
      </c>
      <c r="E18" s="163">
        <f>C18</f>
        <v>0.1</v>
      </c>
      <c r="F18" s="49">
        <f t="shared" si="1"/>
        <v>760</v>
      </c>
      <c r="G18" s="48">
        <f t="shared" si="2"/>
        <v>0.1</v>
      </c>
      <c r="H18" s="139">
        <v>0.2</v>
      </c>
      <c r="I18" s="49">
        <f t="shared" si="3"/>
        <v>608</v>
      </c>
      <c r="J18" s="48">
        <v>0</v>
      </c>
      <c r="K18" s="53">
        <v>0</v>
      </c>
      <c r="L18" s="53">
        <v>0</v>
      </c>
      <c r="M18" s="49">
        <f t="shared" si="4"/>
        <v>0</v>
      </c>
      <c r="N18" s="48">
        <f t="shared" si="5"/>
        <v>0</v>
      </c>
      <c r="O18" s="49">
        <f t="shared" si="7"/>
        <v>0</v>
      </c>
      <c r="P18" s="49">
        <f t="shared" si="8"/>
        <v>0</v>
      </c>
      <c r="Q18" s="49">
        <f t="shared" si="9"/>
        <v>0</v>
      </c>
      <c r="R18" s="49">
        <f t="shared" si="10"/>
        <v>0</v>
      </c>
      <c r="S18" s="48"/>
    </row>
    <row r="19" spans="1:19">
      <c r="A19" s="135" t="s">
        <v>26</v>
      </c>
      <c r="B19" s="49">
        <f>C19*DataFig2!B$24</f>
        <v>230</v>
      </c>
      <c r="C19" s="48">
        <f>DataFig2!C18</f>
        <v>0.1</v>
      </c>
      <c r="D19" s="49">
        <f t="shared" si="0"/>
        <v>1060</v>
      </c>
      <c r="E19" s="163">
        <v>0.2</v>
      </c>
      <c r="F19" s="49">
        <f t="shared" si="1"/>
        <v>1290</v>
      </c>
      <c r="G19" s="48">
        <f t="shared" si="2"/>
        <v>0.16973684210526316</v>
      </c>
      <c r="H19" s="139">
        <v>0.2</v>
      </c>
      <c r="I19" s="49">
        <f t="shared" si="3"/>
        <v>1032</v>
      </c>
      <c r="J19" s="48">
        <v>0.3</v>
      </c>
      <c r="K19" s="53">
        <v>0.3</v>
      </c>
      <c r="L19" s="53">
        <v>0</v>
      </c>
      <c r="M19" s="49">
        <f t="shared" si="4"/>
        <v>34.055999999999997</v>
      </c>
      <c r="N19" s="48">
        <f t="shared" si="5"/>
        <v>0.17982019103741265</v>
      </c>
      <c r="O19" s="49">
        <f t="shared" si="7"/>
        <v>24.768000000000001</v>
      </c>
      <c r="P19" s="49">
        <f t="shared" si="8"/>
        <v>9.2879999999999985</v>
      </c>
      <c r="Q19" s="49">
        <f t="shared" si="9"/>
        <v>0</v>
      </c>
      <c r="R19" s="49">
        <f t="shared" si="10"/>
        <v>24.768000000000001</v>
      </c>
      <c r="S19" s="48">
        <f>R19/(O$3*I19)</f>
        <v>0.3</v>
      </c>
    </row>
    <row r="20" spans="1:19">
      <c r="A20" s="135" t="s">
        <v>59</v>
      </c>
      <c r="B20" s="49">
        <f>C20*DataFig2!B$24</f>
        <v>218.5</v>
      </c>
      <c r="C20" s="48">
        <f>DataFig2!C19</f>
        <v>9.5000000000000001E-2</v>
      </c>
      <c r="D20" s="49">
        <f t="shared" si="0"/>
        <v>503.5</v>
      </c>
      <c r="E20" s="163">
        <f>C20</f>
        <v>9.5000000000000001E-2</v>
      </c>
      <c r="F20" s="49">
        <f t="shared" si="1"/>
        <v>722</v>
      </c>
      <c r="G20" s="48">
        <f t="shared" si="2"/>
        <v>9.5000000000000001E-2</v>
      </c>
      <c r="H20" s="139">
        <v>0.2</v>
      </c>
      <c r="I20" s="49">
        <f t="shared" si="3"/>
        <v>577.6</v>
      </c>
      <c r="J20" s="48">
        <v>0.3</v>
      </c>
      <c r="K20" s="53">
        <v>0.4</v>
      </c>
      <c r="L20" s="53">
        <v>0</v>
      </c>
      <c r="M20" s="49">
        <f t="shared" si="4"/>
        <v>20.793600000000001</v>
      </c>
      <c r="N20" s="48">
        <f t="shared" si="5"/>
        <v>0.10979296230783252</v>
      </c>
      <c r="O20" s="49">
        <f t="shared" si="7"/>
        <v>13.862400000000001</v>
      </c>
      <c r="P20" s="49">
        <f t="shared" si="8"/>
        <v>6.9312000000000005</v>
      </c>
      <c r="Q20" s="49">
        <f t="shared" si="9"/>
        <v>0</v>
      </c>
      <c r="R20" s="49">
        <f t="shared" si="10"/>
        <v>13.862400000000001</v>
      </c>
      <c r="S20" s="48">
        <f>R20/(O$3*I20)</f>
        <v>0.3</v>
      </c>
    </row>
    <row r="21" spans="1:19">
      <c r="A21" s="135" t="s">
        <v>15</v>
      </c>
      <c r="B21" s="49">
        <f>C21*DataFig2!B$24</f>
        <v>149.5</v>
      </c>
      <c r="C21" s="48">
        <f>DataFig2!C20</f>
        <v>6.5000000000000002E-2</v>
      </c>
      <c r="D21" s="49">
        <f t="shared" si="0"/>
        <v>344.5</v>
      </c>
      <c r="E21" s="163">
        <f>C21</f>
        <v>6.5000000000000002E-2</v>
      </c>
      <c r="F21" s="49">
        <f t="shared" si="1"/>
        <v>494</v>
      </c>
      <c r="G21" s="48">
        <f t="shared" si="2"/>
        <v>6.5000000000000002E-2</v>
      </c>
      <c r="H21" s="139">
        <v>0.2</v>
      </c>
      <c r="I21" s="49">
        <f t="shared" si="3"/>
        <v>395.20000000000005</v>
      </c>
      <c r="J21" s="48">
        <v>0.3</v>
      </c>
      <c r="K21" s="53">
        <v>0.4</v>
      </c>
      <c r="L21" s="53">
        <v>0</v>
      </c>
      <c r="M21" s="49">
        <f t="shared" si="4"/>
        <v>14.227200000000003</v>
      </c>
      <c r="N21" s="48">
        <f t="shared" si="5"/>
        <v>7.5121500526411741E-2</v>
      </c>
      <c r="O21" s="49">
        <f t="shared" si="7"/>
        <v>9.4848000000000017</v>
      </c>
      <c r="P21" s="49">
        <f t="shared" si="8"/>
        <v>4.7424000000000008</v>
      </c>
      <c r="Q21" s="49">
        <f t="shared" si="9"/>
        <v>0</v>
      </c>
      <c r="R21" s="49">
        <f t="shared" si="10"/>
        <v>9.4848000000000017</v>
      </c>
      <c r="S21" s="48">
        <f>R21/(O$3*I21)</f>
        <v>0.30000000000000004</v>
      </c>
    </row>
    <row r="22" spans="1:19">
      <c r="A22" s="135" t="s">
        <v>77</v>
      </c>
      <c r="B22" s="49">
        <f>C22*DataFig2!B$24</f>
        <v>76.666666666666671</v>
      </c>
      <c r="C22" s="48">
        <f>DataFig2!C21</f>
        <v>3.3333333333333333E-2</v>
      </c>
      <c r="D22" s="49">
        <f>F22-B22</f>
        <v>1125.9382022988505</v>
      </c>
      <c r="E22" s="164">
        <f>D22/D$25</f>
        <v>0.21244117024506612</v>
      </c>
      <c r="F22" s="49">
        <f>G22*F$25</f>
        <v>1202.6048689655172</v>
      </c>
      <c r="G22" s="48">
        <v>0.15823748275862068</v>
      </c>
      <c r="H22" s="139">
        <v>0.2</v>
      </c>
      <c r="I22" s="49">
        <f t="shared" ref="I22:I23" si="12">(1-H22)*F22</f>
        <v>962.0838951724138</v>
      </c>
      <c r="J22" s="137">
        <v>0.30299999999999999</v>
      </c>
      <c r="K22" s="138">
        <v>0.4</v>
      </c>
      <c r="L22" s="138">
        <v>0</v>
      </c>
      <c r="M22" s="49">
        <f t="shared" ref="M22:M23" si="13">O22+P22+Q22</f>
        <v>34.865920361048275</v>
      </c>
      <c r="N22" s="48">
        <f t="shared" si="5"/>
        <v>0.18409667782531469</v>
      </c>
      <c r="O22" s="49">
        <f t="shared" ref="O22:O23" si="14">O$3*J22*I22</f>
        <v>23.320913618979311</v>
      </c>
      <c r="P22" s="49">
        <f t="shared" ref="P22:P23" si="15">I22*P$3*K22</f>
        <v>11.545006742068965</v>
      </c>
      <c r="Q22" s="49">
        <f t="shared" ref="Q22:Q23" si="16">L22*I22</f>
        <v>0</v>
      </c>
      <c r="R22" s="49">
        <f t="shared" ref="R22:R23" si="17">(O22+Q22)</f>
        <v>23.320913618979311</v>
      </c>
      <c r="S22" s="48">
        <f t="shared" ref="S22:S23" si="18">R22/(O$3*I22)</f>
        <v>0.30299999999999999</v>
      </c>
    </row>
    <row r="23" spans="1:19">
      <c r="A23" s="135" t="s">
        <v>78</v>
      </c>
      <c r="B23" s="49">
        <f>C23*DataFig2!B$24</f>
        <v>38.333333333333336</v>
      </c>
      <c r="C23" s="48">
        <f>DataFig2!C22</f>
        <v>1.6666666666666666E-2</v>
      </c>
      <c r="D23" s="49">
        <f>F23-B23</f>
        <v>245.57462528735633</v>
      </c>
      <c r="E23" s="164">
        <f>D23/D$25</f>
        <v>4.633483495987855E-2</v>
      </c>
      <c r="F23" s="49">
        <f>G23*F$25</f>
        <v>283.90795862068967</v>
      </c>
      <c r="G23" s="48">
        <v>3.7356310344827587E-2</v>
      </c>
      <c r="H23" s="139">
        <v>0.2</v>
      </c>
      <c r="I23" s="49">
        <f t="shared" si="12"/>
        <v>227.12636689655176</v>
      </c>
      <c r="J23" s="137">
        <v>0.33800000000000002</v>
      </c>
      <c r="K23" s="138">
        <v>0</v>
      </c>
      <c r="L23" s="138">
        <v>0</v>
      </c>
      <c r="M23" s="49">
        <f t="shared" si="13"/>
        <v>6.1414969608827601</v>
      </c>
      <c r="N23" s="48">
        <f t="shared" si="5"/>
        <v>3.2427917452479069E-2</v>
      </c>
      <c r="O23" s="49">
        <f t="shared" si="14"/>
        <v>6.1414969608827601</v>
      </c>
      <c r="P23" s="49">
        <f t="shared" si="15"/>
        <v>0</v>
      </c>
      <c r="Q23" s="49">
        <f t="shared" si="16"/>
        <v>0</v>
      </c>
      <c r="R23" s="49">
        <f t="shared" si="17"/>
        <v>6.1414969608827601</v>
      </c>
      <c r="S23" s="48">
        <f t="shared" si="18"/>
        <v>0.33800000000000002</v>
      </c>
    </row>
    <row r="24" spans="1:19">
      <c r="A24" s="135" t="s">
        <v>60</v>
      </c>
      <c r="B24" s="49">
        <f>C24*DataFig2!B$24</f>
        <v>69</v>
      </c>
      <c r="C24" s="48">
        <f>DataFig2!C23</f>
        <v>0.03</v>
      </c>
      <c r="D24" s="49">
        <f>E24*D$25</f>
        <v>159</v>
      </c>
      <c r="E24" s="163">
        <f>C24</f>
        <v>0.03</v>
      </c>
      <c r="F24" s="49">
        <f t="shared" si="1"/>
        <v>228</v>
      </c>
      <c r="G24" s="48">
        <f>F24/F$25</f>
        <v>0.03</v>
      </c>
      <c r="H24" s="139">
        <v>0.2</v>
      </c>
      <c r="I24" s="49">
        <f>(1-H24)*F24</f>
        <v>182.4</v>
      </c>
      <c r="J24" s="48">
        <v>0.09</v>
      </c>
      <c r="K24" s="53">
        <v>0</v>
      </c>
      <c r="L24" s="53">
        <v>0</v>
      </c>
      <c r="M24" s="49">
        <f>O24+P24+Q24</f>
        <v>1.31328</v>
      </c>
      <c r="N24" s="48">
        <f t="shared" si="5"/>
        <v>6.9342923562841592E-3</v>
      </c>
      <c r="O24" s="49">
        <f>O$3*J24*I24</f>
        <v>1.31328</v>
      </c>
      <c r="P24" s="49">
        <f>I24*P$3*K24</f>
        <v>0</v>
      </c>
      <c r="Q24" s="49">
        <f>L24*I24</f>
        <v>0</v>
      </c>
      <c r="R24" s="49">
        <f t="shared" si="10"/>
        <v>1.31328</v>
      </c>
      <c r="S24" s="48">
        <f>R24/(O$3*I24)</f>
        <v>0.09</v>
      </c>
    </row>
    <row r="25" spans="1:19" s="56" customFormat="1">
      <c r="A25" s="56" t="s">
        <v>17</v>
      </c>
      <c r="B25" s="51">
        <f>DataFig2!B24</f>
        <v>2300</v>
      </c>
      <c r="C25" s="161">
        <f>B25/B$25</f>
        <v>1</v>
      </c>
      <c r="D25" s="51">
        <f>7600-'Data-Fig4_Tab1'!B25</f>
        <v>5300</v>
      </c>
      <c r="E25" s="161">
        <f>SUM(E18:E24)+E5</f>
        <v>0.99877600520494469</v>
      </c>
      <c r="F25" s="51">
        <f>B25+D25</f>
        <v>7600</v>
      </c>
      <c r="G25" s="162">
        <f>F25/F$25</f>
        <v>1</v>
      </c>
      <c r="H25" s="165">
        <v>0.2</v>
      </c>
      <c r="I25" s="51">
        <f>SUM(I18:I24)+I5</f>
        <v>6074.810262068966</v>
      </c>
      <c r="J25" s="50"/>
      <c r="M25" s="51">
        <f>O25+P25+Q25</f>
        <v>189.38918818584975</v>
      </c>
      <c r="N25" s="48">
        <f t="shared" si="5"/>
        <v>1</v>
      </c>
      <c r="O25" s="51">
        <f>SUM(O18:O24)+O5</f>
        <v>127.08788951831494</v>
      </c>
      <c r="P25" s="51">
        <f>SUM(P18:P24)+P5</f>
        <v>51.816839040205608</v>
      </c>
      <c r="Q25" s="51">
        <f>SUM(Q18:Q24)+Q5</f>
        <v>10.484459627329194</v>
      </c>
      <c r="R25" s="51">
        <f t="shared" si="10"/>
        <v>137.57234914564413</v>
      </c>
      <c r="S25" s="50">
        <f>R25/(O$3*I25)</f>
        <v>0.28307951855847258</v>
      </c>
    </row>
    <row r="26" spans="1:19">
      <c r="J26" s="48"/>
    </row>
    <row r="27" spans="1:19">
      <c r="P27" s="52">
        <f>P25/(P$3*I25)</f>
        <v>0.28432624123121047</v>
      </c>
    </row>
    <row r="28" spans="1:19" ht="16" thickBot="1"/>
    <row r="29" spans="1:19">
      <c r="A29" s="257" t="s">
        <v>138</v>
      </c>
      <c r="B29" s="258"/>
      <c r="C29" s="258"/>
      <c r="D29" s="258"/>
      <c r="E29" s="258"/>
      <c r="F29" s="258"/>
      <c r="G29" s="258"/>
      <c r="H29" s="258"/>
      <c r="I29" s="258"/>
      <c r="J29" s="258"/>
      <c r="K29" s="258"/>
      <c r="L29" s="258"/>
      <c r="M29" s="258"/>
      <c r="N29" s="258"/>
      <c r="O29" s="258"/>
      <c r="P29" s="258"/>
      <c r="Q29" s="258"/>
      <c r="R29" s="258"/>
      <c r="S29" s="259"/>
    </row>
    <row r="30" spans="1:19">
      <c r="A30" s="260"/>
      <c r="B30" s="261"/>
      <c r="C30" s="261"/>
      <c r="D30" s="261"/>
      <c r="E30" s="261"/>
      <c r="F30" s="261"/>
      <c r="G30" s="261"/>
      <c r="H30" s="261"/>
      <c r="I30" s="261"/>
      <c r="J30" s="261"/>
      <c r="K30" s="261"/>
      <c r="L30" s="261"/>
      <c r="M30" s="261"/>
      <c r="N30" s="261"/>
      <c r="O30" s="261"/>
      <c r="P30" s="261"/>
      <c r="Q30" s="261"/>
      <c r="R30" s="261"/>
      <c r="S30" s="262"/>
    </row>
    <row r="31" spans="1:19">
      <c r="A31" s="260"/>
      <c r="B31" s="261"/>
      <c r="C31" s="261"/>
      <c r="D31" s="261"/>
      <c r="E31" s="261"/>
      <c r="F31" s="261"/>
      <c r="G31" s="261"/>
      <c r="H31" s="261"/>
      <c r="I31" s="261"/>
      <c r="J31" s="261"/>
      <c r="K31" s="261"/>
      <c r="L31" s="261"/>
      <c r="M31" s="261"/>
      <c r="N31" s="261"/>
      <c r="O31" s="261"/>
      <c r="P31" s="261"/>
      <c r="Q31" s="261"/>
      <c r="R31" s="261"/>
      <c r="S31" s="262"/>
    </row>
    <row r="32" spans="1:19" ht="16" thickBot="1">
      <c r="A32" s="263"/>
      <c r="B32" s="264"/>
      <c r="C32" s="264"/>
      <c r="D32" s="264"/>
      <c r="E32" s="264"/>
      <c r="F32" s="264"/>
      <c r="G32" s="264"/>
      <c r="H32" s="264"/>
      <c r="I32" s="264"/>
      <c r="J32" s="264"/>
      <c r="K32" s="264"/>
      <c r="L32" s="264"/>
      <c r="M32" s="264"/>
      <c r="N32" s="264"/>
      <c r="O32" s="264"/>
      <c r="P32" s="264"/>
      <c r="Q32" s="264"/>
      <c r="R32" s="264"/>
      <c r="S32" s="265"/>
    </row>
  </sheetData>
  <mergeCells count="1">
    <mergeCell ref="A29:S32"/>
  </mergeCells>
  <hyperlinks>
    <hyperlink ref="K4" r:id="rId1" display="Taux d'imposition des plus grandes successions"/>
    <hyperlink ref="O3" r:id="rId2" display="https://personal.vanguard.com/us/funds/tools/benchmarkreturns"/>
  </hyperlinks>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RowHeight="15" x14ac:dyDescent="0"/>
  <cols>
    <col min="3" max="3" width="13.33203125" customWidth="1"/>
  </cols>
  <sheetData>
    <row r="1" spans="1:10" s="1" customFormat="1" ht="45">
      <c r="B1" s="58" t="s">
        <v>23</v>
      </c>
      <c r="C1" s="58" t="s">
        <v>16</v>
      </c>
      <c r="D1" s="58" t="s">
        <v>24</v>
      </c>
      <c r="E1" s="58" t="s">
        <v>25</v>
      </c>
      <c r="F1" s="58" t="s">
        <v>26</v>
      </c>
      <c r="G1" s="58" t="s">
        <v>15</v>
      </c>
      <c r="H1" s="58" t="s">
        <v>27</v>
      </c>
      <c r="I1" s="1" t="s">
        <v>28</v>
      </c>
    </row>
    <row r="2" spans="1:10" s="1" customFormat="1">
      <c r="A2" s="1">
        <v>1976</v>
      </c>
      <c r="B2" s="185">
        <v>0.31428809742263741</v>
      </c>
      <c r="C2" s="59">
        <v>0.38326799566269082</v>
      </c>
      <c r="D2" s="59">
        <v>0.14346484277254148</v>
      </c>
      <c r="E2" s="59">
        <v>5.2798398531987659E-2</v>
      </c>
      <c r="F2" s="59">
        <v>3.2321294519976645E-2</v>
      </c>
      <c r="G2" s="59">
        <v>4.4874468262574026E-2</v>
      </c>
      <c r="H2" s="59">
        <v>2.898490282759196E-2</v>
      </c>
      <c r="I2" s="60">
        <v>0</v>
      </c>
      <c r="J2" s="61"/>
    </row>
    <row r="3" spans="1:10" s="1" customFormat="1">
      <c r="A3" s="1">
        <v>1977</v>
      </c>
      <c r="B3" s="185">
        <v>0.33067509968376185</v>
      </c>
      <c r="C3" s="59">
        <v>0.40017874329712638</v>
      </c>
      <c r="D3" s="59">
        <v>0.11759246528255191</v>
      </c>
      <c r="E3" s="59">
        <v>5.1491819056785369E-2</v>
      </c>
      <c r="F3" s="59">
        <v>3.2792520280489484E-2</v>
      </c>
      <c r="G3" s="59">
        <v>4.5957651588065446E-2</v>
      </c>
      <c r="H3" s="59">
        <v>2.131170081121958E-2</v>
      </c>
      <c r="I3" s="60">
        <v>0</v>
      </c>
      <c r="J3" s="61"/>
    </row>
    <row r="4" spans="1:10" s="1" customFormat="1">
      <c r="A4" s="1">
        <v>1978</v>
      </c>
      <c r="B4" s="185">
        <v>0.34341295951938205</v>
      </c>
      <c r="C4" s="59">
        <v>0.35723072521813759</v>
      </c>
      <c r="D4" s="59">
        <v>0.14106708625375483</v>
      </c>
      <c r="E4" s="59">
        <v>5.2724932055499926E-2</v>
      </c>
      <c r="F4" s="59">
        <v>2.7120583607495353E-2</v>
      </c>
      <c r="G4" s="59">
        <v>5.507080532112716E-2</v>
      </c>
      <c r="H4" s="59">
        <v>2.337290802460306E-2</v>
      </c>
      <c r="I4" s="60">
        <v>0</v>
      </c>
      <c r="J4" s="61"/>
    </row>
    <row r="5" spans="1:10" s="1" customFormat="1">
      <c r="A5" s="1">
        <v>1979</v>
      </c>
      <c r="B5" s="185">
        <v>0.31128158487880103</v>
      </c>
      <c r="C5" s="59">
        <v>0.38623512198979792</v>
      </c>
      <c r="D5" s="59">
        <v>0.14029815334730517</v>
      </c>
      <c r="E5" s="59">
        <v>5.3976037012139669E-2</v>
      </c>
      <c r="F5" s="59">
        <v>2.6691446874135001E-2</v>
      </c>
      <c r="G5" s="59">
        <v>5.5261180750523942E-2</v>
      </c>
      <c r="H5" s="59">
        <v>2.6256475147297245E-2</v>
      </c>
      <c r="I5" s="60">
        <v>0</v>
      </c>
      <c r="J5" s="61"/>
    </row>
    <row r="6" spans="1:10" s="1" customFormat="1">
      <c r="A6" s="1">
        <v>1980</v>
      </c>
      <c r="B6" s="185">
        <v>0.27521766525375185</v>
      </c>
      <c r="C6" s="59">
        <v>0.41674304043991295</v>
      </c>
      <c r="D6" s="59">
        <v>0.14493355481727574</v>
      </c>
      <c r="E6" s="59">
        <v>5.8067934471302554E-2</v>
      </c>
      <c r="F6" s="59">
        <v>2.9255928514148242E-2</v>
      </c>
      <c r="G6" s="59">
        <v>4.9891167373124067E-2</v>
      </c>
      <c r="H6" s="59">
        <v>2.5890709130484593E-2</v>
      </c>
      <c r="I6" s="60">
        <v>0</v>
      </c>
      <c r="J6" s="61"/>
    </row>
    <row r="7" spans="1:10" s="1" customFormat="1">
      <c r="A7" s="1">
        <v>1981</v>
      </c>
      <c r="B7" s="185">
        <v>0.25785437176238424</v>
      </c>
      <c r="C7" s="59">
        <v>0.44283856210616018</v>
      </c>
      <c r="D7" s="59">
        <v>0.12873096674365933</v>
      </c>
      <c r="E7" s="59">
        <v>7.2365617922095393E-2</v>
      </c>
      <c r="F7" s="59">
        <v>2.7762204830354541E-2</v>
      </c>
      <c r="G7" s="59">
        <v>4.4188549772385802E-2</v>
      </c>
      <c r="H7" s="59">
        <v>2.6259726862960554E-2</v>
      </c>
      <c r="I7" s="60">
        <v>0</v>
      </c>
      <c r="J7" s="61"/>
    </row>
    <row r="8" spans="1:10" s="1" customFormat="1">
      <c r="A8" s="1">
        <v>1982</v>
      </c>
      <c r="B8" s="185">
        <v>0.26838302126886021</v>
      </c>
      <c r="C8" s="59">
        <v>0.39270132703144883</v>
      </c>
      <c r="D8" s="59">
        <v>0.17117342301399746</v>
      </c>
      <c r="E8" s="59">
        <v>6.5783493910198151E-2</v>
      </c>
      <c r="F8" s="59">
        <v>3.0960279949100163E-2</v>
      </c>
      <c r="G8" s="59">
        <v>4.4446464279221963E-2</v>
      </c>
      <c r="H8" s="59">
        <v>2.6551990547173242E-2</v>
      </c>
      <c r="I8" s="60">
        <v>0</v>
      </c>
      <c r="J8" s="61"/>
    </row>
    <row r="9" spans="1:10" s="1" customFormat="1">
      <c r="A9" s="1">
        <v>1983</v>
      </c>
      <c r="B9" s="185">
        <v>0.28996575951618642</v>
      </c>
      <c r="C9" s="59">
        <v>0.35507826396300252</v>
      </c>
      <c r="D9" s="59">
        <v>0.18609925293489862</v>
      </c>
      <c r="E9" s="59">
        <v>6.2466648879402349E-2</v>
      </c>
      <c r="F9" s="59">
        <v>3.5096495908929208E-2</v>
      </c>
      <c r="G9" s="59">
        <v>4.3000711490572753E-2</v>
      </c>
      <c r="H9" s="59">
        <v>2.8292867307008182E-2</v>
      </c>
      <c r="I9" s="60">
        <v>0</v>
      </c>
      <c r="J9" s="61"/>
    </row>
    <row r="10" spans="1:10" s="1" customFormat="1">
      <c r="A10" s="1">
        <v>1984</v>
      </c>
      <c r="B10" s="185">
        <v>0.31450226676450782</v>
      </c>
      <c r="C10" s="59">
        <v>0.30732501683738606</v>
      </c>
      <c r="D10" s="59">
        <v>0.20626049195323731</v>
      </c>
      <c r="E10" s="59">
        <v>6.3228154119882182E-2</v>
      </c>
      <c r="F10" s="59">
        <v>4.4309968737748916E-2</v>
      </c>
      <c r="G10" s="59">
        <v>3.1724650938370139E-2</v>
      </c>
      <c r="H10" s="59">
        <v>3.2378042038178144E-2</v>
      </c>
      <c r="I10" s="60">
        <v>2.7140861068947837E-4</v>
      </c>
      <c r="J10" s="61"/>
    </row>
    <row r="11" spans="1:10">
      <c r="A11">
        <v>1985</v>
      </c>
      <c r="B11" s="185">
        <v>0.32112510465468408</v>
      </c>
      <c r="C11" s="59">
        <v>0.30381032117854534</v>
      </c>
      <c r="D11" s="59">
        <v>0.20444626538646526</v>
      </c>
      <c r="E11" s="59">
        <v>6.0325631936156192E-2</v>
      </c>
      <c r="F11" s="59">
        <v>4.8060993640557922E-2</v>
      </c>
      <c r="G11" s="59">
        <v>3.0612608440066268E-2</v>
      </c>
      <c r="H11" s="59">
        <v>3.1414218786183799E-2</v>
      </c>
      <c r="I11" s="60">
        <v>2.0485597734114756E-4</v>
      </c>
      <c r="J11" s="61"/>
    </row>
    <row r="12" spans="1:10">
      <c r="A12">
        <v>1986</v>
      </c>
      <c r="B12" s="185">
        <v>0.33761827237705316</v>
      </c>
      <c r="C12" s="59">
        <v>0.30588823159625395</v>
      </c>
      <c r="D12" s="59">
        <v>0.18129724850497267</v>
      </c>
      <c r="E12" s="59">
        <v>6.2041618981608343E-2</v>
      </c>
      <c r="F12" s="59">
        <v>4.9065910153290669E-2</v>
      </c>
      <c r="G12" s="59">
        <v>3.0271280968423089E-2</v>
      </c>
      <c r="H12" s="59">
        <v>3.3599832363513271E-2</v>
      </c>
      <c r="I12" s="60">
        <v>2.1760505488483051E-4</v>
      </c>
      <c r="J12" s="61"/>
    </row>
    <row r="13" spans="1:10">
      <c r="A13">
        <v>1987</v>
      </c>
      <c r="B13" s="185">
        <v>0.34666632762040378</v>
      </c>
      <c r="C13" s="59">
        <v>0.31276382037328992</v>
      </c>
      <c r="D13" s="59">
        <v>0.1654312668463612</v>
      </c>
      <c r="E13" s="59">
        <v>6.2554035498143729E-2</v>
      </c>
      <c r="F13" s="59">
        <v>4.6553170930173422E-2</v>
      </c>
      <c r="G13" s="59">
        <v>2.9541524691044093E-2</v>
      </c>
      <c r="H13" s="59">
        <v>3.6292783400294973E-2</v>
      </c>
      <c r="I13" s="60">
        <v>1.9707064028886743E-4</v>
      </c>
      <c r="J13" s="61"/>
    </row>
    <row r="14" spans="1:10">
      <c r="A14">
        <v>1988</v>
      </c>
      <c r="B14" s="185">
        <v>0.34353114405206758</v>
      </c>
      <c r="C14" s="59">
        <v>0.31649508772798141</v>
      </c>
      <c r="D14" s="59">
        <v>0.16321858991808755</v>
      </c>
      <c r="E14" s="59">
        <v>6.6971466752456132E-2</v>
      </c>
      <c r="F14" s="59">
        <v>4.5540597391670171E-2</v>
      </c>
      <c r="G14" s="59">
        <v>2.7555742532604122E-2</v>
      </c>
      <c r="H14" s="59">
        <v>3.6464648964339624E-2</v>
      </c>
      <c r="I14" s="60">
        <v>2.227226607933876E-4</v>
      </c>
      <c r="J14" s="61"/>
    </row>
    <row r="15" spans="1:10">
      <c r="A15">
        <v>1989</v>
      </c>
      <c r="B15" s="185">
        <v>0.36511927852986464</v>
      </c>
      <c r="C15" s="59">
        <v>0.3193275210462117</v>
      </c>
      <c r="D15" s="59">
        <v>0.14321922054030276</v>
      </c>
      <c r="E15" s="59">
        <v>6.8942590333739923E-2</v>
      </c>
      <c r="F15" s="59">
        <v>3.9702853486372452E-2</v>
      </c>
      <c r="G15" s="59">
        <v>2.7305085084684756E-2</v>
      </c>
      <c r="H15" s="59">
        <v>3.6278469875422423E-2</v>
      </c>
      <c r="I15" s="60">
        <v>1.0498110340138776E-4</v>
      </c>
      <c r="J15" s="61"/>
    </row>
    <row r="16" spans="1:10">
      <c r="A16">
        <v>1990</v>
      </c>
      <c r="B16" s="185">
        <v>0.36432427055956601</v>
      </c>
      <c r="C16" s="59">
        <v>0.33232720859681941</v>
      </c>
      <c r="D16" s="59">
        <v>0.13553227059017059</v>
      </c>
      <c r="E16" s="59">
        <v>7.3355292101346989E-2</v>
      </c>
      <c r="F16" s="59">
        <v>3.4942750354821556E-2</v>
      </c>
      <c r="G16" s="59">
        <v>2.4388004544776375E-2</v>
      </c>
      <c r="H16" s="59">
        <v>3.5019261741628699E-2</v>
      </c>
      <c r="I16" s="60">
        <v>1.1094151087035528E-4</v>
      </c>
      <c r="J16" s="61"/>
    </row>
    <row r="17" spans="1:15">
      <c r="A17">
        <v>1991</v>
      </c>
      <c r="B17" s="185">
        <v>0.35563547933939582</v>
      </c>
      <c r="C17" s="59">
        <v>0.33566939885334729</v>
      </c>
      <c r="D17" s="59">
        <v>0.14185990689841066</v>
      </c>
      <c r="E17" s="59">
        <v>7.011344542775183E-2</v>
      </c>
      <c r="F17" s="59">
        <v>3.7236700756696349E-2</v>
      </c>
      <c r="G17" s="59">
        <v>2.4998917880935424E-2</v>
      </c>
      <c r="H17" s="59">
        <v>3.436416651254668E-2</v>
      </c>
      <c r="I17" s="60">
        <v>1.2198433091594493E-4</v>
      </c>
      <c r="J17" s="61"/>
    </row>
    <row r="18" spans="1:15">
      <c r="A18">
        <v>1992</v>
      </c>
      <c r="B18" s="185">
        <v>0.34832434395414386</v>
      </c>
      <c r="C18" s="59">
        <v>0.34877415680723661</v>
      </c>
      <c r="D18" s="59">
        <v>0.14044065152709401</v>
      </c>
      <c r="E18" s="59">
        <v>6.0295555931545911E-2</v>
      </c>
      <c r="F18" s="59">
        <v>3.7359227147237363E-2</v>
      </c>
      <c r="G18" s="59">
        <v>2.371215278780801E-2</v>
      </c>
      <c r="H18" s="59">
        <v>4.0920589461173724E-2</v>
      </c>
      <c r="I18" s="60">
        <v>1.73322383760518E-4</v>
      </c>
      <c r="J18" s="61"/>
    </row>
    <row r="19" spans="1:15">
      <c r="A19">
        <v>1993</v>
      </c>
      <c r="B19" s="185">
        <v>0.35783013210735765</v>
      </c>
      <c r="C19" s="59">
        <v>0.34206628990932386</v>
      </c>
      <c r="D19" s="59">
        <v>0.14818920244952843</v>
      </c>
      <c r="E19" s="59">
        <v>5.3974123675746395E-2</v>
      </c>
      <c r="F19" s="59">
        <v>3.8460140647998402E-2</v>
      </c>
      <c r="G19" s="59">
        <v>2.5531064309207537E-2</v>
      </c>
      <c r="H19" s="59">
        <v>3.3812760080681799E-2</v>
      </c>
      <c r="I19" s="60">
        <v>1.3628682015591213E-4</v>
      </c>
      <c r="J19" s="61"/>
    </row>
    <row r="20" spans="1:15">
      <c r="A20">
        <v>1994</v>
      </c>
      <c r="B20" s="185">
        <v>0.37916652942920193</v>
      </c>
      <c r="C20" s="59">
        <v>0.32689140673890849</v>
      </c>
      <c r="D20" s="59">
        <v>0.14267069595863113</v>
      </c>
      <c r="E20" s="59">
        <v>5.7034517967128884E-2</v>
      </c>
      <c r="F20" s="59">
        <v>4.1685879911728861E-2</v>
      </c>
      <c r="G20" s="59">
        <v>2.543559171305293E-2</v>
      </c>
      <c r="H20" s="59">
        <v>2.6855999473008135E-2</v>
      </c>
      <c r="I20" s="60">
        <v>2.5937880833964625E-4</v>
      </c>
      <c r="J20" s="61"/>
    </row>
    <row r="21" spans="1:15">
      <c r="A21">
        <v>1995</v>
      </c>
      <c r="B21" s="185">
        <v>0.3892097171442121</v>
      </c>
      <c r="C21" s="59">
        <v>0.32220547966161328</v>
      </c>
      <c r="D21" s="59">
        <v>0.13915235050253177</v>
      </c>
      <c r="E21" s="59">
        <v>5.4635989536324557E-2</v>
      </c>
      <c r="F21" s="59">
        <v>4.4585353913934742E-2</v>
      </c>
      <c r="G21" s="59">
        <v>2.2483899095901726E-2</v>
      </c>
      <c r="H21" s="59">
        <v>2.7455674708195016E-2</v>
      </c>
      <c r="I21" s="60">
        <v>2.7153543728678734E-4</v>
      </c>
      <c r="J21" s="61"/>
    </row>
    <row r="22" spans="1:15">
      <c r="A22">
        <v>1996</v>
      </c>
      <c r="B22" s="185">
        <v>0.40546090175697602</v>
      </c>
      <c r="C22" s="59">
        <v>0.30478981111290138</v>
      </c>
      <c r="D22" s="59">
        <v>0.13589679217922729</v>
      </c>
      <c r="E22" s="59">
        <v>5.4552812323187663E-2</v>
      </c>
      <c r="F22" s="59">
        <v>4.8156655263246639E-2</v>
      </c>
      <c r="G22" s="59">
        <v>2.1121931661914201E-2</v>
      </c>
      <c r="H22" s="59">
        <v>2.9668876157359702E-2</v>
      </c>
      <c r="I22" s="60">
        <v>3.5221954518714475E-4</v>
      </c>
      <c r="J22" s="61"/>
    </row>
    <row r="23" spans="1:15">
      <c r="A23">
        <v>1997</v>
      </c>
      <c r="B23" s="185">
        <v>0.41668206579988026</v>
      </c>
      <c r="C23" s="59">
        <v>0.28970943683521944</v>
      </c>
      <c r="D23" s="59">
        <v>0.1327380644398288</v>
      </c>
      <c r="E23" s="59">
        <v>5.7491739904944231E-2</v>
      </c>
      <c r="F23" s="59">
        <v>5.3407889776700246E-2</v>
      </c>
      <c r="G23" s="59">
        <v>2.1697994663276394E-2</v>
      </c>
      <c r="H23" s="59">
        <v>2.8080627397645042E-2</v>
      </c>
      <c r="I23" s="60">
        <v>1.9218118250559913E-4</v>
      </c>
      <c r="J23" s="61"/>
    </row>
    <row r="24" spans="1:15">
      <c r="A24">
        <v>1998</v>
      </c>
      <c r="B24" s="185">
        <v>0.41872641492813928</v>
      </c>
      <c r="C24" s="59">
        <v>0.29059979634477634</v>
      </c>
      <c r="D24" s="59">
        <v>0.1260477849851839</v>
      </c>
      <c r="E24" s="59">
        <v>5.8594919894437533E-2</v>
      </c>
      <c r="F24" s="59">
        <v>5.5110231032405137E-2</v>
      </c>
      <c r="G24" s="59">
        <v>2.2391504265132322E-2</v>
      </c>
      <c r="H24" s="59">
        <v>2.8300324509448121E-2</v>
      </c>
      <c r="I24" s="60">
        <v>2.2902404047735658E-4</v>
      </c>
      <c r="J24" s="61"/>
    </row>
    <row r="25" spans="1:15">
      <c r="A25">
        <v>1999</v>
      </c>
      <c r="B25" s="185">
        <v>0.42173645274506749</v>
      </c>
      <c r="C25" s="59">
        <v>0.28098449940268161</v>
      </c>
      <c r="D25" s="59">
        <v>0.12119997922370872</v>
      </c>
      <c r="E25" s="59">
        <v>6.4595715631933157E-2</v>
      </c>
      <c r="F25" s="59">
        <v>6.0930184241183058E-2</v>
      </c>
      <c r="G25" s="59">
        <v>2.0876462688006886E-2</v>
      </c>
      <c r="H25" s="59">
        <v>2.9480073310627814E-2</v>
      </c>
      <c r="I25" s="60">
        <v>1.9663275679125022E-4</v>
      </c>
      <c r="J25" s="61"/>
    </row>
    <row r="26" spans="1:15">
      <c r="A26">
        <v>2000</v>
      </c>
      <c r="B26" s="185">
        <v>0.45402859166059462</v>
      </c>
      <c r="C26" s="59">
        <v>0.25747546378492286</v>
      </c>
      <c r="D26" s="59">
        <v>0.11400745066245214</v>
      </c>
      <c r="E26" s="59">
        <v>6.6946494117808036E-2</v>
      </c>
      <c r="F26" s="59">
        <v>5.9122956455701398E-2</v>
      </c>
      <c r="G26" s="59">
        <v>1.883532941301232E-2</v>
      </c>
      <c r="H26" s="59">
        <v>2.9364778002415135E-2</v>
      </c>
      <c r="I26" s="60">
        <v>2.1893590309349589E-4</v>
      </c>
      <c r="J26" s="61"/>
    </row>
    <row r="27" spans="1:15">
      <c r="A27">
        <v>2001</v>
      </c>
      <c r="B27" s="185">
        <v>0.46528890937484951</v>
      </c>
      <c r="C27" s="59">
        <v>0.26392605791258761</v>
      </c>
      <c r="D27" s="59">
        <v>0.10513425566020212</v>
      </c>
      <c r="E27" s="59">
        <v>5.6495387219053776E-2</v>
      </c>
      <c r="F27" s="59">
        <v>6.1538144017831961E-2</v>
      </c>
      <c r="G27" s="59">
        <v>1.9730731922095256E-2</v>
      </c>
      <c r="H27" s="59">
        <v>2.7666366256871015E-2</v>
      </c>
      <c r="I27" s="60">
        <v>2.2014763650873368E-4</v>
      </c>
      <c r="J27" s="61"/>
    </row>
    <row r="28" spans="1:15">
      <c r="A28">
        <v>2002</v>
      </c>
      <c r="B28" s="185">
        <v>0.4784962860887978</v>
      </c>
      <c r="C28" s="59">
        <v>0.25017645279467615</v>
      </c>
      <c r="D28" s="59">
        <v>0.10325345343326724</v>
      </c>
      <c r="E28" s="59">
        <v>6.0857728632406814E-2</v>
      </c>
      <c r="F28" s="59">
        <v>5.8928511410614053E-2</v>
      </c>
      <c r="G28" s="59">
        <v>2.1093671226430948E-2</v>
      </c>
      <c r="H28" s="59">
        <v>2.6911571942325144E-2</v>
      </c>
      <c r="I28" s="60">
        <v>2.8232447148186736E-4</v>
      </c>
      <c r="J28" s="61"/>
    </row>
    <row r="29" spans="1:15">
      <c r="A29">
        <v>2003</v>
      </c>
      <c r="B29" s="185">
        <v>0.47492478444939523</v>
      </c>
      <c r="C29" s="59">
        <v>0.2517045492788057</v>
      </c>
      <c r="D29" s="59">
        <v>0.1033061188775888</v>
      </c>
      <c r="E29" s="59">
        <v>5.5211916027811246E-2</v>
      </c>
      <c r="F29" s="59">
        <v>6.6438720359688508E-2</v>
      </c>
      <c r="G29" s="59">
        <v>2.1531503032179468E-2</v>
      </c>
      <c r="H29" s="59">
        <v>2.6596353307801551E-2</v>
      </c>
      <c r="I29" s="60">
        <v>2.860546667294865E-4</v>
      </c>
      <c r="J29" s="61"/>
    </row>
    <row r="30" spans="1:15">
      <c r="A30">
        <v>2004</v>
      </c>
      <c r="B30" s="185">
        <v>0.50229981372413091</v>
      </c>
      <c r="C30" s="59">
        <v>0.24614939445271666</v>
      </c>
      <c r="D30" s="59">
        <v>9.823490050216116E-2</v>
      </c>
      <c r="E30" s="59">
        <v>5.1463983651127601E-2</v>
      </c>
      <c r="F30" s="59">
        <v>5.7413960441998278E-2</v>
      </c>
      <c r="G30" s="59">
        <v>2.0122616542985115E-2</v>
      </c>
      <c r="H30" s="59">
        <v>2.4104338600097659E-2</v>
      </c>
      <c r="I30" s="60">
        <v>2.1099208478264801E-4</v>
      </c>
      <c r="J30" s="61"/>
    </row>
    <row r="31" spans="1:15">
      <c r="A31">
        <v>2005</v>
      </c>
      <c r="B31" s="185">
        <v>0.58484737450322721</v>
      </c>
      <c r="C31" s="59">
        <v>0.14651483976436766</v>
      </c>
      <c r="D31" s="59">
        <v>0.10911243270667155</v>
      </c>
      <c r="E31" s="59">
        <v>5.4967727388032357E-2</v>
      </c>
      <c r="F31" s="59">
        <v>5.9170213365652924E-2</v>
      </c>
      <c r="G31" s="59">
        <v>1.9885002395783422E-2</v>
      </c>
      <c r="H31" s="59">
        <v>2.5291017221454944E-2</v>
      </c>
      <c r="I31" s="60">
        <v>2.1139265480988754E-4</v>
      </c>
      <c r="J31" s="61"/>
    </row>
    <row r="32" spans="1:15">
      <c r="A32">
        <v>2006</v>
      </c>
      <c r="B32" s="185">
        <v>0.59901718363642054</v>
      </c>
      <c r="C32" s="59">
        <v>0.1446546504920789</v>
      </c>
      <c r="D32" s="59">
        <v>9.9797445035167659E-2</v>
      </c>
      <c r="E32" s="59">
        <v>5.0551548673555623E-2</v>
      </c>
      <c r="F32" s="59">
        <v>5.9246209360453939E-2</v>
      </c>
      <c r="G32" s="59">
        <v>1.7286478897170939E-2</v>
      </c>
      <c r="H32" s="59">
        <v>2.9187142007574572E-2</v>
      </c>
      <c r="I32" s="60">
        <v>2.5934189757783612E-4</v>
      </c>
      <c r="J32" s="61"/>
      <c r="O32" s="62"/>
    </row>
    <row r="33" spans="1:15">
      <c r="A33">
        <v>2007</v>
      </c>
      <c r="B33" s="185">
        <v>0.62632696390658171</v>
      </c>
      <c r="C33" s="59">
        <v>0.14760049832429681</v>
      </c>
      <c r="D33" s="59">
        <v>8.6713691635521395E-2</v>
      </c>
      <c r="E33" s="59">
        <v>4.6856521205102558E-2</v>
      </c>
      <c r="F33" s="59">
        <v>5.1260725377691212E-2</v>
      </c>
      <c r="G33" s="59">
        <v>1.6397325893562142E-2</v>
      </c>
      <c r="H33" s="59">
        <v>2.4547735607376605E-2</v>
      </c>
      <c r="I33" s="60">
        <v>2.9653804986752292E-4</v>
      </c>
      <c r="J33" s="61"/>
      <c r="N33" s="62"/>
      <c r="O33" s="62"/>
    </row>
    <row r="34" spans="1:15">
      <c r="A34">
        <v>2008</v>
      </c>
      <c r="B34" s="185">
        <v>0.61401598968353488</v>
      </c>
      <c r="C34" s="59">
        <v>0.15679435943920969</v>
      </c>
      <c r="D34" s="59">
        <v>7.8365778141570877E-2</v>
      </c>
      <c r="E34" s="59">
        <v>4.5494606255613031E-2</v>
      </c>
      <c r="F34" s="59">
        <v>6.2434710885671041E-2</v>
      </c>
      <c r="G34" s="59">
        <v>1.7455090509815085E-2</v>
      </c>
      <c r="H34" s="59">
        <v>2.5014497061859015E-2</v>
      </c>
      <c r="I34" s="60">
        <v>4.2496802272636876E-4</v>
      </c>
      <c r="J34" s="61"/>
      <c r="K34" s="63"/>
      <c r="M34" s="2"/>
      <c r="N34" s="62"/>
      <c r="O34" s="62"/>
    </row>
    <row r="35" spans="1:15">
      <c r="A35">
        <v>2009</v>
      </c>
      <c r="B35" s="186">
        <f>DataFig2!M29</f>
        <v>0.63118161874186618</v>
      </c>
      <c r="C35" s="59">
        <f>DataFig2!M30/DataFig2!N30*C34</f>
        <v>0.12727507747676389</v>
      </c>
      <c r="M35" s="2"/>
      <c r="N35" s="62"/>
      <c r="O35" s="62"/>
    </row>
    <row r="36" spans="1:15">
      <c r="A36">
        <v>2010</v>
      </c>
      <c r="B36" s="186">
        <f>DataFig2!L29</f>
        <v>0.63087675548927147</v>
      </c>
      <c r="C36" s="62">
        <f>C35*DataFig2!L30/DataFig2!M30</f>
        <v>0.12551943884289846</v>
      </c>
      <c r="M36" s="2"/>
      <c r="N36" s="62"/>
      <c r="O36" s="62"/>
    </row>
    <row r="37" spans="1:15">
      <c r="A37">
        <v>2011</v>
      </c>
      <c r="B37" s="186">
        <f>DataFig2!K29</f>
        <v>0.59706353631610865</v>
      </c>
      <c r="C37" s="62">
        <f>C36*DataFig2!K30/DataFig2!L30</f>
        <v>0.13031763019654183</v>
      </c>
      <c r="M37" s="2"/>
      <c r="N37" s="62"/>
      <c r="O37" s="62"/>
    </row>
    <row r="38" spans="1:15">
      <c r="A38">
        <v>2012</v>
      </c>
      <c r="B38" s="186">
        <f>DataFig2!J29</f>
        <v>0.62276265337736503</v>
      </c>
      <c r="C38" s="62">
        <f>C37*DataFig2!J30/DataFig2!K30</f>
        <v>0.10580759351539211</v>
      </c>
      <c r="M38" s="2"/>
      <c r="N38" s="62"/>
      <c r="O38" s="62"/>
    </row>
    <row r="39" spans="1:15">
      <c r="A39">
        <v>2013</v>
      </c>
      <c r="B39" s="184">
        <f>DataFig2!I29</f>
        <v>0.61830016993452308</v>
      </c>
      <c r="C39" s="62">
        <f>C38*DataFig2!I30/DataFig2!J30</f>
        <v>0.11631391349630664</v>
      </c>
    </row>
    <row r="40" spans="1:15">
      <c r="A40">
        <v>2014</v>
      </c>
      <c r="B40" s="184"/>
      <c r="C40" s="62"/>
    </row>
    <row r="41" spans="1:15">
      <c r="A41">
        <v>2015</v>
      </c>
      <c r="B41" s="184"/>
    </row>
    <row r="43" spans="1:15">
      <c r="B43" t="s">
        <v>146</v>
      </c>
    </row>
  </sheetData>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Views>
    <sheetView workbookViewId="0">
      <pane xSplit="1" ySplit="1" topLeftCell="B2" activePane="bottomRight" state="frozen"/>
      <selection pane="topRight" activeCell="B1" sqref="B1"/>
      <selection pane="bottomLeft" activeCell="A2" sqref="A2"/>
      <selection pane="bottomRight" activeCell="C2" sqref="C2"/>
    </sheetView>
  </sheetViews>
  <sheetFormatPr baseColWidth="10" defaultRowHeight="15" x14ac:dyDescent="0"/>
  <cols>
    <col min="1" max="16384" width="10.83203125" style="76"/>
  </cols>
  <sheetData>
    <row r="1" spans="1:3">
      <c r="B1" s="76" t="s">
        <v>34</v>
      </c>
      <c r="C1" s="122" t="s">
        <v>121</v>
      </c>
    </row>
    <row r="2" spans="1:3">
      <c r="A2" s="76">
        <v>1970</v>
      </c>
      <c r="B2" s="114">
        <v>1.8088810694264948E-2</v>
      </c>
      <c r="C2" s="114">
        <v>0.4501281765954856</v>
      </c>
    </row>
    <row r="3" spans="1:3" ht="15" customHeight="1">
      <c r="A3" s="76">
        <v>1971</v>
      </c>
      <c r="B3" s="114">
        <v>4.142795814542459E-2</v>
      </c>
      <c r="C3" s="114">
        <v>0.3905309971975392</v>
      </c>
    </row>
    <row r="4" spans="1:3">
      <c r="A4" s="76">
        <v>1972</v>
      </c>
      <c r="B4" s="114">
        <v>7.3390782418514322E-2</v>
      </c>
      <c r="C4" s="114">
        <v>0.36250888539773279</v>
      </c>
    </row>
    <row r="5" spans="1:3">
      <c r="A5" s="76">
        <v>1973</v>
      </c>
      <c r="B5" s="114">
        <v>6.3235995744883186E-2</v>
      </c>
      <c r="C5" s="114">
        <v>0.39211404201147315</v>
      </c>
    </row>
    <row r="6" spans="1:3">
      <c r="A6" s="76">
        <v>1974</v>
      </c>
      <c r="B6" s="114">
        <v>6.0347297604539746E-2</v>
      </c>
      <c r="C6" s="114">
        <v>0.41294521991809602</v>
      </c>
    </row>
    <row r="7" spans="1:3">
      <c r="A7" s="76">
        <v>1975</v>
      </c>
      <c r="B7" s="114">
        <v>0.15858148517669662</v>
      </c>
      <c r="C7" s="114">
        <v>0.2783343389317573</v>
      </c>
    </row>
    <row r="8" spans="1:3">
      <c r="A8" s="76">
        <v>1976</v>
      </c>
      <c r="B8" s="114">
        <v>0.17454679743415494</v>
      </c>
      <c r="C8" s="114">
        <v>0.29064718741234047</v>
      </c>
    </row>
    <row r="9" spans="1:3">
      <c r="A9" s="76">
        <v>1977</v>
      </c>
      <c r="B9" s="114">
        <v>0.19524552331394593</v>
      </c>
      <c r="C9" s="114">
        <v>0.25920674627773438</v>
      </c>
    </row>
    <row r="10" spans="1:3">
      <c r="A10" s="76">
        <v>1978</v>
      </c>
      <c r="B10" s="114">
        <v>0.18482959501195032</v>
      </c>
      <c r="C10" s="114">
        <v>0.26856303851948898</v>
      </c>
    </row>
    <row r="11" spans="1:3">
      <c r="A11" s="76">
        <v>1979</v>
      </c>
      <c r="B11" s="114">
        <v>0.14042651177288545</v>
      </c>
      <c r="C11" s="114">
        <v>0.28289279754717983</v>
      </c>
    </row>
    <row r="12" spans="1:3">
      <c r="A12" s="76">
        <v>1980</v>
      </c>
      <c r="B12" s="114">
        <v>0.11177974899383951</v>
      </c>
      <c r="C12" s="114">
        <v>0.27925049524945472</v>
      </c>
    </row>
    <row r="13" spans="1:3">
      <c r="A13" s="76">
        <v>1981</v>
      </c>
      <c r="B13" s="114">
        <v>0.13803882544276927</v>
      </c>
      <c r="C13" s="114">
        <v>0.26420699276414378</v>
      </c>
    </row>
    <row r="14" spans="1:3">
      <c r="A14" s="76">
        <v>1982</v>
      </c>
      <c r="B14" s="114">
        <v>0.24799876209308336</v>
      </c>
      <c r="C14" s="114">
        <v>0.2398964287271485</v>
      </c>
    </row>
    <row r="15" spans="1:3">
      <c r="A15" s="76">
        <v>1983</v>
      </c>
      <c r="B15" s="114">
        <v>0.29805198988466047</v>
      </c>
      <c r="C15" s="114">
        <v>0.21848151167627147</v>
      </c>
    </row>
    <row r="16" spans="1:3">
      <c r="A16" s="76">
        <v>1984</v>
      </c>
      <c r="B16" s="114">
        <v>0.26489531623047047</v>
      </c>
      <c r="C16" s="114">
        <v>0.237873228866501</v>
      </c>
    </row>
    <row r="17" spans="1:3">
      <c r="A17" s="76">
        <v>1985</v>
      </c>
      <c r="B17" s="114">
        <v>0.26145909168646453</v>
      </c>
      <c r="C17" s="114">
        <v>0.24214290578095105</v>
      </c>
    </row>
    <row r="18" spans="1:3">
      <c r="A18" s="76">
        <v>1986</v>
      </c>
      <c r="B18" s="114">
        <v>0.25223737741729912</v>
      </c>
      <c r="C18" s="114">
        <v>0.24536283524159438</v>
      </c>
    </row>
    <row r="19" spans="1:3">
      <c r="A19" s="76">
        <v>1987</v>
      </c>
      <c r="B19" s="114">
        <v>0.24499974695108018</v>
      </c>
      <c r="C19" s="114">
        <v>0.22181087212122438</v>
      </c>
    </row>
    <row r="20" spans="1:3">
      <c r="A20" s="76">
        <v>1988</v>
      </c>
      <c r="B20" s="114">
        <v>0.2358332037928704</v>
      </c>
      <c r="C20" s="114">
        <v>0.22655664910315215</v>
      </c>
    </row>
    <row r="21" spans="1:3">
      <c r="A21" s="76">
        <v>1989</v>
      </c>
      <c r="B21" s="114">
        <v>0.20877019468400854</v>
      </c>
      <c r="C21" s="114">
        <v>0.24344312892237768</v>
      </c>
    </row>
    <row r="22" spans="1:3">
      <c r="A22" s="76">
        <v>1990</v>
      </c>
      <c r="B22" s="114">
        <v>0.21470665341310718</v>
      </c>
      <c r="C22" s="114">
        <v>0.22227828901152349</v>
      </c>
    </row>
    <row r="23" spans="1:3">
      <c r="A23" s="76">
        <v>1991</v>
      </c>
      <c r="B23" s="114">
        <v>0.24069849481941821</v>
      </c>
      <c r="C23" s="114">
        <v>0.19186689125642009</v>
      </c>
    </row>
    <row r="24" spans="1:3">
      <c r="A24" s="76">
        <v>1992</v>
      </c>
      <c r="B24" s="114">
        <v>0.24666613651773098</v>
      </c>
      <c r="C24" s="114">
        <v>0.18102710864760582</v>
      </c>
    </row>
    <row r="25" spans="1:3">
      <c r="A25" s="76">
        <v>1993</v>
      </c>
      <c r="B25" s="114">
        <v>0.23963026405713489</v>
      </c>
      <c r="C25" s="114">
        <v>0.17392705549881154</v>
      </c>
    </row>
    <row r="26" spans="1:3">
      <c r="A26" s="76">
        <v>1994</v>
      </c>
      <c r="B26" s="114">
        <v>0.29767833123160053</v>
      </c>
      <c r="C26" s="114">
        <v>0.15700687180597195</v>
      </c>
    </row>
    <row r="27" spans="1:3">
      <c r="A27" s="76">
        <v>1995</v>
      </c>
      <c r="B27" s="114">
        <v>0.30950279391091551</v>
      </c>
      <c r="C27" s="114">
        <v>0.15273237829892722</v>
      </c>
    </row>
    <row r="28" spans="1:3">
      <c r="A28" s="76">
        <v>1996</v>
      </c>
      <c r="B28" s="114">
        <v>0.31973753173687292</v>
      </c>
      <c r="C28" s="114">
        <v>0.14069443766176687</v>
      </c>
    </row>
    <row r="29" spans="1:3">
      <c r="A29" s="76">
        <v>1997</v>
      </c>
      <c r="B29" s="114">
        <v>0.2921764722786146</v>
      </c>
      <c r="C29" s="114">
        <v>0.14703750618103489</v>
      </c>
    </row>
    <row r="30" spans="1:3">
      <c r="A30" s="76">
        <v>1998</v>
      </c>
      <c r="B30" s="114">
        <v>0.29787345974550261</v>
      </c>
      <c r="C30" s="114">
        <v>0.14623818235316691</v>
      </c>
    </row>
    <row r="31" spans="1:3">
      <c r="A31" s="76">
        <v>1999</v>
      </c>
      <c r="B31" s="114">
        <v>0.33338294665777085</v>
      </c>
      <c r="C31" s="114">
        <v>0.1287063733354275</v>
      </c>
    </row>
    <row r="32" spans="1:3">
      <c r="A32" s="76">
        <v>2000</v>
      </c>
      <c r="B32" s="114">
        <v>0.35342619548606485</v>
      </c>
      <c r="C32" s="114">
        <v>0.12613002843543933</v>
      </c>
    </row>
    <row r="33" spans="1:3">
      <c r="A33" s="76">
        <v>2001</v>
      </c>
      <c r="B33" s="114">
        <v>0.32718071378555852</v>
      </c>
      <c r="C33" s="114">
        <v>0.12429339515611898</v>
      </c>
    </row>
    <row r="34" spans="1:3">
      <c r="A34" s="76">
        <v>2002</v>
      </c>
      <c r="B34" s="114">
        <v>0.33196906383721297</v>
      </c>
      <c r="C34" s="114">
        <v>0.11716073567230831</v>
      </c>
    </row>
    <row r="35" spans="1:3">
      <c r="A35" s="76">
        <v>2003</v>
      </c>
      <c r="B35" s="114">
        <v>0.34382027034740031</v>
      </c>
      <c r="C35" s="114">
        <v>0.11546175232619194</v>
      </c>
    </row>
    <row r="36" spans="1:3">
      <c r="A36" s="76">
        <v>2004</v>
      </c>
      <c r="B36" s="114">
        <v>0.33950227099823183</v>
      </c>
      <c r="C36" s="114">
        <v>0.11392405063291139</v>
      </c>
    </row>
    <row r="37" spans="1:3">
      <c r="A37" s="76">
        <v>2005</v>
      </c>
      <c r="B37" s="114">
        <v>0.36719102258222469</v>
      </c>
      <c r="C37" s="114">
        <v>0.10552463127878758</v>
      </c>
    </row>
    <row r="38" spans="1:3">
      <c r="A38" s="76">
        <v>2006</v>
      </c>
      <c r="B38" s="114">
        <v>0.40077527399992957</v>
      </c>
      <c r="C38" s="114">
        <v>9.7869402765326768E-2</v>
      </c>
    </row>
    <row r="39" spans="1:3">
      <c r="A39" s="76">
        <v>2007</v>
      </c>
      <c r="B39" s="114">
        <v>0.39638010103410887</v>
      </c>
      <c r="C39" s="114">
        <v>0.10611972041375924</v>
      </c>
    </row>
    <row r="40" spans="1:3">
      <c r="A40" s="76">
        <v>2008</v>
      </c>
      <c r="B40" s="114">
        <v>0.39913957715204207</v>
      </c>
      <c r="C40" s="114">
        <v>8.8367100421236133E-2</v>
      </c>
    </row>
    <row r="41" spans="1:3">
      <c r="A41" s="76">
        <v>2009</v>
      </c>
      <c r="B41" s="114">
        <v>0.41350205560902464</v>
      </c>
      <c r="C41" s="114">
        <v>6.6464532923149744E-2</v>
      </c>
    </row>
    <row r="42" spans="1:3">
      <c r="A42" s="76">
        <v>2010</v>
      </c>
      <c r="B42" s="114">
        <v>0.41832831253370034</v>
      </c>
      <c r="C42" s="114">
        <v>7.2844983206240485E-2</v>
      </c>
    </row>
    <row r="43" spans="1:3">
      <c r="A43" s="76">
        <v>2011</v>
      </c>
      <c r="B43" s="114">
        <v>0.40805416844911302</v>
      </c>
      <c r="C43" s="114">
        <v>7.7748390509489215E-2</v>
      </c>
    </row>
    <row r="44" spans="1:3">
      <c r="A44" s="76">
        <v>2012</v>
      </c>
      <c r="B44" s="114">
        <v>0.40805416844911291</v>
      </c>
      <c r="C44" s="114">
        <v>7.7748390509489201E-2</v>
      </c>
    </row>
    <row r="45" spans="1:3">
      <c r="A45" s="76">
        <v>2013</v>
      </c>
      <c r="B45" s="114">
        <v>0.40805416844911302</v>
      </c>
      <c r="C45" s="114">
        <v>7.7748390509489215E-2</v>
      </c>
    </row>
  </sheetData>
  <pageMargins left="0.75" right="0.75" top="1" bottom="1" header="0.5" footer="0.5"/>
  <pageSetup paperSize="9" orientation="landscape"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B2:F36"/>
  <sheetViews>
    <sheetView topLeftCell="A2" workbookViewId="0">
      <selection activeCell="B3" sqref="B3:F6"/>
    </sheetView>
  </sheetViews>
  <sheetFormatPr baseColWidth="10" defaultRowHeight="12" x14ac:dyDescent="0"/>
  <cols>
    <col min="1" max="1" width="20.6640625" style="43" customWidth="1"/>
    <col min="2" max="2" width="22.6640625" style="43" customWidth="1"/>
    <col min="3" max="3" width="5.6640625" style="43" customWidth="1"/>
    <col min="4" max="4" width="24.1640625" style="43" customWidth="1"/>
    <col min="5" max="5" width="5.6640625" style="43" customWidth="1"/>
    <col min="6" max="6" width="22.6640625" style="43" customWidth="1"/>
    <col min="7" max="9" width="20.6640625" style="43" customWidth="1"/>
    <col min="10" max="16384" width="10.83203125" style="43"/>
  </cols>
  <sheetData>
    <row r="2" spans="2:6" ht="13" thickBot="1">
      <c r="B2" s="73"/>
      <c r="C2" s="73"/>
      <c r="D2" s="73"/>
      <c r="E2" s="73"/>
      <c r="F2" s="73"/>
    </row>
    <row r="3" spans="2:6" ht="13" thickTop="1">
      <c r="B3" s="202" t="s">
        <v>41</v>
      </c>
      <c r="C3" s="202"/>
      <c r="D3" s="202"/>
      <c r="E3" s="202"/>
      <c r="F3" s="202"/>
    </row>
    <row r="4" spans="2:6">
      <c r="B4" s="203"/>
      <c r="C4" s="203"/>
      <c r="D4" s="203"/>
      <c r="E4" s="203"/>
      <c r="F4" s="203"/>
    </row>
    <row r="5" spans="2:6">
      <c r="B5" s="203"/>
      <c r="C5" s="203"/>
      <c r="D5" s="203"/>
      <c r="E5" s="203"/>
      <c r="F5" s="203"/>
    </row>
    <row r="6" spans="2:6">
      <c r="B6" s="204"/>
      <c r="C6" s="204"/>
      <c r="D6" s="204"/>
      <c r="E6" s="204"/>
      <c r="F6" s="204"/>
    </row>
    <row r="7" spans="2:6">
      <c r="B7" s="209" t="s">
        <v>40</v>
      </c>
      <c r="C7" s="209"/>
      <c r="D7" s="209"/>
      <c r="E7" s="209"/>
      <c r="F7" s="209"/>
    </row>
    <row r="8" spans="2:6">
      <c r="B8" s="210"/>
      <c r="C8" s="210"/>
      <c r="D8" s="210"/>
      <c r="E8" s="210"/>
      <c r="F8" s="210"/>
    </row>
    <row r="9" spans="2:6">
      <c r="B9" s="210"/>
      <c r="C9" s="210"/>
      <c r="D9" s="210"/>
      <c r="E9" s="210"/>
      <c r="F9" s="210"/>
    </row>
    <row r="10" spans="2:6">
      <c r="B10" s="210"/>
      <c r="C10" s="210"/>
      <c r="D10" s="210"/>
      <c r="E10" s="210"/>
      <c r="F10" s="210"/>
    </row>
    <row r="11" spans="2:6">
      <c r="B11" s="210"/>
      <c r="C11" s="210"/>
      <c r="D11" s="210"/>
      <c r="E11" s="210"/>
      <c r="F11" s="210"/>
    </row>
    <row r="12" spans="2:6">
      <c r="B12" s="210"/>
      <c r="C12" s="210"/>
      <c r="D12" s="210"/>
      <c r="E12" s="210"/>
      <c r="F12" s="210"/>
    </row>
    <row r="13" spans="2:6">
      <c r="B13" s="210"/>
      <c r="C13" s="210"/>
      <c r="D13" s="210"/>
      <c r="E13" s="210"/>
      <c r="F13" s="210"/>
    </row>
    <row r="14" spans="2:6">
      <c r="B14" s="211"/>
      <c r="C14" s="211"/>
      <c r="D14" s="211"/>
      <c r="E14" s="211"/>
      <c r="F14" s="211"/>
    </row>
    <row r="15" spans="2:6" ht="24" customHeight="1" thickBot="1">
      <c r="B15" s="66"/>
      <c r="C15" s="66"/>
      <c r="D15" s="66"/>
      <c r="E15" s="66"/>
      <c r="F15" s="66"/>
    </row>
    <row r="16" spans="2:6" ht="15" customHeight="1">
      <c r="B16" s="237" t="s">
        <v>33</v>
      </c>
      <c r="C16" s="66"/>
      <c r="D16" s="269" t="s">
        <v>42</v>
      </c>
      <c r="E16" s="66"/>
      <c r="F16" s="237" t="s">
        <v>43</v>
      </c>
    </row>
    <row r="17" spans="2:6" ht="15" customHeight="1">
      <c r="B17" s="217"/>
      <c r="C17" s="66"/>
      <c r="D17" s="270"/>
      <c r="E17" s="66"/>
      <c r="F17" s="217"/>
    </row>
    <row r="18" spans="2:6" ht="15" customHeight="1">
      <c r="B18" s="217"/>
      <c r="C18" s="66"/>
      <c r="D18" s="270"/>
      <c r="E18" s="66"/>
      <c r="F18" s="217"/>
    </row>
    <row r="19" spans="2:6" ht="15" customHeight="1" thickBot="1">
      <c r="B19" s="218"/>
      <c r="C19" s="66"/>
      <c r="D19" s="270"/>
      <c r="E19" s="66"/>
      <c r="F19" s="218"/>
    </row>
    <row r="20" spans="2:6" ht="15" customHeight="1" thickBot="1">
      <c r="B20" s="69"/>
      <c r="C20" s="66"/>
      <c r="D20" s="270"/>
      <c r="E20" s="66"/>
      <c r="F20" s="66"/>
    </row>
    <row r="21" spans="2:6" ht="15" customHeight="1">
      <c r="B21" s="237" t="s">
        <v>31</v>
      </c>
      <c r="C21" s="66"/>
      <c r="D21" s="270"/>
      <c r="E21" s="66"/>
      <c r="F21" s="237" t="s">
        <v>44</v>
      </c>
    </row>
    <row r="22" spans="2:6" ht="15" customHeight="1">
      <c r="B22" s="217"/>
      <c r="C22" s="66"/>
      <c r="D22" s="270"/>
      <c r="E22" s="66"/>
      <c r="F22" s="217"/>
    </row>
    <row r="23" spans="2:6" ht="15" customHeight="1">
      <c r="B23" s="217"/>
      <c r="C23" s="66"/>
      <c r="D23" s="270"/>
      <c r="E23" s="66"/>
      <c r="F23" s="217"/>
    </row>
    <row r="24" spans="2:6" ht="15" customHeight="1" thickBot="1">
      <c r="B24" s="218"/>
      <c r="C24" s="66"/>
      <c r="D24" s="270"/>
      <c r="E24" s="66"/>
      <c r="F24" s="218"/>
    </row>
    <row r="25" spans="2:6" ht="15" customHeight="1" thickBot="1">
      <c r="B25" s="69"/>
      <c r="C25" s="66"/>
      <c r="D25" s="270"/>
      <c r="E25" s="66"/>
      <c r="F25" s="66"/>
    </row>
    <row r="26" spans="2:6" ht="15" customHeight="1">
      <c r="B26" s="237" t="s">
        <v>32</v>
      </c>
      <c r="C26" s="66"/>
      <c r="D26" s="270"/>
      <c r="E26" s="66"/>
      <c r="F26" s="237" t="s">
        <v>45</v>
      </c>
    </row>
    <row r="27" spans="2:6" ht="15" customHeight="1">
      <c r="B27" s="217"/>
      <c r="C27" s="66"/>
      <c r="D27" s="270"/>
      <c r="E27" s="66"/>
      <c r="F27" s="217"/>
    </row>
    <row r="28" spans="2:6" ht="15" customHeight="1">
      <c r="B28" s="217"/>
      <c r="C28" s="66"/>
      <c r="D28" s="270"/>
      <c r="E28" s="66"/>
      <c r="F28" s="217"/>
    </row>
    <row r="29" spans="2:6" ht="15" customHeight="1" thickBot="1">
      <c r="B29" s="218"/>
      <c r="C29" s="66"/>
      <c r="D29" s="270"/>
      <c r="E29" s="66"/>
      <c r="F29" s="218"/>
    </row>
    <row r="30" spans="2:6" ht="15" customHeight="1" thickBot="1">
      <c r="B30" s="69"/>
      <c r="C30" s="66"/>
      <c r="D30" s="270"/>
      <c r="E30" s="66"/>
      <c r="F30" s="66"/>
    </row>
    <row r="31" spans="2:6" ht="15" customHeight="1">
      <c r="B31" s="266" t="s">
        <v>38</v>
      </c>
      <c r="C31" s="66"/>
      <c r="D31" s="270"/>
      <c r="E31" s="66"/>
      <c r="F31" s="237" t="s">
        <v>39</v>
      </c>
    </row>
    <row r="32" spans="2:6" ht="15" customHeight="1">
      <c r="B32" s="267"/>
      <c r="C32" s="66"/>
      <c r="D32" s="270"/>
      <c r="E32" s="66"/>
      <c r="F32" s="217"/>
    </row>
    <row r="33" spans="2:6" ht="15" customHeight="1">
      <c r="B33" s="267"/>
      <c r="C33" s="66"/>
      <c r="D33" s="270"/>
      <c r="E33" s="66"/>
      <c r="F33" s="217"/>
    </row>
    <row r="34" spans="2:6" ht="15" customHeight="1" thickBot="1">
      <c r="B34" s="268"/>
      <c r="C34" s="66"/>
      <c r="D34" s="271"/>
      <c r="E34" s="66"/>
      <c r="F34" s="218"/>
    </row>
    <row r="35" spans="2:6" ht="24" customHeight="1" thickBot="1">
      <c r="B35" s="72"/>
      <c r="C35" s="73"/>
      <c r="D35" s="73"/>
      <c r="E35" s="73"/>
      <c r="F35" s="73"/>
    </row>
    <row r="36" spans="2:6" ht="7" customHeight="1" thickTop="1">
      <c r="B36" s="66"/>
      <c r="C36" s="66"/>
      <c r="D36" s="66"/>
      <c r="E36" s="66"/>
      <c r="F36" s="66"/>
    </row>
  </sheetData>
  <mergeCells count="11">
    <mergeCell ref="B3:F6"/>
    <mergeCell ref="B7:F14"/>
    <mergeCell ref="B16:B19"/>
    <mergeCell ref="B21:B24"/>
    <mergeCell ref="B26:B29"/>
    <mergeCell ref="B31:B34"/>
    <mergeCell ref="D16:D34"/>
    <mergeCell ref="F16:F19"/>
    <mergeCell ref="F21:F24"/>
    <mergeCell ref="F26:F29"/>
    <mergeCell ref="F31:F34"/>
  </mergeCells>
  <phoneticPr fontId="48" type="noConversion"/>
  <printOptions horizontalCentered="1" verticalCentered="1"/>
  <pageMargins left="0.79000000000000015" right="0.79000000000000015" top="0.98" bottom="0.98" header="0.51" footer="0.51"/>
  <pageSetup paperSize="9" scale="94" orientation="landscape"/>
  <drawing r:id="rId1"/>
  <extLst>
    <ext xmlns:mx="http://schemas.microsoft.com/office/mac/excel/2008/main" uri="{64002731-A6B0-56B0-2670-7721B7C09600}">
      <mx:PLV Mode="0" OnePage="0" WScale="10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V163"/>
  <sheetViews>
    <sheetView workbookViewId="0">
      <pane xSplit="2" ySplit="4" topLeftCell="C5" activePane="bottomRight" state="frozen"/>
      <selection pane="topRight" activeCell="C1" sqref="C1"/>
      <selection pane="bottomLeft" activeCell="A5" sqref="A5"/>
      <selection pane="bottomRight" activeCell="AW146" sqref="AW146"/>
    </sheetView>
  </sheetViews>
  <sheetFormatPr baseColWidth="10" defaultRowHeight="15" x14ac:dyDescent="0"/>
  <cols>
    <col min="1" max="1" width="5.5" style="272" customWidth="1"/>
    <col min="2" max="18" width="10.83203125" style="272"/>
    <col min="19" max="19" width="12.33203125" style="272" customWidth="1"/>
    <col min="20" max="35" width="10.83203125" style="272"/>
    <col min="36" max="36" width="12.33203125" style="272" customWidth="1"/>
    <col min="37" max="48" width="10.83203125" style="272"/>
    <col min="49" max="49" width="10.83203125" style="274"/>
    <col min="50" max="51" width="10.83203125" style="272"/>
    <col min="52" max="52" width="10.83203125" style="274"/>
    <col min="53" max="94" width="10.83203125" style="272"/>
    <col min="95" max="95" width="13.33203125" style="272" customWidth="1"/>
    <col min="96" max="156" width="10.83203125" style="272"/>
    <col min="157" max="157" width="15" style="272" customWidth="1"/>
    <col min="158" max="167" width="10.83203125" style="272"/>
    <col min="168" max="168" width="10.83203125" style="273"/>
    <col min="169" max="16384" width="10.83203125" style="272"/>
  </cols>
  <sheetData>
    <row r="1" spans="1:178">
      <c r="A1" s="272" t="s">
        <v>324</v>
      </c>
      <c r="D1" s="281" t="s">
        <v>323</v>
      </c>
      <c r="O1" s="281" t="s">
        <v>322</v>
      </c>
      <c r="Q1" s="273"/>
      <c r="Y1" s="281" t="s">
        <v>321</v>
      </c>
      <c r="AD1" s="273"/>
      <c r="AE1" s="273"/>
      <c r="AF1" s="273"/>
      <c r="AG1" s="281" t="s">
        <v>320</v>
      </c>
      <c r="AO1" s="275"/>
      <c r="AP1" s="275"/>
      <c r="AQ1" s="275"/>
      <c r="AR1" s="511"/>
      <c r="AS1" s="275"/>
      <c r="AT1" s="275"/>
      <c r="AU1" s="281" t="s">
        <v>319</v>
      </c>
      <c r="AV1" s="273"/>
      <c r="AW1" s="510"/>
      <c r="BC1" s="281" t="s">
        <v>318</v>
      </c>
      <c r="BN1" s="302"/>
      <c r="BQ1" s="281" t="s">
        <v>317</v>
      </c>
      <c r="BR1" s="318"/>
      <c r="CT1" s="281" t="s">
        <v>316</v>
      </c>
      <c r="DJ1" s="281" t="s">
        <v>315</v>
      </c>
      <c r="DU1" s="281" t="s">
        <v>314</v>
      </c>
      <c r="EP1" s="281" t="s">
        <v>313</v>
      </c>
      <c r="FA1" s="281" t="s">
        <v>312</v>
      </c>
    </row>
    <row r="2" spans="1:178">
      <c r="A2" s="272" t="s">
        <v>311</v>
      </c>
      <c r="D2" s="277"/>
      <c r="O2" s="277"/>
      <c r="Y2" s="277"/>
      <c r="AG2" s="277"/>
      <c r="AO2" s="275"/>
      <c r="AP2" s="275"/>
      <c r="AQ2" s="275"/>
      <c r="AR2" s="275"/>
      <c r="AS2" s="275"/>
      <c r="AT2" s="275"/>
      <c r="AU2" s="277"/>
      <c r="AV2" s="510"/>
      <c r="BC2" s="277"/>
      <c r="BQ2" s="277"/>
      <c r="BR2" s="275"/>
      <c r="CT2" s="277"/>
      <c r="CU2" s="275"/>
      <c r="CV2" s="275"/>
      <c r="DJ2" s="277"/>
      <c r="DU2" s="277"/>
      <c r="EP2" s="277"/>
      <c r="FA2" s="277"/>
    </row>
    <row r="3" spans="1:178" s="501" customFormat="1" ht="135">
      <c r="B3" s="501" t="s">
        <v>310</v>
      </c>
      <c r="C3" s="509" t="s">
        <v>309</v>
      </c>
      <c r="D3" s="503" t="s">
        <v>264</v>
      </c>
      <c r="E3" s="505" t="s">
        <v>308</v>
      </c>
      <c r="F3" s="505" t="s">
        <v>240</v>
      </c>
      <c r="G3" s="502" t="s">
        <v>307</v>
      </c>
      <c r="H3" s="501" t="s">
        <v>306</v>
      </c>
      <c r="I3" s="504" t="s">
        <v>305</v>
      </c>
      <c r="J3" s="505" t="s">
        <v>304</v>
      </c>
      <c r="K3" s="505" t="s">
        <v>303</v>
      </c>
      <c r="L3" s="505" t="s">
        <v>302</v>
      </c>
      <c r="M3" s="505" t="s">
        <v>301</v>
      </c>
      <c r="N3" s="508" t="s">
        <v>300</v>
      </c>
      <c r="O3" s="503" t="s">
        <v>264</v>
      </c>
      <c r="P3" s="505" t="s">
        <v>240</v>
      </c>
      <c r="Q3" s="501" t="s">
        <v>299</v>
      </c>
      <c r="R3" s="505" t="s">
        <v>298</v>
      </c>
      <c r="S3" s="505" t="s">
        <v>297</v>
      </c>
      <c r="T3" s="505" t="s">
        <v>296</v>
      </c>
      <c r="U3" s="505" t="s">
        <v>295</v>
      </c>
      <c r="V3" s="505" t="s">
        <v>294</v>
      </c>
      <c r="W3" s="505" t="s">
        <v>293</v>
      </c>
      <c r="X3" s="505" t="s">
        <v>292</v>
      </c>
      <c r="Y3" s="507" t="s">
        <v>291</v>
      </c>
      <c r="Z3" s="505" t="s">
        <v>290</v>
      </c>
      <c r="AA3" s="505" t="s">
        <v>289</v>
      </c>
      <c r="AB3" s="505" t="s">
        <v>288</v>
      </c>
      <c r="AC3" s="505" t="s">
        <v>287</v>
      </c>
      <c r="AD3" s="501" t="s">
        <v>286</v>
      </c>
      <c r="AE3" s="506" t="s">
        <v>285</v>
      </c>
      <c r="AF3" s="506" t="s">
        <v>284</v>
      </c>
      <c r="AG3" s="503" t="s">
        <v>283</v>
      </c>
      <c r="AH3" s="501" t="s">
        <v>282</v>
      </c>
      <c r="AI3" s="501" t="s">
        <v>281</v>
      </c>
      <c r="AJ3" s="501" t="s">
        <v>240</v>
      </c>
      <c r="AK3" s="501" t="s">
        <v>280</v>
      </c>
      <c r="AL3" s="501" t="s">
        <v>279</v>
      </c>
      <c r="AM3" s="501" t="s">
        <v>278</v>
      </c>
      <c r="AN3" s="501" t="s">
        <v>277</v>
      </c>
      <c r="AO3" s="505" t="s">
        <v>276</v>
      </c>
      <c r="AP3" s="505" t="s">
        <v>275</v>
      </c>
      <c r="AQ3" s="505" t="s">
        <v>274</v>
      </c>
      <c r="AR3" s="505" t="s">
        <v>273</v>
      </c>
      <c r="AS3" s="505" t="s">
        <v>273</v>
      </c>
      <c r="AT3" s="505" t="s">
        <v>272</v>
      </c>
      <c r="AU3" s="503" t="s">
        <v>271</v>
      </c>
      <c r="AV3" s="502" t="s">
        <v>270</v>
      </c>
      <c r="AW3" s="506" t="s">
        <v>267</v>
      </c>
      <c r="AX3" s="501" t="s">
        <v>269</v>
      </c>
      <c r="AY3" s="502" t="s">
        <v>268</v>
      </c>
      <c r="AZ3" s="506" t="s">
        <v>267</v>
      </c>
      <c r="BA3" s="501" t="s">
        <v>266</v>
      </c>
      <c r="BB3" s="501" t="s">
        <v>265</v>
      </c>
      <c r="BC3" s="503" t="s">
        <v>264</v>
      </c>
      <c r="BD3" s="501" t="s">
        <v>240</v>
      </c>
      <c r="BE3" s="501" t="s">
        <v>263</v>
      </c>
      <c r="BF3" s="502" t="s">
        <v>262</v>
      </c>
      <c r="BG3" s="502" t="s">
        <v>261</v>
      </c>
      <c r="BH3" s="501" t="s">
        <v>260</v>
      </c>
      <c r="BI3" s="501" t="s">
        <v>259</v>
      </c>
      <c r="BJ3" s="501" t="s">
        <v>258</v>
      </c>
      <c r="BK3" s="501" t="s">
        <v>257</v>
      </c>
      <c r="BL3" s="501" t="s">
        <v>256</v>
      </c>
      <c r="BM3" s="501" t="s">
        <v>255</v>
      </c>
      <c r="BN3" s="501" t="s">
        <v>231</v>
      </c>
      <c r="BO3" s="501" t="s">
        <v>254</v>
      </c>
      <c r="BP3" s="501" t="s">
        <v>253</v>
      </c>
      <c r="BQ3" s="503" t="s">
        <v>252</v>
      </c>
      <c r="BR3" s="505" t="s">
        <v>240</v>
      </c>
      <c r="BS3" s="501" t="s">
        <v>251</v>
      </c>
      <c r="BT3" s="501" t="s">
        <v>250</v>
      </c>
      <c r="BU3" s="501" t="s">
        <v>249</v>
      </c>
      <c r="BV3" s="501" t="s">
        <v>248</v>
      </c>
      <c r="BW3" s="501" t="s">
        <v>247</v>
      </c>
      <c r="BX3" s="502" t="s">
        <v>241</v>
      </c>
      <c r="BY3" s="501" t="s">
        <v>222</v>
      </c>
      <c r="BZ3" s="501" t="s">
        <v>221</v>
      </c>
      <c r="CA3" s="501" t="s">
        <v>220</v>
      </c>
      <c r="CB3" s="501" t="s">
        <v>219</v>
      </c>
      <c r="CC3" s="501" t="s">
        <v>218</v>
      </c>
      <c r="CD3" s="501" t="s">
        <v>246</v>
      </c>
      <c r="CE3" s="501" t="s">
        <v>245</v>
      </c>
      <c r="CF3" s="501" t="s">
        <v>216</v>
      </c>
      <c r="CG3" s="501" t="s">
        <v>215</v>
      </c>
      <c r="CH3" s="501" t="s">
        <v>214</v>
      </c>
      <c r="CI3" s="501" t="s">
        <v>222</v>
      </c>
      <c r="CJ3" s="501" t="s">
        <v>221</v>
      </c>
      <c r="CK3" s="501" t="s">
        <v>220</v>
      </c>
      <c r="CL3" s="501" t="s">
        <v>219</v>
      </c>
      <c r="CM3" s="501" t="s">
        <v>218</v>
      </c>
      <c r="CN3" s="501" t="s">
        <v>246</v>
      </c>
      <c r="CO3" s="501" t="s">
        <v>245</v>
      </c>
      <c r="CP3" s="501" t="s">
        <v>216</v>
      </c>
      <c r="CQ3" s="501" t="s">
        <v>244</v>
      </c>
      <c r="CR3" s="501" t="s">
        <v>243</v>
      </c>
      <c r="CS3" s="501" t="s">
        <v>242</v>
      </c>
      <c r="CT3" s="503" t="s">
        <v>241</v>
      </c>
      <c r="CU3" s="505" t="s">
        <v>240</v>
      </c>
      <c r="CV3" s="504" t="s">
        <v>239</v>
      </c>
      <c r="CW3" s="502" t="s">
        <v>238</v>
      </c>
      <c r="CX3" s="501" t="s">
        <v>222</v>
      </c>
      <c r="CY3" s="501" t="s">
        <v>221</v>
      </c>
      <c r="CZ3" s="501" t="s">
        <v>220</v>
      </c>
      <c r="DA3" s="501" t="s">
        <v>219</v>
      </c>
      <c r="DB3" s="501" t="s">
        <v>218</v>
      </c>
      <c r="DC3" s="501" t="s">
        <v>216</v>
      </c>
      <c r="DD3" s="502" t="s">
        <v>215</v>
      </c>
      <c r="DE3" s="502" t="s">
        <v>237</v>
      </c>
      <c r="DF3" s="501" t="s">
        <v>236</v>
      </c>
      <c r="DG3" s="501" t="s">
        <v>214</v>
      </c>
      <c r="DH3" s="501" t="s">
        <v>235</v>
      </c>
      <c r="DI3" s="501" t="s">
        <v>234</v>
      </c>
      <c r="DJ3" s="503" t="s">
        <v>233</v>
      </c>
      <c r="DK3" s="501" t="s">
        <v>222</v>
      </c>
      <c r="DL3" s="501" t="s">
        <v>221</v>
      </c>
      <c r="DM3" s="501" t="s">
        <v>220</v>
      </c>
      <c r="DN3" s="501" t="s">
        <v>219</v>
      </c>
      <c r="DO3" s="501" t="s">
        <v>218</v>
      </c>
      <c r="DP3" s="501" t="s">
        <v>217</v>
      </c>
      <c r="DQ3" s="501" t="s">
        <v>216</v>
      </c>
      <c r="DR3" s="501" t="s">
        <v>215</v>
      </c>
      <c r="DS3" s="501" t="s">
        <v>214</v>
      </c>
      <c r="DT3" s="501" t="s">
        <v>230</v>
      </c>
      <c r="DU3" s="503" t="s">
        <v>232</v>
      </c>
      <c r="DV3" s="501" t="s">
        <v>231</v>
      </c>
      <c r="DW3" s="501" t="s">
        <v>222</v>
      </c>
      <c r="DX3" s="501" t="s">
        <v>221</v>
      </c>
      <c r="DY3" s="501" t="s">
        <v>220</v>
      </c>
      <c r="DZ3" s="501" t="s">
        <v>219</v>
      </c>
      <c r="EA3" s="501" t="s">
        <v>218</v>
      </c>
      <c r="EB3" s="501" t="s">
        <v>216</v>
      </c>
      <c r="EC3" s="501" t="s">
        <v>215</v>
      </c>
      <c r="ED3" s="501" t="s">
        <v>214</v>
      </c>
      <c r="EE3" s="501" t="s">
        <v>230</v>
      </c>
      <c r="EF3" s="502" t="s">
        <v>229</v>
      </c>
      <c r="EG3" s="501" t="s">
        <v>222</v>
      </c>
      <c r="EH3" s="501" t="s">
        <v>221</v>
      </c>
      <c r="EI3" s="501" t="s">
        <v>220</v>
      </c>
      <c r="EJ3" s="501" t="s">
        <v>219</v>
      </c>
      <c r="EK3" s="501" t="s">
        <v>218</v>
      </c>
      <c r="EL3" s="501" t="s">
        <v>216</v>
      </c>
      <c r="EM3" s="501" t="s">
        <v>215</v>
      </c>
      <c r="EN3" s="501" t="s">
        <v>214</v>
      </c>
      <c r="EO3" s="501" t="s">
        <v>228</v>
      </c>
      <c r="EP3" s="503" t="s">
        <v>227</v>
      </c>
      <c r="EQ3" s="501" t="s">
        <v>222</v>
      </c>
      <c r="ER3" s="501" t="s">
        <v>221</v>
      </c>
      <c r="ES3" s="501" t="s">
        <v>220</v>
      </c>
      <c r="ET3" s="501" t="s">
        <v>219</v>
      </c>
      <c r="EU3" s="501" t="s">
        <v>218</v>
      </c>
      <c r="EV3" s="501" t="s">
        <v>217</v>
      </c>
      <c r="EW3" s="501" t="s">
        <v>216</v>
      </c>
      <c r="EX3" s="501" t="s">
        <v>215</v>
      </c>
      <c r="EY3" s="501" t="s">
        <v>214</v>
      </c>
      <c r="EZ3" s="501" t="s">
        <v>226</v>
      </c>
      <c r="FA3" s="503" t="s">
        <v>225</v>
      </c>
      <c r="FB3" s="501" t="s">
        <v>222</v>
      </c>
      <c r="FC3" s="501" t="s">
        <v>221</v>
      </c>
      <c r="FD3" s="501" t="s">
        <v>220</v>
      </c>
      <c r="FE3" s="501" t="s">
        <v>219</v>
      </c>
      <c r="FF3" s="501" t="s">
        <v>218</v>
      </c>
      <c r="FG3" s="501" t="s">
        <v>217</v>
      </c>
      <c r="FH3" s="501" t="s">
        <v>216</v>
      </c>
      <c r="FI3" s="501" t="s">
        <v>215</v>
      </c>
      <c r="FJ3" s="501" t="s">
        <v>214</v>
      </c>
      <c r="FK3" s="501" t="s">
        <v>224</v>
      </c>
      <c r="FL3" s="502" t="s">
        <v>223</v>
      </c>
      <c r="FM3" s="501" t="s">
        <v>222</v>
      </c>
      <c r="FN3" s="501" t="s">
        <v>221</v>
      </c>
      <c r="FO3" s="501" t="s">
        <v>220</v>
      </c>
      <c r="FP3" s="501" t="s">
        <v>219</v>
      </c>
      <c r="FQ3" s="501" t="s">
        <v>218</v>
      </c>
      <c r="FR3" s="501" t="s">
        <v>217</v>
      </c>
      <c r="FS3" s="501" t="s">
        <v>216</v>
      </c>
      <c r="FT3" s="501" t="s">
        <v>215</v>
      </c>
      <c r="FU3" s="501" t="s">
        <v>214</v>
      </c>
      <c r="FV3" s="502" t="s">
        <v>213</v>
      </c>
    </row>
    <row r="4" spans="1:178" s="490" customFormat="1" ht="37" customHeight="1">
      <c r="B4" s="501" t="s">
        <v>212</v>
      </c>
      <c r="C4" s="500"/>
      <c r="D4" s="496" t="s">
        <v>188</v>
      </c>
      <c r="E4" s="495"/>
      <c r="F4" s="495"/>
      <c r="G4" s="490" t="s">
        <v>211</v>
      </c>
      <c r="I4" s="495" t="s">
        <v>210</v>
      </c>
      <c r="J4" s="495"/>
      <c r="K4" s="495"/>
      <c r="L4" s="495" t="s">
        <v>209</v>
      </c>
      <c r="M4" s="495"/>
      <c r="N4" s="499"/>
      <c r="O4" s="495"/>
      <c r="P4" s="495"/>
      <c r="R4" s="495" t="s">
        <v>208</v>
      </c>
      <c r="S4" s="495"/>
      <c r="T4" s="495"/>
      <c r="U4" s="495"/>
      <c r="V4" s="495"/>
      <c r="W4" s="495"/>
      <c r="X4" s="495" t="s">
        <v>207</v>
      </c>
      <c r="Y4" s="496" t="s">
        <v>206</v>
      </c>
      <c r="Z4" s="495" t="s">
        <v>205</v>
      </c>
      <c r="AA4" s="495" t="s">
        <v>204</v>
      </c>
      <c r="AB4" s="495"/>
      <c r="AC4" s="495" t="s">
        <v>203</v>
      </c>
      <c r="AE4" s="497" t="s">
        <v>202</v>
      </c>
      <c r="AF4" s="497" t="s">
        <v>201</v>
      </c>
      <c r="AG4" s="496" t="s">
        <v>200</v>
      </c>
      <c r="AL4" s="490" t="s">
        <v>199</v>
      </c>
      <c r="AN4" s="490" t="s">
        <v>198</v>
      </c>
      <c r="AO4" s="498" t="s">
        <v>197</v>
      </c>
      <c r="AP4" s="495" t="s">
        <v>196</v>
      </c>
      <c r="AQ4" s="495" t="s">
        <v>195</v>
      </c>
      <c r="AR4" s="495" t="s">
        <v>194</v>
      </c>
      <c r="AS4" s="495" t="s">
        <v>193</v>
      </c>
      <c r="AT4" s="495"/>
      <c r="AU4" s="496" t="s">
        <v>192</v>
      </c>
      <c r="AV4" s="490" t="s">
        <v>191</v>
      </c>
      <c r="AW4" s="497"/>
      <c r="AX4" s="490" t="s">
        <v>191</v>
      </c>
      <c r="AY4" s="491" t="s">
        <v>190</v>
      </c>
      <c r="AZ4" s="497"/>
      <c r="BA4" s="490" t="s">
        <v>189</v>
      </c>
      <c r="BC4" s="496" t="s">
        <v>188</v>
      </c>
      <c r="BQ4" s="496" t="s">
        <v>187</v>
      </c>
      <c r="BR4" s="495"/>
      <c r="BS4" s="490" t="s">
        <v>186</v>
      </c>
      <c r="BW4" s="490" t="s">
        <v>185</v>
      </c>
      <c r="BX4" s="491"/>
      <c r="CT4" s="496"/>
      <c r="CU4" s="495" t="s">
        <v>184</v>
      </c>
      <c r="CV4" s="494"/>
      <c r="CW4" s="491"/>
      <c r="DD4" s="490" t="s">
        <v>183</v>
      </c>
      <c r="DJ4" s="493"/>
      <c r="DU4" s="493"/>
      <c r="EF4" s="491"/>
      <c r="EP4" s="493"/>
      <c r="FA4" s="492" t="s">
        <v>182</v>
      </c>
      <c r="FI4" s="490" t="s">
        <v>181</v>
      </c>
      <c r="FK4" s="490" t="s">
        <v>180</v>
      </c>
      <c r="FL4" s="491"/>
      <c r="FT4" s="490" t="s">
        <v>179</v>
      </c>
      <c r="FV4" s="491"/>
    </row>
    <row r="5" spans="1:178" s="377" customFormat="1">
      <c r="B5" s="392">
        <v>1929</v>
      </c>
      <c r="C5" s="405">
        <v>94.2</v>
      </c>
      <c r="D5" s="382">
        <v>10.8</v>
      </c>
      <c r="E5" s="378">
        <f>D5/C5</f>
        <v>0.11464968152866242</v>
      </c>
      <c r="F5" s="389">
        <f>D5-(G5+I5)</f>
        <v>0</v>
      </c>
      <c r="G5" s="389">
        <f>D5-I5</f>
        <v>10.600000000000001</v>
      </c>
      <c r="H5" s="378">
        <f>G5/C5</f>
        <v>0.11252653927813165</v>
      </c>
      <c r="I5" s="392">
        <v>0.2</v>
      </c>
      <c r="J5" s="400">
        <f>I5/C5</f>
        <v>2.1231422505307855E-3</v>
      </c>
      <c r="K5" s="378">
        <f>I5/D5</f>
        <v>1.8518518518518517E-2</v>
      </c>
      <c r="L5" s="389">
        <f>I5</f>
        <v>0.2</v>
      </c>
      <c r="M5" s="400">
        <f>L5/C5</f>
        <v>2.1231422505307855E-3</v>
      </c>
      <c r="N5" s="400">
        <f>L5/D5</f>
        <v>1.8518518518518517E-2</v>
      </c>
      <c r="O5" s="382">
        <f>D5</f>
        <v>10.8</v>
      </c>
      <c r="P5" s="381">
        <f>O5-(Q5+R5+T5+U5+X5-V5)</f>
        <v>0</v>
      </c>
      <c r="Q5" s="381">
        <v>11.9</v>
      </c>
      <c r="R5" s="403">
        <v>0.7</v>
      </c>
      <c r="S5" s="396">
        <f>R5/D5</f>
        <v>6.4814814814814811E-2</v>
      </c>
      <c r="T5" s="392">
        <v>0</v>
      </c>
      <c r="U5" s="392">
        <v>-9.9999999999999978E-2</v>
      </c>
      <c r="V5" s="399">
        <v>0.7</v>
      </c>
      <c r="W5" s="396">
        <f>V5/D5</f>
        <v>6.4814814814814811E-2</v>
      </c>
      <c r="X5" s="381">
        <f>O5-(Q5+R5+T5+U5-V5)</f>
        <v>-1</v>
      </c>
      <c r="Y5" s="402"/>
      <c r="Z5" s="381"/>
      <c r="AA5" s="381"/>
      <c r="AB5" s="381"/>
      <c r="AC5" s="381">
        <v>0</v>
      </c>
      <c r="AD5" s="378">
        <f>AC5/D5</f>
        <v>0</v>
      </c>
      <c r="AE5" s="381"/>
      <c r="AF5" s="381"/>
      <c r="AG5" s="401">
        <v>1.4</v>
      </c>
      <c r="AH5" s="400">
        <f>AG5/C5</f>
        <v>1.4861995753715497E-2</v>
      </c>
      <c r="AI5" s="400">
        <f>(AG5-AN5)/C5</f>
        <v>1.4861995753715497E-2</v>
      </c>
      <c r="AJ5" s="394">
        <f>AG5-(AK5+AL5+AM5+AN5)</f>
        <v>0</v>
      </c>
      <c r="AK5" s="392">
        <v>1.3</v>
      </c>
      <c r="AL5" s="392">
        <v>0.1</v>
      </c>
      <c r="AM5" s="399">
        <v>0</v>
      </c>
      <c r="AN5" s="392">
        <v>0</v>
      </c>
      <c r="AO5" s="399">
        <v>0</v>
      </c>
      <c r="AP5" s="392"/>
      <c r="AQ5" s="392"/>
      <c r="AR5" s="392"/>
      <c r="AS5" s="392"/>
      <c r="AT5" s="378">
        <f>(O5-AG5)/C5</f>
        <v>9.9787685774946927E-2</v>
      </c>
      <c r="AU5" s="449">
        <v>0.11</v>
      </c>
      <c r="AV5" s="378"/>
      <c r="AW5" s="396"/>
      <c r="AX5" s="378"/>
      <c r="AY5" s="397"/>
      <c r="AZ5" s="396"/>
      <c r="BA5" s="378"/>
      <c r="BB5" s="378"/>
      <c r="BC5" s="382">
        <f>D5</f>
        <v>10.8</v>
      </c>
      <c r="BD5" s="394">
        <f>BC5-(BE5+BF5+BG5)</f>
        <v>-9.9999999999997868E-2</v>
      </c>
      <c r="BE5" s="383">
        <f>AG5</f>
        <v>1.4</v>
      </c>
      <c r="BF5" s="383">
        <v>5.8</v>
      </c>
      <c r="BG5" s="383">
        <v>3.7</v>
      </c>
      <c r="BH5" s="386"/>
      <c r="BI5" s="392">
        <v>3.7</v>
      </c>
      <c r="BJ5" s="392">
        <f>BG5-BI5</f>
        <v>0</v>
      </c>
      <c r="BK5" s="378">
        <f>BJ5/D5</f>
        <v>0</v>
      </c>
      <c r="BL5" s="378"/>
      <c r="BM5" s="378"/>
      <c r="BN5" s="378"/>
      <c r="BO5" s="378"/>
      <c r="BP5" s="386"/>
      <c r="BQ5" s="488"/>
      <c r="BR5" s="389"/>
      <c r="BX5" s="447"/>
      <c r="CT5" s="483"/>
      <c r="CV5" s="447"/>
      <c r="CW5" s="447"/>
      <c r="DD5" s="447"/>
      <c r="DE5" s="447"/>
      <c r="DJ5" s="448"/>
      <c r="DU5" s="448"/>
      <c r="EF5" s="447"/>
      <c r="EP5" s="483"/>
      <c r="FA5" s="483"/>
      <c r="FL5" s="447"/>
    </row>
    <row r="6" spans="1:178">
      <c r="B6" s="288">
        <v>1930</v>
      </c>
      <c r="C6" s="344">
        <v>83.1</v>
      </c>
      <c r="D6" s="352">
        <v>7.5</v>
      </c>
      <c r="E6" s="361">
        <f>D6/C6</f>
        <v>9.0252707581227443E-2</v>
      </c>
      <c r="F6" s="333">
        <f>D6-(G6+I6)</f>
        <v>0</v>
      </c>
      <c r="G6" s="342">
        <f>D6-I6</f>
        <v>7.4</v>
      </c>
      <c r="H6" s="302">
        <f>G6/C6</f>
        <v>8.9049338146811083E-2</v>
      </c>
      <c r="I6" s="292">
        <v>0.1</v>
      </c>
      <c r="J6" s="343">
        <f>I6/C6</f>
        <v>1.2033694344163659E-3</v>
      </c>
      <c r="K6" s="361">
        <f>I6/D6</f>
        <v>1.3333333333333334E-2</v>
      </c>
      <c r="L6" s="333">
        <f>I6</f>
        <v>0.1</v>
      </c>
      <c r="M6" s="343">
        <f>L6/C6</f>
        <v>1.2033694344163659E-3</v>
      </c>
      <c r="N6" s="343">
        <f>L6/D6</f>
        <v>1.3333333333333334E-2</v>
      </c>
      <c r="O6" s="352">
        <f>D6</f>
        <v>7.5</v>
      </c>
      <c r="P6" s="366">
        <f>O6-(Q6+R6+T6+U6+X6-V6)</f>
        <v>0</v>
      </c>
      <c r="Q6" s="278">
        <v>4.5999999999999996</v>
      </c>
      <c r="R6" s="376">
        <v>0.6</v>
      </c>
      <c r="S6" s="374">
        <f>R6/D6</f>
        <v>0.08</v>
      </c>
      <c r="T6" s="292">
        <v>0</v>
      </c>
      <c r="U6" s="292">
        <v>3</v>
      </c>
      <c r="V6" s="372">
        <v>-0.2</v>
      </c>
      <c r="W6" s="374">
        <f>V6/D6</f>
        <v>-2.6666666666666668E-2</v>
      </c>
      <c r="X6" s="366">
        <f>O6-(Q6+R6+T6+U6-V6)</f>
        <v>-0.89999999999999858</v>
      </c>
      <c r="Y6" s="367"/>
      <c r="Z6" s="366"/>
      <c r="AA6" s="366"/>
      <c r="AB6" s="366"/>
      <c r="AC6" s="366">
        <v>0</v>
      </c>
      <c r="AD6" s="302">
        <f>AC6/D6</f>
        <v>0</v>
      </c>
      <c r="AE6" s="278"/>
      <c r="AF6" s="278"/>
      <c r="AG6" s="326">
        <v>0.8</v>
      </c>
      <c r="AH6" s="295">
        <f>AG6/C6</f>
        <v>9.6269554753309269E-3</v>
      </c>
      <c r="AI6" s="295">
        <f>(AG6-AN6)/C6</f>
        <v>9.6269554753309269E-3</v>
      </c>
      <c r="AJ6" s="357">
        <f>AG6-(AK6+AL6+AM6+AN6)</f>
        <v>-9.9999999999999867E-2</v>
      </c>
      <c r="AK6" s="288">
        <v>0.79999999999999993</v>
      </c>
      <c r="AL6" s="288">
        <v>0.1</v>
      </c>
      <c r="AM6" s="290">
        <v>0</v>
      </c>
      <c r="AN6" s="288">
        <v>0</v>
      </c>
      <c r="AO6" s="372">
        <v>0</v>
      </c>
      <c r="AP6" s="292"/>
      <c r="AQ6" s="292"/>
      <c r="AR6" s="292"/>
      <c r="AS6" s="292"/>
      <c r="AT6" s="361">
        <f>(O6-AG6)/C6</f>
        <v>8.0625752105896523E-2</v>
      </c>
      <c r="AU6" s="305">
        <v>0.12</v>
      </c>
      <c r="AV6" s="302"/>
      <c r="AW6" s="353"/>
      <c r="AX6" s="302"/>
      <c r="AY6" s="359"/>
      <c r="AZ6" s="353"/>
      <c r="BA6" s="302"/>
      <c r="BB6" s="302"/>
      <c r="BC6" s="358">
        <f>D6</f>
        <v>7.5</v>
      </c>
      <c r="BD6" s="357">
        <f>BC6-(BE6+BF6+BG6)</f>
        <v>0</v>
      </c>
      <c r="BE6" s="356">
        <f>AG6</f>
        <v>0.8</v>
      </c>
      <c r="BF6" s="314">
        <v>5.5</v>
      </c>
      <c r="BG6" s="314">
        <v>1.2</v>
      </c>
      <c r="BH6" s="300"/>
      <c r="BI6" s="288">
        <v>1.2</v>
      </c>
      <c r="BJ6" s="288">
        <f>BG6-BI6</f>
        <v>0</v>
      </c>
      <c r="BK6" s="302">
        <f>BJ6/D6</f>
        <v>0</v>
      </c>
      <c r="BL6" s="302"/>
      <c r="BM6" s="302"/>
      <c r="BN6" s="302"/>
      <c r="BO6" s="302"/>
      <c r="BP6" s="330"/>
      <c r="BQ6" s="485"/>
      <c r="BR6" s="333"/>
      <c r="BX6" s="273"/>
      <c r="CT6" s="277"/>
      <c r="CU6" s="275"/>
      <c r="CV6" s="318"/>
      <c r="CW6" s="273"/>
      <c r="DD6" s="273"/>
      <c r="DE6" s="273"/>
      <c r="DJ6" s="281"/>
      <c r="DU6" s="281"/>
      <c r="EF6" s="273"/>
      <c r="EP6" s="277"/>
      <c r="FA6" s="277"/>
    </row>
    <row r="7" spans="1:178">
      <c r="B7" s="288">
        <v>1931</v>
      </c>
      <c r="C7" s="344">
        <v>67.7</v>
      </c>
      <c r="D7" s="352">
        <v>3</v>
      </c>
      <c r="E7" s="361">
        <f>D7/C7</f>
        <v>4.4313146233382568E-2</v>
      </c>
      <c r="F7" s="333">
        <f>D7-(G7+I7)</f>
        <v>0</v>
      </c>
      <c r="G7" s="342">
        <f>D7-I7</f>
        <v>3</v>
      </c>
      <c r="H7" s="302">
        <f>G7/C7</f>
        <v>4.4313146233382568E-2</v>
      </c>
      <c r="I7" s="292">
        <v>0</v>
      </c>
      <c r="J7" s="343">
        <f>I7/C7</f>
        <v>0</v>
      </c>
      <c r="K7" s="361">
        <f>I7/D7</f>
        <v>0</v>
      </c>
      <c r="L7" s="333">
        <f>I7</f>
        <v>0</v>
      </c>
      <c r="M7" s="343">
        <f>L7/C7</f>
        <v>0</v>
      </c>
      <c r="N7" s="343">
        <f>L7/D7</f>
        <v>0</v>
      </c>
      <c r="O7" s="352">
        <f>D7</f>
        <v>3</v>
      </c>
      <c r="P7" s="366">
        <f>O7-(Q7+R7+T7+U7+X7-V7)</f>
        <v>0</v>
      </c>
      <c r="Q7" s="278">
        <v>-0.8</v>
      </c>
      <c r="R7" s="376">
        <v>0.4</v>
      </c>
      <c r="S7" s="374">
        <f>R7/D7</f>
        <v>0.13333333333333333</v>
      </c>
      <c r="T7" s="292">
        <v>0</v>
      </c>
      <c r="U7" s="292">
        <v>2.4</v>
      </c>
      <c r="V7" s="372">
        <v>-1.3</v>
      </c>
      <c r="W7" s="374">
        <f>V7/D7</f>
        <v>-0.43333333333333335</v>
      </c>
      <c r="X7" s="366">
        <f>O7-(Q7+R7+T7+U7-V7)</f>
        <v>-0.29999999999999982</v>
      </c>
      <c r="Y7" s="367"/>
      <c r="Z7" s="366"/>
      <c r="AA7" s="366"/>
      <c r="AB7" s="366"/>
      <c r="AC7" s="366">
        <v>0</v>
      </c>
      <c r="AD7" s="302">
        <f>AC7/D7</f>
        <v>0</v>
      </c>
      <c r="AE7" s="278"/>
      <c r="AF7" s="278"/>
      <c r="AG7" s="326">
        <v>0.5</v>
      </c>
      <c r="AH7" s="295">
        <f>AG7/C7</f>
        <v>7.385524372230428E-3</v>
      </c>
      <c r="AI7" s="295">
        <f>(AG7-AN7)/C7</f>
        <v>7.385524372230428E-3</v>
      </c>
      <c r="AJ7" s="357">
        <f>AG7-(AK7+AL7+AM7+AN7)</f>
        <v>0</v>
      </c>
      <c r="AK7" s="288">
        <v>0.4</v>
      </c>
      <c r="AL7" s="288">
        <v>0.1</v>
      </c>
      <c r="AM7" s="290">
        <v>0</v>
      </c>
      <c r="AN7" s="288">
        <v>0</v>
      </c>
      <c r="AO7" s="372">
        <v>0</v>
      </c>
      <c r="AP7" s="292"/>
      <c r="AQ7" s="292"/>
      <c r="AR7" s="292"/>
      <c r="AS7" s="292"/>
      <c r="AT7" s="361">
        <f>(O7-AG7)/C7</f>
        <v>3.6927621861152143E-2</v>
      </c>
      <c r="AU7" s="305">
        <v>0.12</v>
      </c>
      <c r="AV7" s="302"/>
      <c r="AW7" s="353"/>
      <c r="AX7" s="302"/>
      <c r="AY7" s="359"/>
      <c r="AZ7" s="353"/>
      <c r="BA7" s="302"/>
      <c r="BB7" s="302"/>
      <c r="BC7" s="358">
        <f>D7</f>
        <v>3</v>
      </c>
      <c r="BD7" s="357">
        <f>BC7-(BE7+BF7+BG7)</f>
        <v>0</v>
      </c>
      <c r="BE7" s="356">
        <f>AG7</f>
        <v>0.5</v>
      </c>
      <c r="BF7" s="314">
        <v>4.0999999999999996</v>
      </c>
      <c r="BG7" s="314">
        <v>-1.6</v>
      </c>
      <c r="BH7" s="300"/>
      <c r="BI7" s="288">
        <v>-1.6</v>
      </c>
      <c r="BJ7" s="288">
        <f>BG7-BI7</f>
        <v>0</v>
      </c>
      <c r="BK7" s="302">
        <f>BJ7/D7</f>
        <v>0</v>
      </c>
      <c r="BL7" s="302"/>
      <c r="BM7" s="302"/>
      <c r="BN7" s="302"/>
      <c r="BO7" s="302"/>
      <c r="BP7" s="330"/>
      <c r="BQ7" s="485"/>
      <c r="BR7" s="333"/>
      <c r="BX7" s="273"/>
      <c r="CT7" s="277"/>
      <c r="CU7" s="275"/>
      <c r="CV7" s="318"/>
      <c r="CW7" s="273"/>
      <c r="DD7" s="273"/>
      <c r="DE7" s="273"/>
      <c r="DJ7" s="281"/>
      <c r="DU7" s="281"/>
      <c r="EF7" s="273"/>
      <c r="EP7" s="277"/>
      <c r="FA7" s="277"/>
    </row>
    <row r="8" spans="1:178">
      <c r="B8" s="288">
        <v>1932</v>
      </c>
      <c r="C8" s="344">
        <v>51.3</v>
      </c>
      <c r="D8" s="352">
        <v>-0.2</v>
      </c>
      <c r="E8" s="361">
        <f>D8/C8</f>
        <v>-3.8986354775828462E-3</v>
      </c>
      <c r="F8" s="333">
        <f>D8-(G8+I8)</f>
        <v>0</v>
      </c>
      <c r="G8" s="342">
        <f>D8-I8</f>
        <v>-0.2</v>
      </c>
      <c r="H8" s="302">
        <f>G8/C8</f>
        <v>-3.8986354775828462E-3</v>
      </c>
      <c r="I8" s="292">
        <v>0</v>
      </c>
      <c r="J8" s="343">
        <f>I8/C8</f>
        <v>0</v>
      </c>
      <c r="K8" s="361">
        <f>I8/D8</f>
        <v>0</v>
      </c>
      <c r="L8" s="333">
        <f>I8</f>
        <v>0</v>
      </c>
      <c r="M8" s="343">
        <f>L8/C8</f>
        <v>0</v>
      </c>
      <c r="N8" s="343">
        <f>L8/D8</f>
        <v>0</v>
      </c>
      <c r="O8" s="352">
        <f>D8</f>
        <v>-0.2</v>
      </c>
      <c r="P8" s="366">
        <f>O8-(Q8+R8+T8+U8+X8-V8)</f>
        <v>0</v>
      </c>
      <c r="Q8" s="278">
        <v>-3.8</v>
      </c>
      <c r="R8" s="376">
        <v>0.3</v>
      </c>
      <c r="S8" s="374">
        <f>R8/D8</f>
        <v>-1.4999999999999998</v>
      </c>
      <c r="T8" s="292">
        <v>0</v>
      </c>
      <c r="U8" s="292">
        <v>1.1000000000000001</v>
      </c>
      <c r="V8" s="372">
        <v>-1.6</v>
      </c>
      <c r="W8" s="374">
        <f>V8/D8</f>
        <v>8</v>
      </c>
      <c r="X8" s="366">
        <f>O8-(Q8+R8+T8+U8-V8)</f>
        <v>0.59999999999999987</v>
      </c>
      <c r="Y8" s="367"/>
      <c r="Z8" s="366"/>
      <c r="AA8" s="366"/>
      <c r="AB8" s="366"/>
      <c r="AC8" s="366">
        <v>0</v>
      </c>
      <c r="AD8" s="302">
        <f>AC8/D8</f>
        <v>0</v>
      </c>
      <c r="AE8" s="278"/>
      <c r="AF8" s="278"/>
      <c r="AG8" s="326">
        <v>0.4</v>
      </c>
      <c r="AH8" s="295">
        <f>AG8/C8</f>
        <v>7.7972709551656924E-3</v>
      </c>
      <c r="AI8" s="295">
        <f>(AG8-AN8)/C8</f>
        <v>7.7972709551656924E-3</v>
      </c>
      <c r="AJ8" s="357">
        <f>AG8-(AK8+AL8+AM8+AN8)</f>
        <v>0</v>
      </c>
      <c r="AK8" s="288">
        <v>0.3</v>
      </c>
      <c r="AL8" s="288">
        <v>0.1</v>
      </c>
      <c r="AM8" s="290">
        <v>0</v>
      </c>
      <c r="AN8" s="288">
        <v>0</v>
      </c>
      <c r="AO8" s="372">
        <v>0</v>
      </c>
      <c r="AP8" s="292"/>
      <c r="AQ8" s="292"/>
      <c r="AR8" s="292"/>
      <c r="AS8" s="292"/>
      <c r="AT8" s="361">
        <f>(O8-AG8)/C8</f>
        <v>-1.1695906432748541E-2</v>
      </c>
      <c r="AU8" s="305">
        <v>0.13750000000000001</v>
      </c>
      <c r="AV8" s="302"/>
      <c r="AW8" s="353"/>
      <c r="AX8" s="302"/>
      <c r="AY8" s="359"/>
      <c r="AZ8" s="353"/>
      <c r="BA8" s="302"/>
      <c r="BB8" s="302"/>
      <c r="BC8" s="358">
        <f>D8</f>
        <v>-0.2</v>
      </c>
      <c r="BD8" s="357">
        <f>BC8-(BE8+BF8+BG8)</f>
        <v>0</v>
      </c>
      <c r="BE8" s="356">
        <f>AG8</f>
        <v>0.4</v>
      </c>
      <c r="BF8" s="314">
        <v>2.5</v>
      </c>
      <c r="BG8" s="314">
        <v>-3.1</v>
      </c>
      <c r="BH8" s="300"/>
      <c r="BI8" s="288">
        <v>-3.1</v>
      </c>
      <c r="BJ8" s="288">
        <f>BG8-BI8</f>
        <v>0</v>
      </c>
      <c r="BK8" s="302">
        <f>BJ8/D8</f>
        <v>0</v>
      </c>
      <c r="BL8" s="302"/>
      <c r="BM8" s="302"/>
      <c r="BN8" s="302"/>
      <c r="BO8" s="302"/>
      <c r="BP8" s="330"/>
      <c r="BQ8" s="485"/>
      <c r="BR8" s="333"/>
      <c r="BX8" s="273"/>
      <c r="CT8" s="277"/>
      <c r="CU8" s="275"/>
      <c r="CV8" s="318"/>
      <c r="CW8" s="273"/>
      <c r="DD8" s="273"/>
      <c r="DE8" s="273"/>
      <c r="DJ8" s="281"/>
      <c r="DU8" s="281"/>
      <c r="EF8" s="273"/>
      <c r="EP8" s="277"/>
      <c r="FA8" s="277"/>
    </row>
    <row r="9" spans="1:178">
      <c r="B9" s="288">
        <v>1933</v>
      </c>
      <c r="C9" s="344">
        <v>49</v>
      </c>
      <c r="D9" s="352">
        <v>-0.2</v>
      </c>
      <c r="E9" s="361">
        <f>D9/C9</f>
        <v>-4.0816326530612249E-3</v>
      </c>
      <c r="F9" s="333">
        <f>D9-(G9+I9)</f>
        <v>0</v>
      </c>
      <c r="G9" s="342">
        <f>D9-I9</f>
        <v>-0.2</v>
      </c>
      <c r="H9" s="302">
        <f>G9/C9</f>
        <v>-4.0816326530612249E-3</v>
      </c>
      <c r="I9" s="292">
        <v>0</v>
      </c>
      <c r="J9" s="343">
        <f>I9/C9</f>
        <v>0</v>
      </c>
      <c r="K9" s="361">
        <f>I9/D9</f>
        <v>0</v>
      </c>
      <c r="L9" s="333">
        <f>L10*I9/I10</f>
        <v>0</v>
      </c>
      <c r="M9" s="343">
        <f>L9/C9</f>
        <v>0</v>
      </c>
      <c r="N9" s="487">
        <f>L9/D9</f>
        <v>0</v>
      </c>
      <c r="O9" s="352">
        <f>D9</f>
        <v>-0.2</v>
      </c>
      <c r="P9" s="366">
        <f>O9-(Q9+R9+T9+U9+X9-V9)</f>
        <v>0</v>
      </c>
      <c r="Q9" s="278">
        <v>-0.9</v>
      </c>
      <c r="R9" s="376">
        <v>0.4</v>
      </c>
      <c r="S9" s="374">
        <f>R9/D9</f>
        <v>-2</v>
      </c>
      <c r="T9" s="292">
        <v>0</v>
      </c>
      <c r="U9" s="292">
        <v>-2</v>
      </c>
      <c r="V9" s="372">
        <v>-1.4</v>
      </c>
      <c r="W9" s="374">
        <f>V9/D9</f>
        <v>6.9999999999999991</v>
      </c>
      <c r="X9" s="366">
        <f>O9-(Q9+R9+T9+U9-V9)</f>
        <v>0.90000000000000013</v>
      </c>
      <c r="Y9" s="367"/>
      <c r="Z9" s="366"/>
      <c r="AA9" s="366"/>
      <c r="AB9" s="366"/>
      <c r="AC9" s="366">
        <v>0</v>
      </c>
      <c r="AD9" s="302">
        <f>AC9/D9</f>
        <v>0</v>
      </c>
      <c r="AE9" s="278"/>
      <c r="AF9" s="278"/>
      <c r="AG9" s="326">
        <v>0.5</v>
      </c>
      <c r="AH9" s="295">
        <f>AG9/C9</f>
        <v>1.020408163265306E-2</v>
      </c>
      <c r="AI9" s="295">
        <f>(AG9-AN9)/C9</f>
        <v>1.020408163265306E-2</v>
      </c>
      <c r="AJ9" s="357">
        <f>AG9-(AK9+AL9+AM9+AN9)</f>
        <v>-9.9999999999999978E-2</v>
      </c>
      <c r="AK9" s="288">
        <v>0.5</v>
      </c>
      <c r="AL9" s="288">
        <v>0.1</v>
      </c>
      <c r="AM9" s="290">
        <v>0</v>
      </c>
      <c r="AN9" s="288">
        <v>0</v>
      </c>
      <c r="AO9" s="372">
        <v>0</v>
      </c>
      <c r="AP9" s="292"/>
      <c r="AQ9" s="292"/>
      <c r="AR9" s="292"/>
      <c r="AS9" s="292"/>
      <c r="AT9" s="361">
        <f>(O9-AG9)/C9</f>
        <v>-1.4285714285714285E-2</v>
      </c>
      <c r="AU9" s="305">
        <v>0.13750000000000001</v>
      </c>
      <c r="AV9" s="302"/>
      <c r="AW9" s="353"/>
      <c r="AX9" s="302"/>
      <c r="AY9" s="359"/>
      <c r="AZ9" s="353"/>
      <c r="BA9" s="302"/>
      <c r="BB9" s="302"/>
      <c r="BC9" s="358">
        <f>D9</f>
        <v>-0.2</v>
      </c>
      <c r="BD9" s="357">
        <f>BC9-(BE9+BF9+BG9)</f>
        <v>0</v>
      </c>
      <c r="BE9" s="356">
        <f>AG9</f>
        <v>0.5</v>
      </c>
      <c r="BF9" s="314">
        <v>2</v>
      </c>
      <c r="BG9" s="314">
        <v>-2.7</v>
      </c>
      <c r="BH9" s="300"/>
      <c r="BI9" s="288">
        <v>-2.7</v>
      </c>
      <c r="BJ9" s="288">
        <f>BG9-BI9</f>
        <v>0</v>
      </c>
      <c r="BK9" s="302">
        <f>BJ9/D9</f>
        <v>0</v>
      </c>
      <c r="BL9" s="302"/>
      <c r="BM9" s="302"/>
      <c r="BN9" s="302"/>
      <c r="BO9" s="302"/>
      <c r="BP9" s="330"/>
      <c r="BQ9" s="485"/>
      <c r="BR9" s="333"/>
      <c r="BX9" s="273"/>
      <c r="CT9" s="277"/>
      <c r="CU9" s="275"/>
      <c r="CV9" s="318"/>
      <c r="CW9" s="273"/>
      <c r="DD9" s="273"/>
      <c r="DE9" s="273"/>
      <c r="DJ9" s="281"/>
      <c r="DU9" s="281"/>
      <c r="EF9" s="273"/>
      <c r="EP9" s="277"/>
      <c r="FA9" s="277"/>
    </row>
    <row r="10" spans="1:178">
      <c r="B10" s="288">
        <v>1934</v>
      </c>
      <c r="C10" s="344">
        <v>58.3</v>
      </c>
      <c r="D10" s="352">
        <v>2.5</v>
      </c>
      <c r="E10" s="361">
        <f>D10/C10</f>
        <v>4.2881646655231566E-2</v>
      </c>
      <c r="F10" s="333">
        <f>D10-(G10+I10)</f>
        <v>0</v>
      </c>
      <c r="G10" s="342">
        <f>D10-I10</f>
        <v>2.4</v>
      </c>
      <c r="H10" s="302">
        <f>G10/C10</f>
        <v>4.1166380789022301E-2</v>
      </c>
      <c r="I10" s="292">
        <v>0.1</v>
      </c>
      <c r="J10" s="343">
        <f>I10/C10</f>
        <v>1.7152658662092626E-3</v>
      </c>
      <c r="K10" s="361">
        <f>I10/D10</f>
        <v>0.04</v>
      </c>
      <c r="L10" s="333">
        <f>L11*I10/I11</f>
        <v>0.1307692307692308</v>
      </c>
      <c r="M10" s="343">
        <f>L10/C10</f>
        <v>2.2430399788890363E-3</v>
      </c>
      <c r="N10" s="487">
        <f>L10/D10</f>
        <v>5.2307692307692319E-2</v>
      </c>
      <c r="O10" s="352">
        <f>D10</f>
        <v>2.5</v>
      </c>
      <c r="P10" s="366">
        <f>O10-(Q10+R10+T10+U10+X10-V10)</f>
        <v>0</v>
      </c>
      <c r="Q10" s="278">
        <v>3</v>
      </c>
      <c r="R10" s="376">
        <v>0.6</v>
      </c>
      <c r="S10" s="374">
        <f>R10/D10</f>
        <v>0.24</v>
      </c>
      <c r="T10" s="292">
        <v>0</v>
      </c>
      <c r="U10" s="292">
        <v>-0.7</v>
      </c>
      <c r="V10" s="372">
        <v>-0.1</v>
      </c>
      <c r="W10" s="374">
        <f>V10/D10</f>
        <v>-0.04</v>
      </c>
      <c r="X10" s="366">
        <f>O10-(Q10+R10+T10+U10-V10)</f>
        <v>-0.50000000000000044</v>
      </c>
      <c r="Y10" s="367"/>
      <c r="Z10" s="366"/>
      <c r="AA10" s="366"/>
      <c r="AB10" s="366"/>
      <c r="AC10" s="366">
        <v>0</v>
      </c>
      <c r="AD10" s="302">
        <f>AC10/D10</f>
        <v>0</v>
      </c>
      <c r="AE10" s="278"/>
      <c r="AF10" s="278"/>
      <c r="AG10" s="326">
        <v>0.7</v>
      </c>
      <c r="AH10" s="295">
        <f>AG10/C10</f>
        <v>1.2006861063464836E-2</v>
      </c>
      <c r="AI10" s="295">
        <f>(AG10-AN10)/C10</f>
        <v>1.2006861063464836E-2</v>
      </c>
      <c r="AJ10" s="357">
        <f>AG10-(AK10+AL10+AM10+AN10)</f>
        <v>-9.9999999999999978E-2</v>
      </c>
      <c r="AK10" s="288">
        <v>0.7</v>
      </c>
      <c r="AL10" s="288">
        <v>0.1</v>
      </c>
      <c r="AM10" s="290">
        <v>0</v>
      </c>
      <c r="AN10" s="288">
        <v>0</v>
      </c>
      <c r="AO10" s="372">
        <v>0</v>
      </c>
      <c r="AP10" s="333">
        <v>0.44650000000000001</v>
      </c>
      <c r="AQ10" s="333"/>
      <c r="AR10" s="333"/>
      <c r="AS10" s="333"/>
      <c r="AT10" s="361">
        <f>(O10-AG10)/C10</f>
        <v>3.0874785591766728E-2</v>
      </c>
      <c r="AU10" s="305">
        <v>0.13750000000000001</v>
      </c>
      <c r="AV10" s="359">
        <f>(AK10+AL10)/(G10+L10-T10)</f>
        <v>0.3161094224924012</v>
      </c>
      <c r="AW10" s="353"/>
      <c r="AX10" s="302">
        <f>(AG10-AN10-AM10)/(G10+L10-T10+V10)</f>
        <v>0.28797468354430378</v>
      </c>
      <c r="AY10" s="359">
        <f>(AG10-AN10-AM10+AO10)/(G10+L10-T10+AO10)</f>
        <v>0.27659574468085107</v>
      </c>
      <c r="AZ10" s="353">
        <f>(AG10-AN10-AM10+AO10)/(G10+L10-T10+AO10-AC10)</f>
        <v>0.27659574468085107</v>
      </c>
      <c r="BA10" s="302">
        <f>(AG10-AN10)/Q10</f>
        <v>0.23333333333333331</v>
      </c>
      <c r="BB10" s="302">
        <f>(AG10-AN10)/(Q10+R10)</f>
        <v>0.19444444444444442</v>
      </c>
      <c r="BC10" s="358">
        <f>D10</f>
        <v>2.5</v>
      </c>
      <c r="BD10" s="357">
        <f>BC10-(BE10+BF10+BG10)</f>
        <v>0</v>
      </c>
      <c r="BE10" s="356">
        <f>AG10</f>
        <v>0.7</v>
      </c>
      <c r="BF10" s="314">
        <v>2.6</v>
      </c>
      <c r="BG10" s="314">
        <v>-0.8</v>
      </c>
      <c r="BH10" s="300"/>
      <c r="BI10" s="288">
        <v>-0.8</v>
      </c>
      <c r="BJ10" s="288">
        <f>BG10-BI10</f>
        <v>0</v>
      </c>
      <c r="BK10" s="302">
        <f>BJ10/D10</f>
        <v>0</v>
      </c>
      <c r="BL10" s="302"/>
      <c r="BM10" s="302"/>
      <c r="BN10" s="302"/>
      <c r="BO10" s="302"/>
      <c r="BP10" s="330"/>
      <c r="BQ10" s="485"/>
      <c r="BR10" s="333"/>
      <c r="BX10" s="273"/>
      <c r="CT10" s="277"/>
      <c r="CU10" s="275"/>
      <c r="CV10" s="318"/>
      <c r="CW10" s="273"/>
      <c r="DD10" s="273"/>
      <c r="DE10" s="273"/>
      <c r="DJ10" s="281"/>
      <c r="DU10" s="281"/>
      <c r="EF10" s="273"/>
      <c r="EP10" s="277"/>
      <c r="FA10" s="277"/>
    </row>
    <row r="11" spans="1:178">
      <c r="B11" s="288">
        <v>1935</v>
      </c>
      <c r="C11" s="344">
        <v>66.400000000000006</v>
      </c>
      <c r="D11" s="352">
        <v>4</v>
      </c>
      <c r="E11" s="361">
        <f>D11/C11</f>
        <v>6.0240963855421679E-2</v>
      </c>
      <c r="F11" s="333">
        <f>D11-(G11+I11)</f>
        <v>0</v>
      </c>
      <c r="G11" s="342">
        <f>D11-I11</f>
        <v>3.8</v>
      </c>
      <c r="H11" s="302">
        <f>G11/C11</f>
        <v>5.7228915662650592E-2</v>
      </c>
      <c r="I11" s="292">
        <v>0.2</v>
      </c>
      <c r="J11" s="343">
        <f>I11/C11</f>
        <v>3.0120481927710841E-3</v>
      </c>
      <c r="K11" s="361">
        <f>I11/D11</f>
        <v>0.05</v>
      </c>
      <c r="L11" s="371">
        <f>L12*I11/I12</f>
        <v>0.26153846153846161</v>
      </c>
      <c r="M11" s="343">
        <f>L11/C11</f>
        <v>3.9388322520852647E-3</v>
      </c>
      <c r="N11" s="487">
        <f>L11/D11</f>
        <v>6.5384615384615402E-2</v>
      </c>
      <c r="O11" s="352">
        <f>D11</f>
        <v>4</v>
      </c>
      <c r="P11" s="366">
        <f>O11-(Q11+R11+T11+U11+X11-V11)</f>
        <v>0</v>
      </c>
      <c r="Q11" s="278">
        <v>5.4</v>
      </c>
      <c r="R11" s="376">
        <v>0.5</v>
      </c>
      <c r="S11" s="374">
        <f>R11/D11</f>
        <v>0.125</v>
      </c>
      <c r="T11" s="292">
        <v>0</v>
      </c>
      <c r="U11" s="292">
        <v>-0.30000000000000004</v>
      </c>
      <c r="V11" s="372">
        <v>0.2</v>
      </c>
      <c r="W11" s="374">
        <f>V11/D11</f>
        <v>0.05</v>
      </c>
      <c r="X11" s="366">
        <f>O11-(Q11+R11+T11+U11-V11)</f>
        <v>-1.4000000000000004</v>
      </c>
      <c r="Y11" s="367"/>
      <c r="Z11" s="366"/>
      <c r="AA11" s="366"/>
      <c r="AB11" s="366"/>
      <c r="AC11" s="366">
        <v>0</v>
      </c>
      <c r="AD11" s="302">
        <f>AC11/D11</f>
        <v>0</v>
      </c>
      <c r="AE11" s="278"/>
      <c r="AF11" s="278"/>
      <c r="AG11" s="326">
        <v>1</v>
      </c>
      <c r="AH11" s="295">
        <f>AG11/C11</f>
        <v>1.506024096385542E-2</v>
      </c>
      <c r="AI11" s="295">
        <f>(AG11-AN11)/C11</f>
        <v>1.506024096385542E-2</v>
      </c>
      <c r="AJ11" s="357">
        <f>AG11-(AK11+AL11+AM11+AN11)</f>
        <v>0</v>
      </c>
      <c r="AK11" s="288">
        <v>0.9</v>
      </c>
      <c r="AL11" s="288">
        <v>0.1</v>
      </c>
      <c r="AM11" s="290">
        <v>0</v>
      </c>
      <c r="AN11" s="288">
        <v>0</v>
      </c>
      <c r="AO11" s="372">
        <v>0</v>
      </c>
      <c r="AP11" s="333">
        <v>0.624</v>
      </c>
      <c r="AQ11" s="333"/>
      <c r="AR11" s="333"/>
      <c r="AS11" s="333"/>
      <c r="AT11" s="361">
        <f>(O11-AG11)/C11</f>
        <v>4.5180722891566258E-2</v>
      </c>
      <c r="AU11" s="305">
        <v>0.13750000000000001</v>
      </c>
      <c r="AV11" s="359">
        <f>(AK11+AL11)/(G11+L11-T11)</f>
        <v>0.24621212121212122</v>
      </c>
      <c r="AW11" s="353"/>
      <c r="AX11" s="302">
        <f>(AG11-AN11-AM11)/(G11+L11-T11+V11)</f>
        <v>0.23465703971119134</v>
      </c>
      <c r="AY11" s="359">
        <f>(AG11-AN11-AM11+AO11)/(G11+L11-T11+AO11)</f>
        <v>0.24621212121212122</v>
      </c>
      <c r="AZ11" s="353">
        <f>(AG11-AN11-AM11+AO11)/(G11+L11-T11+AO11-AC11)</f>
        <v>0.24621212121212122</v>
      </c>
      <c r="BA11" s="302">
        <f>(AG11-AN11)/Q11</f>
        <v>0.18518518518518517</v>
      </c>
      <c r="BB11" s="302">
        <f>(AG11-AN11)/(Q11+R11)</f>
        <v>0.16949152542372881</v>
      </c>
      <c r="BC11" s="358">
        <f>D11</f>
        <v>4</v>
      </c>
      <c r="BD11" s="357">
        <f>BC11-(BE11+BF11+BG11)</f>
        <v>0</v>
      </c>
      <c r="BE11" s="356">
        <f>AG11</f>
        <v>1</v>
      </c>
      <c r="BF11" s="314">
        <v>2.8</v>
      </c>
      <c r="BG11" s="314">
        <v>0.2</v>
      </c>
      <c r="BH11" s="302">
        <f>BG11/D11</f>
        <v>0.05</v>
      </c>
      <c r="BI11" s="288">
        <v>0.2</v>
      </c>
      <c r="BJ11" s="288">
        <f>BG11-BI11</f>
        <v>0</v>
      </c>
      <c r="BK11" s="302">
        <f>BJ11/D11</f>
        <v>0</v>
      </c>
      <c r="BL11" s="302"/>
      <c r="BM11" s="302"/>
      <c r="BN11" s="302"/>
      <c r="BO11" s="302"/>
      <c r="BP11" s="330"/>
      <c r="BQ11" s="485"/>
      <c r="BR11" s="333"/>
      <c r="BX11" s="273"/>
      <c r="CT11" s="277"/>
      <c r="CU11" s="275"/>
      <c r="CV11" s="318"/>
      <c r="CW11" s="273"/>
      <c r="DD11" s="273"/>
      <c r="DE11" s="273"/>
      <c r="DJ11" s="281"/>
      <c r="DU11" s="281"/>
      <c r="EF11" s="273"/>
      <c r="EP11" s="277"/>
      <c r="FA11" s="277"/>
    </row>
    <row r="12" spans="1:178">
      <c r="B12" s="288">
        <v>1936</v>
      </c>
      <c r="C12" s="344">
        <v>75.2</v>
      </c>
      <c r="D12" s="352">
        <v>6.2</v>
      </c>
      <c r="E12" s="361">
        <f>D12/C12</f>
        <v>8.2446808510638292E-2</v>
      </c>
      <c r="F12" s="333">
        <f>D12-(G12+I12)</f>
        <v>0</v>
      </c>
      <c r="G12" s="342">
        <f>D12-I12</f>
        <v>6.1000000000000005</v>
      </c>
      <c r="H12" s="302">
        <f>G12/C12</f>
        <v>8.1117021276595744E-2</v>
      </c>
      <c r="I12" s="292">
        <v>0.1</v>
      </c>
      <c r="J12" s="343">
        <f>I12/C12</f>
        <v>1.3297872340425532E-3</v>
      </c>
      <c r="K12" s="361">
        <f>I12/D12</f>
        <v>1.6129032258064516E-2</v>
      </c>
      <c r="L12" s="371">
        <f>L13*I12/I13</f>
        <v>0.1307692307692308</v>
      </c>
      <c r="M12" s="343">
        <f>L12/C12</f>
        <v>1.7389525368248777E-3</v>
      </c>
      <c r="N12" s="487">
        <f>L12/D12</f>
        <v>2.1091811414392064E-2</v>
      </c>
      <c r="O12" s="352">
        <f>D12</f>
        <v>6.2</v>
      </c>
      <c r="P12" s="366">
        <f>O12-(Q12+R12+T12+U12+X12-V12)</f>
        <v>0</v>
      </c>
      <c r="Q12" s="278">
        <v>7.8</v>
      </c>
      <c r="R12" s="376">
        <v>0.6</v>
      </c>
      <c r="S12" s="374">
        <f>R12/D12</f>
        <v>9.6774193548387094E-2</v>
      </c>
      <c r="T12" s="292">
        <v>0</v>
      </c>
      <c r="U12" s="292">
        <v>-0.79999999999999993</v>
      </c>
      <c r="V12" s="372">
        <v>0.4</v>
      </c>
      <c r="W12" s="374">
        <f>V12/D12</f>
        <v>6.4516129032258063E-2</v>
      </c>
      <c r="X12" s="366">
        <f>O12-(Q12+R12+T12+U12-V12)</f>
        <v>-1</v>
      </c>
      <c r="Y12" s="367"/>
      <c r="Z12" s="366"/>
      <c r="AA12" s="366"/>
      <c r="AB12" s="366"/>
      <c r="AC12" s="366">
        <v>0</v>
      </c>
      <c r="AD12" s="302">
        <f>AC12/D12</f>
        <v>0</v>
      </c>
      <c r="AE12" s="278"/>
      <c r="AF12" s="278"/>
      <c r="AG12" s="326">
        <v>1.4</v>
      </c>
      <c r="AH12" s="295">
        <f>AG12/C12</f>
        <v>1.8617021276595744E-2</v>
      </c>
      <c r="AI12" s="295">
        <f>(AG12-AN12)/C12</f>
        <v>1.8617021276595744E-2</v>
      </c>
      <c r="AJ12" s="357">
        <f>AG12-(AK12+AL12+AM12+AN12)</f>
        <v>-0.10000000000000009</v>
      </c>
      <c r="AK12" s="288">
        <v>1.3</v>
      </c>
      <c r="AL12" s="288">
        <v>0.2</v>
      </c>
      <c r="AM12" s="290">
        <v>0</v>
      </c>
      <c r="AN12" s="288">
        <v>0</v>
      </c>
      <c r="AO12" s="372">
        <v>0</v>
      </c>
      <c r="AP12" s="333">
        <v>0.87849999999999995</v>
      </c>
      <c r="AQ12" s="333"/>
      <c r="AR12" s="333"/>
      <c r="AS12" s="333"/>
      <c r="AT12" s="361">
        <f>(O12-AG12)/C12</f>
        <v>6.3829787234042562E-2</v>
      </c>
      <c r="AU12" s="305">
        <v>0.15</v>
      </c>
      <c r="AV12" s="359">
        <f>(AK12+AL12)/(G12+L12-T12)</f>
        <v>0.2407407407407407</v>
      </c>
      <c r="AW12" s="353"/>
      <c r="AX12" s="302">
        <f>(AG12-AN12-AM12)/(G12+L12-T12+V12)</f>
        <v>0.21113689095127605</v>
      </c>
      <c r="AY12" s="359">
        <f>(AG12-AN12-AM12+AO12)/(G12+L12-T12+AO12)</f>
        <v>0.22469135802469131</v>
      </c>
      <c r="AZ12" s="353">
        <f>(AG12-AN12-AM12+AO12)/(G12+L12-T12+AO12-AC12)</f>
        <v>0.22469135802469131</v>
      </c>
      <c r="BA12" s="302">
        <f>(AG12-AN12)/Q12</f>
        <v>0.17948717948717949</v>
      </c>
      <c r="BB12" s="302">
        <f>(AG12-AN12)/(Q12+R12)</f>
        <v>0.16666666666666666</v>
      </c>
      <c r="BC12" s="358">
        <f>D12</f>
        <v>6.2</v>
      </c>
      <c r="BD12" s="357">
        <f>BC12-(BE12+BF12+BG12)</f>
        <v>0</v>
      </c>
      <c r="BE12" s="356">
        <f>AG12</f>
        <v>1.4</v>
      </c>
      <c r="BF12" s="314">
        <v>4.5</v>
      </c>
      <c r="BG12" s="314">
        <v>0.3</v>
      </c>
      <c r="BH12" s="302">
        <f>BG12/D12</f>
        <v>4.8387096774193547E-2</v>
      </c>
      <c r="BI12" s="288">
        <v>0.3</v>
      </c>
      <c r="BJ12" s="288">
        <f>BG12-BI12</f>
        <v>0</v>
      </c>
      <c r="BK12" s="302">
        <f>BJ12/D12</f>
        <v>0</v>
      </c>
      <c r="BL12" s="302"/>
      <c r="BM12" s="302"/>
      <c r="BN12" s="302"/>
      <c r="BO12" s="302"/>
      <c r="BP12" s="330"/>
      <c r="BQ12" s="485"/>
      <c r="BR12" s="333"/>
      <c r="BX12" s="273"/>
      <c r="CT12" s="277"/>
      <c r="CU12" s="275"/>
      <c r="CV12" s="318"/>
      <c r="CW12" s="273"/>
      <c r="DD12" s="273"/>
      <c r="DE12" s="273"/>
      <c r="DJ12" s="281"/>
      <c r="DU12" s="281"/>
      <c r="EF12" s="273"/>
      <c r="EP12" s="277"/>
      <c r="FA12" s="277"/>
    </row>
    <row r="13" spans="1:178">
      <c r="B13" s="288">
        <v>1937</v>
      </c>
      <c r="C13" s="344">
        <v>83.7</v>
      </c>
      <c r="D13" s="352">
        <v>7.1</v>
      </c>
      <c r="E13" s="361">
        <f>D13/C13</f>
        <v>8.4826762246117071E-2</v>
      </c>
      <c r="F13" s="333">
        <f>D13-(G13+I13)</f>
        <v>0</v>
      </c>
      <c r="G13" s="342">
        <f>D13-I13</f>
        <v>6.8</v>
      </c>
      <c r="H13" s="302">
        <f>G13/C13</f>
        <v>8.1242532855436075E-2</v>
      </c>
      <c r="I13" s="292">
        <v>0.3</v>
      </c>
      <c r="J13" s="343">
        <f>I13/C13</f>
        <v>3.5842293906810031E-3</v>
      </c>
      <c r="K13" s="361">
        <f>I13/D13</f>
        <v>4.2253521126760563E-2</v>
      </c>
      <c r="L13" s="371">
        <f>L14*I13/I14</f>
        <v>0.39230769230769241</v>
      </c>
      <c r="M13" s="343">
        <f>L13/C13</f>
        <v>4.6870692031982363E-3</v>
      </c>
      <c r="N13" s="487">
        <f>L13/D13</f>
        <v>5.5254604550379213E-2</v>
      </c>
      <c r="O13" s="352">
        <f>D13</f>
        <v>7.1</v>
      </c>
      <c r="P13" s="366">
        <f>O13-(Q13+R13+T13+U13+X13-V13)</f>
        <v>0</v>
      </c>
      <c r="Q13" s="278">
        <v>7.8</v>
      </c>
      <c r="R13" s="376">
        <v>0.7</v>
      </c>
      <c r="S13" s="374">
        <f>R13/D13</f>
        <v>9.8591549295774641E-2</v>
      </c>
      <c r="T13" s="292">
        <v>0</v>
      </c>
      <c r="U13" s="292">
        <v>-0.5</v>
      </c>
      <c r="V13" s="372">
        <v>0.1</v>
      </c>
      <c r="W13" s="374">
        <f>V13/D13</f>
        <v>1.4084507042253523E-2</v>
      </c>
      <c r="X13" s="366">
        <f>O13-(Q13+R13+T13+U13-V13)</f>
        <v>-0.80000000000000071</v>
      </c>
      <c r="Y13" s="367"/>
      <c r="Z13" s="366"/>
      <c r="AA13" s="366"/>
      <c r="AB13" s="366"/>
      <c r="AC13" s="366">
        <v>0</v>
      </c>
      <c r="AD13" s="302">
        <f>AC13/D13</f>
        <v>0</v>
      </c>
      <c r="AE13" s="278"/>
      <c r="AF13" s="278"/>
      <c r="AG13" s="326">
        <v>1.5</v>
      </c>
      <c r="AH13" s="295">
        <f>AG13/C13</f>
        <v>1.7921146953405017E-2</v>
      </c>
      <c r="AI13" s="295">
        <f>(AG13-AN13)/C13</f>
        <v>1.7921146953405017E-2</v>
      </c>
      <c r="AJ13" s="357">
        <f>AG13-(AK13+AL13+AM13+AN13)</f>
        <v>-0.10000000000000009</v>
      </c>
      <c r="AK13" s="288">
        <v>1.4000000000000001</v>
      </c>
      <c r="AL13" s="288">
        <v>0.2</v>
      </c>
      <c r="AM13" s="290">
        <v>0</v>
      </c>
      <c r="AN13" s="288">
        <v>0</v>
      </c>
      <c r="AO13" s="372">
        <v>0</v>
      </c>
      <c r="AP13" s="333">
        <v>1.1625000000000001</v>
      </c>
      <c r="AQ13" s="333"/>
      <c r="AR13" s="333"/>
      <c r="AS13" s="333"/>
      <c r="AT13" s="361">
        <f>(O13-AG13)/C13</f>
        <v>6.6905615292712065E-2</v>
      </c>
      <c r="AU13" s="305">
        <v>0.15</v>
      </c>
      <c r="AV13" s="359">
        <f>(AK13+AL13)/(G13+L13-T13)</f>
        <v>0.22245989304812835</v>
      </c>
      <c r="AW13" s="353"/>
      <c r="AX13" s="302">
        <f>(AG13-AN13-AM13)/(G13+L13-T13+V13)</f>
        <v>0.20569620253164558</v>
      </c>
      <c r="AY13" s="359">
        <f>(AG13-AN13-AM13+AO13)/(G13+L13-T13+AO13)</f>
        <v>0.20855614973262032</v>
      </c>
      <c r="AZ13" s="353">
        <f>(AG13-AN13-AM13+AO13)/(G13+L13-T13+AO13-AC13)</f>
        <v>0.20855614973262032</v>
      </c>
      <c r="BA13" s="302">
        <f>(AG13-AN13)/Q13</f>
        <v>0.19230769230769232</v>
      </c>
      <c r="BB13" s="302">
        <f>(AG13-AN13)/(Q13+R13)</f>
        <v>0.17647058823529413</v>
      </c>
      <c r="BC13" s="358">
        <f>D13</f>
        <v>7.1</v>
      </c>
      <c r="BD13" s="357">
        <f>BC13-(BE13+BF13+BG13)</f>
        <v>0</v>
      </c>
      <c r="BE13" s="356">
        <f>AG13</f>
        <v>1.5</v>
      </c>
      <c r="BF13" s="314">
        <v>4.7</v>
      </c>
      <c r="BG13" s="314">
        <v>0.9</v>
      </c>
      <c r="BH13" s="302">
        <f>BG13/D13</f>
        <v>0.12676056338028169</v>
      </c>
      <c r="BI13" s="288">
        <v>0.7</v>
      </c>
      <c r="BJ13" s="288">
        <f>BG13-BI13</f>
        <v>0.20000000000000007</v>
      </c>
      <c r="BK13" s="302">
        <f>BJ13/D13</f>
        <v>2.8169014084507053E-2</v>
      </c>
      <c r="BL13" s="302"/>
      <c r="BM13" s="302"/>
      <c r="BN13" s="302"/>
      <c r="BO13" s="302"/>
      <c r="BP13" s="330"/>
      <c r="BQ13" s="485"/>
      <c r="BR13" s="333"/>
      <c r="BX13" s="273"/>
      <c r="CT13" s="277"/>
      <c r="CU13" s="275"/>
      <c r="CV13" s="318"/>
      <c r="CW13" s="273"/>
      <c r="DD13" s="273"/>
      <c r="DE13" s="273"/>
      <c r="DJ13" s="281"/>
      <c r="DU13" s="281"/>
      <c r="EF13" s="273"/>
      <c r="EP13" s="277"/>
      <c r="FA13" s="277"/>
    </row>
    <row r="14" spans="1:178">
      <c r="B14" s="288">
        <v>1938</v>
      </c>
      <c r="C14" s="344">
        <v>77.099999999999994</v>
      </c>
      <c r="D14" s="352">
        <v>5</v>
      </c>
      <c r="E14" s="361">
        <f>D14/C14</f>
        <v>6.4850843060959798E-2</v>
      </c>
      <c r="F14" s="333">
        <f>D14-(G14+I14)</f>
        <v>0</v>
      </c>
      <c r="G14" s="342">
        <f>D14-I14</f>
        <v>4.7</v>
      </c>
      <c r="H14" s="302">
        <f>G14/C14</f>
        <v>6.095979247730221E-2</v>
      </c>
      <c r="I14" s="292">
        <v>0.3</v>
      </c>
      <c r="J14" s="343">
        <f>I14/C14</f>
        <v>3.8910505836575876E-3</v>
      </c>
      <c r="K14" s="361">
        <f>I14/D14</f>
        <v>0.06</v>
      </c>
      <c r="L14" s="371">
        <f>L15*I14/I15</f>
        <v>0.39230769230769241</v>
      </c>
      <c r="M14" s="343">
        <f>L14/C14</f>
        <v>5.0882969170906933E-3</v>
      </c>
      <c r="N14" s="487">
        <f>L14/D14</f>
        <v>7.8461538461538485E-2</v>
      </c>
      <c r="O14" s="352">
        <f>D14</f>
        <v>5</v>
      </c>
      <c r="P14" s="366">
        <f>O14-(Q14+R14+T14+U14+X14-V14)</f>
        <v>0</v>
      </c>
      <c r="Q14" s="278">
        <v>4.0999999999999996</v>
      </c>
      <c r="R14" s="376">
        <v>0.5</v>
      </c>
      <c r="S14" s="374">
        <f>R14/D14</f>
        <v>0.1</v>
      </c>
      <c r="T14" s="292">
        <v>0</v>
      </c>
      <c r="U14" s="292">
        <v>0.4</v>
      </c>
      <c r="V14" s="372">
        <v>0</v>
      </c>
      <c r="W14" s="374">
        <f>V14/D14</f>
        <v>0</v>
      </c>
      <c r="X14" s="366">
        <f>O14-(Q14+R14+T14+U14-V14)</f>
        <v>0</v>
      </c>
      <c r="Y14" s="367"/>
      <c r="Z14" s="366"/>
      <c r="AA14" s="366"/>
      <c r="AB14" s="366"/>
      <c r="AC14" s="366">
        <v>0</v>
      </c>
      <c r="AD14" s="302">
        <f>AC14/D14</f>
        <v>0</v>
      </c>
      <c r="AE14" s="278"/>
      <c r="AF14" s="278"/>
      <c r="AG14" s="326">
        <v>1</v>
      </c>
      <c r="AH14" s="295">
        <f>AG14/C14</f>
        <v>1.2970168612191959E-2</v>
      </c>
      <c r="AI14" s="295">
        <f>(AG14-AN14)/C14</f>
        <v>1.2970168612191959E-2</v>
      </c>
      <c r="AJ14" s="357">
        <f>AG14-(AK14+AL14+AM14+AN14)</f>
        <v>-0.10000000000000009</v>
      </c>
      <c r="AK14" s="288">
        <v>1</v>
      </c>
      <c r="AL14" s="288">
        <v>0.1</v>
      </c>
      <c r="AM14" s="290">
        <v>0</v>
      </c>
      <c r="AN14" s="288">
        <v>0</v>
      </c>
      <c r="AO14" s="372">
        <v>0</v>
      </c>
      <c r="AP14" s="333">
        <v>1.2070000000000001</v>
      </c>
      <c r="AQ14" s="333"/>
      <c r="AR14" s="333"/>
      <c r="AS14" s="333"/>
      <c r="AT14" s="361">
        <f>(O14-AG14)/C14</f>
        <v>5.1880674448767837E-2</v>
      </c>
      <c r="AU14" s="305">
        <v>0.19</v>
      </c>
      <c r="AV14" s="359">
        <f>(AK14+AL14)/(G14+L14-T14)</f>
        <v>0.21601208459214502</v>
      </c>
      <c r="AW14" s="353"/>
      <c r="AX14" s="302">
        <f>(AG14-AN14-AM14)/(G14+L14-T14+V14)</f>
        <v>0.19637462235649544</v>
      </c>
      <c r="AY14" s="359">
        <f>(AG14-AN14-AM14+AO14)/(G14+L14-T14+AO14)</f>
        <v>0.19637462235649544</v>
      </c>
      <c r="AZ14" s="353">
        <f>(AG14-AN14-AM14+AO14)/(G14+L14-T14+AO14-AC14)</f>
        <v>0.19637462235649544</v>
      </c>
      <c r="BA14" s="302">
        <f>(AG14-AN14)/Q14</f>
        <v>0.24390243902439027</v>
      </c>
      <c r="BB14" s="302">
        <f>(AG14-AN14)/(Q14+R14)</f>
        <v>0.21739130434782611</v>
      </c>
      <c r="BC14" s="358">
        <f>D14</f>
        <v>5</v>
      </c>
      <c r="BD14" s="357">
        <f>BC14-(BE14+BF14+BG14)</f>
        <v>0</v>
      </c>
      <c r="BE14" s="356">
        <f>AG14</f>
        <v>1</v>
      </c>
      <c r="BF14" s="314">
        <v>3.2</v>
      </c>
      <c r="BG14" s="314">
        <v>0.8</v>
      </c>
      <c r="BH14" s="302">
        <f>BG14/D14</f>
        <v>0.16</v>
      </c>
      <c r="BI14" s="288">
        <v>0.8</v>
      </c>
      <c r="BJ14" s="288">
        <f>BG14-BI14</f>
        <v>0</v>
      </c>
      <c r="BK14" s="302">
        <f>BJ14/D14</f>
        <v>0</v>
      </c>
      <c r="BL14" s="302"/>
      <c r="BM14" s="302"/>
      <c r="BN14" s="302"/>
      <c r="BO14" s="302"/>
      <c r="BP14" s="330"/>
      <c r="BQ14" s="485"/>
      <c r="BR14" s="333"/>
      <c r="BX14" s="273"/>
      <c r="CT14" s="277"/>
      <c r="CU14" s="275"/>
      <c r="CV14" s="318"/>
      <c r="CW14" s="273"/>
      <c r="DD14" s="273"/>
      <c r="DE14" s="273"/>
      <c r="DJ14" s="281"/>
      <c r="DU14" s="281"/>
      <c r="EF14" s="273"/>
      <c r="EP14" s="277"/>
      <c r="FA14" s="277"/>
    </row>
    <row r="15" spans="1:178" s="377" customFormat="1">
      <c r="B15" s="392">
        <v>1939</v>
      </c>
      <c r="C15" s="405">
        <v>82.5</v>
      </c>
      <c r="D15" s="382">
        <v>6.6</v>
      </c>
      <c r="E15" s="378">
        <f>D15/C15</f>
        <v>0.08</v>
      </c>
      <c r="F15" s="389">
        <f>D15-(G15+I15)</f>
        <v>0</v>
      </c>
      <c r="G15" s="389">
        <f>D15-I15</f>
        <v>6.3</v>
      </c>
      <c r="H15" s="378">
        <f>G15/C15</f>
        <v>7.6363636363636356E-2</v>
      </c>
      <c r="I15" s="392">
        <v>0.3</v>
      </c>
      <c r="J15" s="400">
        <f>I15/C15</f>
        <v>3.6363636363636364E-3</v>
      </c>
      <c r="K15" s="378">
        <f>I15/D15</f>
        <v>4.5454545454545456E-2</v>
      </c>
      <c r="L15" s="383">
        <f>L16*I15/I16</f>
        <v>0.39230769230769241</v>
      </c>
      <c r="M15" s="400">
        <f>L15/C15</f>
        <v>4.7552447552447561E-3</v>
      </c>
      <c r="N15" s="489">
        <f>L15/D15</f>
        <v>5.9440559440559461E-2</v>
      </c>
      <c r="O15" s="382">
        <f>D15</f>
        <v>6.6</v>
      </c>
      <c r="P15" s="381">
        <f>O15-(Q15+R15+T15+U15+X15-V15)</f>
        <v>0</v>
      </c>
      <c r="Q15" s="381">
        <v>7.2</v>
      </c>
      <c r="R15" s="403">
        <v>0.6</v>
      </c>
      <c r="S15" s="396">
        <f>R15/D15</f>
        <v>9.0909090909090912E-2</v>
      </c>
      <c r="T15" s="392">
        <v>0</v>
      </c>
      <c r="U15" s="392">
        <v>-1.2</v>
      </c>
      <c r="V15" s="399">
        <v>0</v>
      </c>
      <c r="W15" s="396">
        <f>V15/D15</f>
        <v>0</v>
      </c>
      <c r="X15" s="381">
        <f>O15-(Q15+R15+T15+U15-V15)</f>
        <v>0</v>
      </c>
      <c r="Y15" s="402"/>
      <c r="Z15" s="381"/>
      <c r="AA15" s="381"/>
      <c r="AB15" s="381"/>
      <c r="AC15" s="381">
        <v>0</v>
      </c>
      <c r="AD15" s="378">
        <f>AC15/D15</f>
        <v>0</v>
      </c>
      <c r="AE15" s="381"/>
      <c r="AF15" s="381"/>
      <c r="AG15" s="401">
        <v>1.4</v>
      </c>
      <c r="AH15" s="400">
        <f>AG15/C15</f>
        <v>1.6969696969696968E-2</v>
      </c>
      <c r="AI15" s="400">
        <f>(AG15-AN15)/C15</f>
        <v>1.6969696969696968E-2</v>
      </c>
      <c r="AJ15" s="394">
        <f>AG15-(AK15+AL15+AM15+AN15)</f>
        <v>-0.10000000000000009</v>
      </c>
      <c r="AK15" s="392">
        <v>1.3</v>
      </c>
      <c r="AL15" s="392">
        <v>0.2</v>
      </c>
      <c r="AM15" s="399">
        <v>0</v>
      </c>
      <c r="AN15" s="392">
        <v>0</v>
      </c>
      <c r="AO15" s="399">
        <v>0</v>
      </c>
      <c r="AP15" s="389">
        <v>1.1619999999999999</v>
      </c>
      <c r="AQ15" s="389"/>
      <c r="AR15" s="389"/>
      <c r="AS15" s="389"/>
      <c r="AT15" s="378">
        <f>(O15-AG15)/C15</f>
        <v>6.303030303030302E-2</v>
      </c>
      <c r="AU15" s="449">
        <v>0.19</v>
      </c>
      <c r="AV15" s="397">
        <f>(AK15+AL15)/(G15+L15-T15)</f>
        <v>0.22413793103448276</v>
      </c>
      <c r="AW15" s="396"/>
      <c r="AX15" s="378">
        <f>(AG15-AN15-AM15)/(G15+L15-T15+V15)</f>
        <v>0.20919540229885056</v>
      </c>
      <c r="AY15" s="397">
        <f>(AG15-AN15-AM15+AO15)/(G15+L15-T15+AO15)</f>
        <v>0.20919540229885056</v>
      </c>
      <c r="AZ15" s="396">
        <f>(AG15-AN15-AM15+AO15)/(G15+L15-T15+AO15-AC15)</f>
        <v>0.20919540229885056</v>
      </c>
      <c r="BA15" s="378">
        <f>(AG15-AN15)/Q15</f>
        <v>0.19444444444444442</v>
      </c>
      <c r="BB15" s="378">
        <f>(AG15-AN15)/(Q15+R15)</f>
        <v>0.17948717948717949</v>
      </c>
      <c r="BC15" s="395">
        <f>D15</f>
        <v>6.6</v>
      </c>
      <c r="BD15" s="394">
        <f>BC15-(BE15+BF15+BG15)</f>
        <v>0</v>
      </c>
      <c r="BE15" s="393">
        <f>AG15</f>
        <v>1.4</v>
      </c>
      <c r="BF15" s="383">
        <v>3.8</v>
      </c>
      <c r="BG15" s="383">
        <v>1.4</v>
      </c>
      <c r="BH15" s="378">
        <f>BG15/D15</f>
        <v>0.21212121212121213</v>
      </c>
      <c r="BI15" s="392">
        <v>1.2</v>
      </c>
      <c r="BJ15" s="392">
        <f>BG15-BI15</f>
        <v>0.19999999999999996</v>
      </c>
      <c r="BK15" s="378">
        <f>BJ15/D15</f>
        <v>3.0303030303030297E-2</v>
      </c>
      <c r="BL15" s="378"/>
      <c r="BM15" s="378"/>
      <c r="BN15" s="378"/>
      <c r="BO15" s="378"/>
      <c r="BP15" s="484"/>
      <c r="BQ15" s="488"/>
      <c r="BR15" s="389"/>
      <c r="BX15" s="447"/>
      <c r="CT15" s="483"/>
      <c r="CV15" s="447"/>
      <c r="CW15" s="447"/>
      <c r="DD15" s="447"/>
      <c r="DE15" s="447"/>
      <c r="DJ15" s="448"/>
      <c r="DU15" s="448"/>
      <c r="EF15" s="447"/>
      <c r="EP15" s="483"/>
      <c r="FA15" s="483"/>
      <c r="FL15" s="447"/>
    </row>
    <row r="16" spans="1:178">
      <c r="B16" s="288">
        <v>1940</v>
      </c>
      <c r="C16" s="344">
        <v>91.6</v>
      </c>
      <c r="D16" s="352">
        <v>9.9</v>
      </c>
      <c r="E16" s="361">
        <f>D16/C16</f>
        <v>0.10807860262008735</v>
      </c>
      <c r="F16" s="333">
        <f>D16-(G16+I16)</f>
        <v>0</v>
      </c>
      <c r="G16" s="342">
        <f>D16-I16</f>
        <v>9.6</v>
      </c>
      <c r="H16" s="302">
        <f>G16/C16</f>
        <v>0.10480349344978167</v>
      </c>
      <c r="I16" s="292">
        <v>0.3</v>
      </c>
      <c r="J16" s="343">
        <f>I16/C16</f>
        <v>3.2751091703056771E-3</v>
      </c>
      <c r="K16" s="361">
        <f>I16/D16</f>
        <v>3.03030303030303E-2</v>
      </c>
      <c r="L16" s="371">
        <f>L17*I16/I17</f>
        <v>0.39230769230769241</v>
      </c>
      <c r="M16" s="343">
        <f>L16/C16</f>
        <v>4.2828350688612713E-3</v>
      </c>
      <c r="N16" s="487">
        <f>L16/D16</f>
        <v>3.9627039627039638E-2</v>
      </c>
      <c r="O16" s="352">
        <f>D16</f>
        <v>9.9</v>
      </c>
      <c r="P16" s="366">
        <f>O16-(Q16+R16+T16+U16+X16-V16)</f>
        <v>0</v>
      </c>
      <c r="Q16" s="278">
        <v>9.3000000000000007</v>
      </c>
      <c r="R16" s="376">
        <v>0.6</v>
      </c>
      <c r="S16" s="374">
        <f>R16/D16</f>
        <v>6.0606060606060601E-2</v>
      </c>
      <c r="T16" s="292">
        <v>0</v>
      </c>
      <c r="U16" s="292">
        <v>-0.8</v>
      </c>
      <c r="V16" s="372">
        <v>-0.7</v>
      </c>
      <c r="W16" s="374">
        <f>V16/D16</f>
        <v>-7.0707070707070704E-2</v>
      </c>
      <c r="X16" s="366">
        <f>O16-(Q16+R16+T16+U16-V16)</f>
        <v>0.10000000000000142</v>
      </c>
      <c r="Y16" s="367"/>
      <c r="Z16" s="366"/>
      <c r="AA16" s="366"/>
      <c r="AB16" s="366"/>
      <c r="AC16" s="366">
        <v>0</v>
      </c>
      <c r="AD16" s="302">
        <f>AC16/D16</f>
        <v>0</v>
      </c>
      <c r="AE16" s="278"/>
      <c r="AF16" s="278"/>
      <c r="AG16" s="326">
        <v>2.8</v>
      </c>
      <c r="AH16" s="295">
        <f>AG16/C16</f>
        <v>3.0567685589519649E-2</v>
      </c>
      <c r="AI16" s="295">
        <f>(AG16-AN16)/C16</f>
        <v>3.0567685589519649E-2</v>
      </c>
      <c r="AJ16" s="357">
        <f>AG16-(AK16+AL16+AM16+AN16)</f>
        <v>9.9999999999999645E-2</v>
      </c>
      <c r="AK16" s="288">
        <v>2.5</v>
      </c>
      <c r="AL16" s="288">
        <v>0.2</v>
      </c>
      <c r="AM16" s="290">
        <v>0</v>
      </c>
      <c r="AN16" s="288">
        <v>0</v>
      </c>
      <c r="AO16" s="372">
        <v>0.1</v>
      </c>
      <c r="AP16" s="333">
        <v>1.6605000000000001</v>
      </c>
      <c r="AQ16" s="333"/>
      <c r="AR16" s="333"/>
      <c r="AS16" s="333"/>
      <c r="AT16" s="361">
        <f>(O16-AG16)/C16</f>
        <v>7.75109170305677E-2</v>
      </c>
      <c r="AU16" s="305">
        <v>0.24</v>
      </c>
      <c r="AV16" s="359">
        <f>(AK16+AL16)/(G16+L16-T16)</f>
        <v>0.2702078521939954</v>
      </c>
      <c r="AW16" s="353"/>
      <c r="AX16" s="302">
        <f>(AG16-AN16-AM16)/(G16+L16-T16+V16)</f>
        <v>0.30132450331125826</v>
      </c>
      <c r="AY16" s="359">
        <f>(AG16-AN16-AM16+AO16)/(G16+L16-T16+AO16)</f>
        <v>0.28734756097560976</v>
      </c>
      <c r="AZ16" s="353">
        <f>(AG16-AN16-AM16+AO16)/(G16+L16-T16+AO16-AC16)</f>
        <v>0.28734756097560976</v>
      </c>
      <c r="BA16" s="302">
        <f>(AG16-AN16)/Q16</f>
        <v>0.30107526881720426</v>
      </c>
      <c r="BB16" s="302">
        <f>(AG16-AN16)/(Q16+R16)</f>
        <v>0.28282828282828282</v>
      </c>
      <c r="BC16" s="358">
        <f>D16</f>
        <v>9.9</v>
      </c>
      <c r="BD16" s="357">
        <f>BC16-(BE16+BF16+BG16)</f>
        <v>9.9999999999999645E-2</v>
      </c>
      <c r="BE16" s="356">
        <f>AG16</f>
        <v>2.8</v>
      </c>
      <c r="BF16" s="314">
        <v>4</v>
      </c>
      <c r="BG16" s="314">
        <v>3</v>
      </c>
      <c r="BH16" s="302">
        <f>BG16/D16</f>
        <v>0.30303030303030304</v>
      </c>
      <c r="BI16" s="288">
        <v>3</v>
      </c>
      <c r="BJ16" s="288">
        <f>BG16-BI16</f>
        <v>0</v>
      </c>
      <c r="BK16" s="302">
        <f>BJ16/D16</f>
        <v>0</v>
      </c>
      <c r="BL16" s="302"/>
      <c r="BM16" s="302"/>
      <c r="BN16" s="302"/>
      <c r="BO16" s="302"/>
      <c r="BP16" s="330"/>
      <c r="BQ16" s="485"/>
      <c r="BR16" s="333"/>
      <c r="BX16" s="273"/>
      <c r="CT16" s="277"/>
      <c r="CU16" s="275"/>
      <c r="CV16" s="318"/>
      <c r="CW16" s="273"/>
      <c r="DD16" s="273"/>
      <c r="DE16" s="273"/>
      <c r="DJ16" s="281"/>
      <c r="DU16" s="281"/>
      <c r="EF16" s="273"/>
      <c r="EP16" s="277"/>
      <c r="FA16" s="277"/>
    </row>
    <row r="17" spans="2:177">
      <c r="B17" s="288">
        <v>1941</v>
      </c>
      <c r="C17" s="344">
        <v>117.4</v>
      </c>
      <c r="D17" s="352">
        <v>15.7</v>
      </c>
      <c r="E17" s="361">
        <f>D17/C17</f>
        <v>0.13373083475298125</v>
      </c>
      <c r="F17" s="333">
        <f>D17-(G17+I17)</f>
        <v>0</v>
      </c>
      <c r="G17" s="342">
        <f>D17-I17</f>
        <v>15.299999999999999</v>
      </c>
      <c r="H17" s="302">
        <f>G17/C17</f>
        <v>0.13032367972742759</v>
      </c>
      <c r="I17" s="292">
        <v>0.4</v>
      </c>
      <c r="J17" s="343">
        <f>I17/C17</f>
        <v>3.4071550255536627E-3</v>
      </c>
      <c r="K17" s="361">
        <f>I17/D17</f>
        <v>2.5477707006369428E-2</v>
      </c>
      <c r="L17" s="371">
        <f>L18*I17/I18</f>
        <v>0.52307692307692322</v>
      </c>
      <c r="M17" s="343">
        <f>L17/C17</f>
        <v>4.4555104180317136E-3</v>
      </c>
      <c r="N17" s="487">
        <f>L17/D17</f>
        <v>3.331700146986772E-2</v>
      </c>
      <c r="O17" s="352">
        <f>D17</f>
        <v>15.7</v>
      </c>
      <c r="P17" s="366">
        <f>O17-(Q17+R17+T17+U17+X17-V17)</f>
        <v>0</v>
      </c>
      <c r="Q17" s="278">
        <v>16.7</v>
      </c>
      <c r="R17" s="376">
        <v>0.7</v>
      </c>
      <c r="S17" s="374">
        <f>R17/D17</f>
        <v>4.4585987261146494E-2</v>
      </c>
      <c r="T17" s="292">
        <v>0</v>
      </c>
      <c r="U17" s="292">
        <v>-3.1</v>
      </c>
      <c r="V17" s="372">
        <v>-1</v>
      </c>
      <c r="W17" s="374">
        <f>V17/D17</f>
        <v>-6.3694267515923567E-2</v>
      </c>
      <c r="X17" s="366">
        <f>O17-(Q17+R17+T17+U17-V17)</f>
        <v>0.40000000000000036</v>
      </c>
      <c r="Y17" s="367"/>
      <c r="Z17" s="366"/>
      <c r="AA17" s="366"/>
      <c r="AB17" s="366"/>
      <c r="AC17" s="366">
        <v>0</v>
      </c>
      <c r="AD17" s="302">
        <f>AC17/D17</f>
        <v>0</v>
      </c>
      <c r="AE17" s="278"/>
      <c r="AF17" s="278"/>
      <c r="AG17" s="326">
        <v>7.6</v>
      </c>
      <c r="AH17" s="295">
        <f>AG17/C17</f>
        <v>6.4735945485519586E-2</v>
      </c>
      <c r="AI17" s="295">
        <f>(AG17-AN17)/C17</f>
        <v>6.4735945485519586E-2</v>
      </c>
      <c r="AJ17" s="357">
        <f>AG17-(AK17+AL17+AM17+AN17)</f>
        <v>0</v>
      </c>
      <c r="AK17" s="288">
        <v>7.3000000000000007</v>
      </c>
      <c r="AL17" s="288">
        <v>0.3</v>
      </c>
      <c r="AM17" s="290">
        <v>0</v>
      </c>
      <c r="AN17" s="288">
        <v>0</v>
      </c>
      <c r="AO17" s="372">
        <v>0.1</v>
      </c>
      <c r="AP17" s="333">
        <v>3.4215</v>
      </c>
      <c r="AQ17" s="333"/>
      <c r="AR17" s="333"/>
      <c r="AS17" s="333"/>
      <c r="AT17" s="361">
        <f>(O17-AG17)/C17</f>
        <v>6.8994889267461668E-2</v>
      </c>
      <c r="AU17" s="305">
        <v>0.31</v>
      </c>
      <c r="AV17" s="359">
        <f>(AK17+AL17)/(G17+L17-T17)</f>
        <v>0.48031113271754988</v>
      </c>
      <c r="AW17" s="353"/>
      <c r="AX17" s="302">
        <f>(AG17-AN17-AM17)/(G17+L17-T17+V17)</f>
        <v>0.5127140633108459</v>
      </c>
      <c r="AY17" s="359">
        <f>(AG17-AN17-AM17+AO17)/(G17+L17-T17+AO17)</f>
        <v>0.48357487922705317</v>
      </c>
      <c r="AZ17" s="353">
        <f>(AG17-AN17-AM17+AO17)/(G17+L17-T17+AO17-AC17)</f>
        <v>0.48357487922705317</v>
      </c>
      <c r="BA17" s="302">
        <f>(AG17-AN17)/Q17</f>
        <v>0.45508982035928142</v>
      </c>
      <c r="BB17" s="302">
        <f>(AG17-AN17)/(Q17+R17)</f>
        <v>0.43678160919540232</v>
      </c>
      <c r="BC17" s="358">
        <f>D17</f>
        <v>15.7</v>
      </c>
      <c r="BD17" s="357">
        <f>BC17-(BE17+BF17+BG17)</f>
        <v>0</v>
      </c>
      <c r="BE17" s="356">
        <f>AG17</f>
        <v>7.6</v>
      </c>
      <c r="BF17" s="314">
        <v>4.4000000000000004</v>
      </c>
      <c r="BG17" s="314">
        <v>3.7</v>
      </c>
      <c r="BH17" s="302">
        <f>BG17/D17</f>
        <v>0.23566878980891723</v>
      </c>
      <c r="BI17" s="288">
        <v>3.5</v>
      </c>
      <c r="BJ17" s="288">
        <f>BG17-BI17</f>
        <v>0.20000000000000018</v>
      </c>
      <c r="BK17" s="302">
        <f>BJ17/D17</f>
        <v>1.2738853503184724E-2</v>
      </c>
      <c r="BL17" s="302"/>
      <c r="BM17" s="302"/>
      <c r="BN17" s="302"/>
      <c r="BO17" s="302">
        <f>BJ17/I17</f>
        <v>0.50000000000000044</v>
      </c>
      <c r="BP17" s="330"/>
      <c r="BQ17" s="485"/>
      <c r="BR17" s="333"/>
      <c r="BX17" s="273"/>
      <c r="CT17" s="277"/>
      <c r="CU17" s="275"/>
      <c r="CV17" s="318"/>
      <c r="CW17" s="273"/>
      <c r="DD17" s="273"/>
      <c r="DE17" s="273"/>
      <c r="DJ17" s="281"/>
      <c r="DU17" s="281"/>
      <c r="EF17" s="273"/>
      <c r="EP17" s="277"/>
      <c r="FA17" s="277"/>
    </row>
    <row r="18" spans="2:177">
      <c r="B18" s="288">
        <v>1942</v>
      </c>
      <c r="C18" s="344">
        <v>152.4</v>
      </c>
      <c r="D18" s="352">
        <v>20.8</v>
      </c>
      <c r="E18" s="361">
        <f>D18/C18</f>
        <v>0.13648293963254593</v>
      </c>
      <c r="F18" s="333">
        <f>D18-(G18+I18)</f>
        <v>0</v>
      </c>
      <c r="G18" s="342">
        <f>D18-I18</f>
        <v>20.400000000000002</v>
      </c>
      <c r="H18" s="302">
        <f>G18/C18</f>
        <v>0.13385826771653545</v>
      </c>
      <c r="I18" s="292">
        <v>0.4</v>
      </c>
      <c r="J18" s="343">
        <f>I18/C18</f>
        <v>2.6246719160104987E-3</v>
      </c>
      <c r="K18" s="361">
        <f>I18/D18</f>
        <v>1.9230769230769232E-2</v>
      </c>
      <c r="L18" s="371">
        <f>L19*I18/I19</f>
        <v>0.52307692307692322</v>
      </c>
      <c r="M18" s="343">
        <f>L18/C18</f>
        <v>3.4322632747829608E-3</v>
      </c>
      <c r="N18" s="487">
        <f>L18/D18</f>
        <v>2.5147928994082847E-2</v>
      </c>
      <c r="O18" s="352">
        <f>D18</f>
        <v>20.8</v>
      </c>
      <c r="P18" s="366">
        <f>O18-(Q18+R18+T18+U18+X18-V18)</f>
        <v>0</v>
      </c>
      <c r="Q18" s="278">
        <v>23.4</v>
      </c>
      <c r="R18" s="376">
        <v>0.7</v>
      </c>
      <c r="S18" s="374">
        <f>R18/D18</f>
        <v>3.3653846153846152E-2</v>
      </c>
      <c r="T18" s="292">
        <v>0</v>
      </c>
      <c r="U18" s="292">
        <v>-1.7</v>
      </c>
      <c r="V18" s="372">
        <v>-0.2</v>
      </c>
      <c r="W18" s="374">
        <f>V18/D18</f>
        <v>-9.6153846153846159E-3</v>
      </c>
      <c r="X18" s="366">
        <f>O18-(Q18+R18+T18+U18-V18)</f>
        <v>-1.7999999999999972</v>
      </c>
      <c r="Y18" s="367"/>
      <c r="Z18" s="366"/>
      <c r="AA18" s="366"/>
      <c r="AB18" s="366"/>
      <c r="AC18" s="366">
        <v>0</v>
      </c>
      <c r="AD18" s="302">
        <f>AC18/D18</f>
        <v>0</v>
      </c>
      <c r="AE18" s="278"/>
      <c r="AF18" s="278"/>
      <c r="AG18" s="326">
        <v>11.4</v>
      </c>
      <c r="AH18" s="295">
        <f>AG18/C18</f>
        <v>7.4803149606299218E-2</v>
      </c>
      <c r="AI18" s="295">
        <f>(AG18-AN18)/C18</f>
        <v>7.4803149606299218E-2</v>
      </c>
      <c r="AJ18" s="357">
        <f>AG18-(AK18+AL18+AM18+AN18)</f>
        <v>-0.10000000000000142</v>
      </c>
      <c r="AK18" s="288">
        <v>11.100000000000001</v>
      </c>
      <c r="AL18" s="288">
        <v>0.4</v>
      </c>
      <c r="AM18" s="290">
        <v>0</v>
      </c>
      <c r="AN18" s="288">
        <v>0</v>
      </c>
      <c r="AO18" s="372">
        <v>0.1</v>
      </c>
      <c r="AP18" s="333">
        <v>7.1379999999999999</v>
      </c>
      <c r="AQ18" s="333"/>
      <c r="AR18" s="333"/>
      <c r="AS18" s="333"/>
      <c r="AT18" s="361">
        <f>(O18-AG18)/C18</f>
        <v>6.1679790026246718E-2</v>
      </c>
      <c r="AU18" s="305">
        <v>0.4</v>
      </c>
      <c r="AV18" s="359">
        <f>(AK18+AL18)/(G18+L18-T18)</f>
        <v>0.54963235294117641</v>
      </c>
      <c r="AW18" s="353"/>
      <c r="AX18" s="302">
        <f>(AG18-AN18-AM18)/(G18+L18-T18+V18)</f>
        <v>0.55011135857461013</v>
      </c>
      <c r="AY18" s="359">
        <f>(AG18-AN18-AM18+AO18)/(G18+L18-T18+AO18)</f>
        <v>0.54701792901573354</v>
      </c>
      <c r="AZ18" s="353">
        <f>(AG18-AN18-AM18+AO18)/(G18+L18-T18+AO18-AC18)</f>
        <v>0.54701792901573354</v>
      </c>
      <c r="BA18" s="302">
        <f>(AG18-AN18)/Q18</f>
        <v>0.48717948717948723</v>
      </c>
      <c r="BB18" s="302">
        <f>(AG18-AN18)/(Q18+R18)</f>
        <v>0.47302904564315357</v>
      </c>
      <c r="BC18" s="358">
        <f>D18</f>
        <v>20.8</v>
      </c>
      <c r="BD18" s="357">
        <f>BC18-(BE18+BF18+BG18)</f>
        <v>0</v>
      </c>
      <c r="BE18" s="356">
        <f>AG18</f>
        <v>11.4</v>
      </c>
      <c r="BF18" s="314">
        <v>4.3</v>
      </c>
      <c r="BG18" s="314">
        <v>5.0999999999999996</v>
      </c>
      <c r="BH18" s="302">
        <f>BG18/D18</f>
        <v>0.24519230769230765</v>
      </c>
      <c r="BI18" s="288">
        <v>5</v>
      </c>
      <c r="BJ18" s="288">
        <f>BG18-BI18</f>
        <v>9.9999999999999645E-2</v>
      </c>
      <c r="BK18" s="302">
        <f>BJ18/D18</f>
        <v>4.8076923076922906E-3</v>
      </c>
      <c r="BL18" s="302"/>
      <c r="BM18" s="302"/>
      <c r="BN18" s="302"/>
      <c r="BO18" s="302">
        <f>BJ18/I18</f>
        <v>0.24999999999999911</v>
      </c>
      <c r="BP18" s="330"/>
      <c r="BQ18" s="485"/>
      <c r="BR18" s="333"/>
      <c r="BX18" s="273"/>
      <c r="CT18" s="277"/>
      <c r="CU18" s="275"/>
      <c r="CV18" s="318"/>
      <c r="CW18" s="273"/>
      <c r="DD18" s="273"/>
      <c r="DE18" s="273"/>
      <c r="DJ18" s="281"/>
      <c r="DU18" s="281"/>
      <c r="EF18" s="273"/>
      <c r="EP18" s="277"/>
      <c r="FA18" s="277"/>
    </row>
    <row r="19" spans="2:177">
      <c r="B19" s="288">
        <v>1943</v>
      </c>
      <c r="C19" s="344">
        <v>187.3</v>
      </c>
      <c r="D19" s="352">
        <v>24.9</v>
      </c>
      <c r="E19" s="361">
        <f>D19/C19</f>
        <v>0.13294180459156432</v>
      </c>
      <c r="F19" s="333">
        <f>D19-(G19+I19)</f>
        <v>0</v>
      </c>
      <c r="G19" s="342">
        <f>D19-I19</f>
        <v>24.5</v>
      </c>
      <c r="H19" s="302">
        <f>G19/C19</f>
        <v>0.13080619327282433</v>
      </c>
      <c r="I19" s="292">
        <v>0.4</v>
      </c>
      <c r="J19" s="343">
        <f>I19/C19</f>
        <v>2.1356113187399892E-3</v>
      </c>
      <c r="K19" s="361">
        <f>I19/D19</f>
        <v>1.6064257028112452E-2</v>
      </c>
      <c r="L19" s="371">
        <f>L20*I19/I20</f>
        <v>0.52307692307692322</v>
      </c>
      <c r="M19" s="343">
        <f>L19/C19</f>
        <v>2.7927224937369095E-3</v>
      </c>
      <c r="N19" s="487">
        <f>L19/D19</f>
        <v>2.1007105344454748E-2</v>
      </c>
      <c r="O19" s="352">
        <f>D19</f>
        <v>24.9</v>
      </c>
      <c r="P19" s="366">
        <f>O19-(Q19+R19+T19+U19+X19-V19)</f>
        <v>0</v>
      </c>
      <c r="Q19" s="278">
        <v>28.1</v>
      </c>
      <c r="R19" s="376">
        <v>0.8</v>
      </c>
      <c r="S19" s="374">
        <f>R19/D19</f>
        <v>3.2128514056224904E-2</v>
      </c>
      <c r="T19" s="292">
        <v>0</v>
      </c>
      <c r="U19" s="292">
        <v>-1</v>
      </c>
      <c r="V19" s="372">
        <v>-0.2</v>
      </c>
      <c r="W19" s="374">
        <f>V19/D19</f>
        <v>-8.0321285140562259E-3</v>
      </c>
      <c r="X19" s="366">
        <f>O19-(Q19+R19+T19+U19-V19)</f>
        <v>-3.2000000000000028</v>
      </c>
      <c r="Y19" s="367"/>
      <c r="Z19" s="366"/>
      <c r="AA19" s="366"/>
      <c r="AB19" s="366"/>
      <c r="AC19" s="366">
        <v>0</v>
      </c>
      <c r="AD19" s="302">
        <f>AC19/D19</f>
        <v>0</v>
      </c>
      <c r="AE19" s="278"/>
      <c r="AF19" s="278"/>
      <c r="AG19" s="326">
        <v>14.1</v>
      </c>
      <c r="AH19" s="295">
        <f>AG19/C19</f>
        <v>7.5280298985584623E-2</v>
      </c>
      <c r="AI19" s="295">
        <f>(AG19-AN19)/C19</f>
        <v>7.5280298985584623E-2</v>
      </c>
      <c r="AJ19" s="357">
        <f>AG19-(AK19+AL19+AM19+AN19)</f>
        <v>0</v>
      </c>
      <c r="AK19" s="288">
        <v>13.6</v>
      </c>
      <c r="AL19" s="288">
        <v>0.5</v>
      </c>
      <c r="AM19" s="290">
        <v>0</v>
      </c>
      <c r="AN19" s="288">
        <v>0</v>
      </c>
      <c r="AO19" s="372">
        <v>0.1</v>
      </c>
      <c r="AP19" s="333">
        <v>12.1975</v>
      </c>
      <c r="AQ19" s="333"/>
      <c r="AR19" s="333"/>
      <c r="AS19" s="333"/>
      <c r="AT19" s="361">
        <f>(O19-AG19)/C19</f>
        <v>5.7661505605979706E-2</v>
      </c>
      <c r="AU19" s="305">
        <v>0.4</v>
      </c>
      <c r="AV19" s="359">
        <f>(AK19+AL19)/(G19+L19-T19)</f>
        <v>0.5634798647402397</v>
      </c>
      <c r="AW19" s="353"/>
      <c r="AX19" s="302">
        <f>(AG19-AN19-AM19)/(G19+L19-T19+V19)</f>
        <v>0.56801983266191503</v>
      </c>
      <c r="AY19" s="359">
        <f>(AG19-AN19-AM19+AO19)/(G19+L19-T19+AO19)</f>
        <v>0.56521739130434778</v>
      </c>
      <c r="AZ19" s="353">
        <f>(AG19-AN19-AM19+AO19)/(G19+L19-T19+AO19-AC19)</f>
        <v>0.56521739130434778</v>
      </c>
      <c r="BA19" s="302">
        <f>(AG19-AN19)/Q19</f>
        <v>0.50177935943060492</v>
      </c>
      <c r="BB19" s="302">
        <f>(AG19-AN19)/(Q19+R19)</f>
        <v>0.48788927335640131</v>
      </c>
      <c r="BC19" s="358">
        <f>D19</f>
        <v>24.9</v>
      </c>
      <c r="BD19" s="357">
        <f>BC19-(BE19+BF19+BG19)</f>
        <v>0</v>
      </c>
      <c r="BE19" s="356">
        <f>AG19</f>
        <v>14.1</v>
      </c>
      <c r="BF19" s="314">
        <v>4.4000000000000004</v>
      </c>
      <c r="BG19" s="314">
        <v>6.4</v>
      </c>
      <c r="BH19" s="302">
        <f>BG19/D19</f>
        <v>0.25702811244979923</v>
      </c>
      <c r="BI19" s="288">
        <v>6.2</v>
      </c>
      <c r="BJ19" s="288">
        <f>BG19-BI19</f>
        <v>0.20000000000000018</v>
      </c>
      <c r="BK19" s="302">
        <f>BJ19/D19</f>
        <v>8.0321285140562328E-3</v>
      </c>
      <c r="BL19" s="302"/>
      <c r="BM19" s="302"/>
      <c r="BN19" s="302"/>
      <c r="BO19" s="302">
        <f>BJ19/I19</f>
        <v>0.50000000000000044</v>
      </c>
      <c r="BP19" s="330"/>
      <c r="BQ19" s="485"/>
      <c r="BR19" s="333"/>
      <c r="BX19" s="273"/>
      <c r="CT19" s="277"/>
      <c r="CU19" s="275"/>
      <c r="CV19" s="318"/>
      <c r="CW19" s="273"/>
      <c r="DD19" s="273"/>
      <c r="DE19" s="273"/>
      <c r="DJ19" s="281"/>
      <c r="DU19" s="281"/>
      <c r="EF19" s="273"/>
      <c r="EP19" s="277"/>
      <c r="FA19" s="277"/>
    </row>
    <row r="20" spans="2:177">
      <c r="B20" s="288">
        <v>1944</v>
      </c>
      <c r="C20" s="344">
        <v>201</v>
      </c>
      <c r="D20" s="352">
        <v>25</v>
      </c>
      <c r="E20" s="361">
        <f>D20/C20</f>
        <v>0.12437810945273632</v>
      </c>
      <c r="F20" s="333">
        <f>D20-(G20+I20)</f>
        <v>0</v>
      </c>
      <c r="G20" s="342">
        <f>D20-I20</f>
        <v>24.6</v>
      </c>
      <c r="H20" s="302">
        <f>G20/C20</f>
        <v>0.12238805970149254</v>
      </c>
      <c r="I20" s="292">
        <v>0.4</v>
      </c>
      <c r="J20" s="343">
        <f>I20/C20</f>
        <v>1.9900497512437814E-3</v>
      </c>
      <c r="K20" s="361">
        <f>I20/D20</f>
        <v>1.6E-2</v>
      </c>
      <c r="L20" s="371">
        <f>L21*I20/I21</f>
        <v>0.52307692307692322</v>
      </c>
      <c r="M20" s="343">
        <f>L20/C20</f>
        <v>2.6023727516264836E-3</v>
      </c>
      <c r="N20" s="487">
        <f>L20/D20</f>
        <v>2.092307692307693E-2</v>
      </c>
      <c r="O20" s="352">
        <f>D20</f>
        <v>25</v>
      </c>
      <c r="P20" s="366">
        <f>O20-(Q20+R20+T20+U20+X20-V20)</f>
        <v>0</v>
      </c>
      <c r="Q20" s="278">
        <v>26.5</v>
      </c>
      <c r="R20" s="376">
        <v>0.5</v>
      </c>
      <c r="S20" s="374">
        <f>R20/D20</f>
        <v>0.02</v>
      </c>
      <c r="T20" s="292">
        <v>0.1</v>
      </c>
      <c r="U20" s="292">
        <v>0.2</v>
      </c>
      <c r="V20" s="372">
        <v>0</v>
      </c>
      <c r="W20" s="374">
        <f>V20/D20</f>
        <v>0</v>
      </c>
      <c r="X20" s="366">
        <f>O20-(Q20+R20+T20+U20-V20)</f>
        <v>-2.3000000000000007</v>
      </c>
      <c r="Y20" s="367"/>
      <c r="Z20" s="366"/>
      <c r="AA20" s="366"/>
      <c r="AB20" s="366"/>
      <c r="AC20" s="366">
        <v>0</v>
      </c>
      <c r="AD20" s="302">
        <f>AC20/D20</f>
        <v>0</v>
      </c>
      <c r="AE20" s="278"/>
      <c r="AF20" s="278"/>
      <c r="AG20" s="326">
        <v>12.9</v>
      </c>
      <c r="AH20" s="295">
        <f>AG20/C20</f>
        <v>6.4179104477611937E-2</v>
      </c>
      <c r="AI20" s="295">
        <f>(AG20-AN20)/C20</f>
        <v>6.4179104477611937E-2</v>
      </c>
      <c r="AJ20" s="357">
        <f>AG20-(AK20+AL20+AM20+AN20)</f>
        <v>-0.10000000000000142</v>
      </c>
      <c r="AK20" s="288">
        <v>12.500000000000002</v>
      </c>
      <c r="AL20" s="288">
        <v>0.5</v>
      </c>
      <c r="AM20" s="290">
        <v>0</v>
      </c>
      <c r="AN20" s="288">
        <v>0</v>
      </c>
      <c r="AO20" s="372">
        <v>0.1</v>
      </c>
      <c r="AP20" s="333">
        <v>15.413</v>
      </c>
      <c r="AQ20" s="333"/>
      <c r="AR20" s="333"/>
      <c r="AS20" s="333"/>
      <c r="AT20" s="361">
        <f>(O20-AG20)/C20</f>
        <v>6.0199004975124377E-2</v>
      </c>
      <c r="AU20" s="305">
        <v>0.4</v>
      </c>
      <c r="AV20" s="359">
        <f>(AK20+AL20)/(G20+L20-T20)</f>
        <v>0.51952044266830621</v>
      </c>
      <c r="AW20" s="353"/>
      <c r="AX20" s="302">
        <f>(AG20-AN20-AM20)/(G20+L20-T20+V20)</f>
        <v>0.51552413157085764</v>
      </c>
      <c r="AY20" s="359">
        <f>(AG20-AN20-AM20+AO20)/(G20+L20-T20+AO20)</f>
        <v>0.51745254133496621</v>
      </c>
      <c r="AZ20" s="353">
        <f>(AG20-AN20-AM20+AO20)/(G20+L20-T20+AO20-AC20)</f>
        <v>0.51745254133496621</v>
      </c>
      <c r="BA20" s="302">
        <f>(AG20-AN20)/Q20</f>
        <v>0.48679245283018868</v>
      </c>
      <c r="BB20" s="302">
        <f>(AG20-AN20)/(Q20+R20)</f>
        <v>0.4777777777777778</v>
      </c>
      <c r="BC20" s="358">
        <f>D20</f>
        <v>25</v>
      </c>
      <c r="BD20" s="357">
        <f>BC20-(BE20+BF20+BG20)</f>
        <v>0.10000000000000142</v>
      </c>
      <c r="BE20" s="356">
        <f>AG20</f>
        <v>12.9</v>
      </c>
      <c r="BF20" s="314">
        <v>4.5999999999999996</v>
      </c>
      <c r="BG20" s="314">
        <v>7.4</v>
      </c>
      <c r="BH20" s="302">
        <f>BG20/D20</f>
        <v>0.29600000000000004</v>
      </c>
      <c r="BI20" s="288">
        <v>7.3</v>
      </c>
      <c r="BJ20" s="288">
        <f>BG20-BI20</f>
        <v>0.10000000000000053</v>
      </c>
      <c r="BK20" s="302">
        <f>BJ20/D20</f>
        <v>4.0000000000000209E-3</v>
      </c>
      <c r="BL20" s="302"/>
      <c r="BM20" s="302"/>
      <c r="BN20" s="302"/>
      <c r="BO20" s="302">
        <f>BJ20/I20</f>
        <v>0.25000000000000133</v>
      </c>
      <c r="BP20" s="330"/>
      <c r="BQ20" s="485"/>
      <c r="BR20" s="333"/>
      <c r="BX20" s="273"/>
      <c r="CT20" s="277"/>
      <c r="CU20" s="275"/>
      <c r="CV20" s="318"/>
      <c r="CW20" s="273"/>
      <c r="DD20" s="273"/>
      <c r="DE20" s="273"/>
      <c r="DJ20" s="281"/>
      <c r="DU20" s="281"/>
      <c r="EF20" s="273"/>
      <c r="EP20" s="277"/>
      <c r="FA20" s="277"/>
    </row>
    <row r="21" spans="2:177">
      <c r="B21" s="288">
        <v>1945</v>
      </c>
      <c r="C21" s="344">
        <v>201.4</v>
      </c>
      <c r="D21" s="352">
        <v>20.5</v>
      </c>
      <c r="E21" s="361">
        <f>D21/C21</f>
        <v>0.10178748758689175</v>
      </c>
      <c r="F21" s="333">
        <f>D21-(G21+I21)</f>
        <v>0</v>
      </c>
      <c r="G21" s="342">
        <f>D21-I21</f>
        <v>20.2</v>
      </c>
      <c r="H21" s="302">
        <f>G21/C21</f>
        <v>0.10029791459781529</v>
      </c>
      <c r="I21" s="292">
        <v>0.3</v>
      </c>
      <c r="J21" s="343">
        <f>I21/C21</f>
        <v>1.4895729890764646E-3</v>
      </c>
      <c r="K21" s="361">
        <f>I21/D21</f>
        <v>1.4634146341463414E-2</v>
      </c>
      <c r="L21" s="371">
        <f>L22*I21/I22</f>
        <v>0.3923076923076923</v>
      </c>
      <c r="M21" s="343">
        <f>L21/C21</f>
        <v>1.9479031395615307E-3</v>
      </c>
      <c r="N21" s="487">
        <f>L21/D21</f>
        <v>1.9136960600375234E-2</v>
      </c>
      <c r="O21" s="352">
        <f>D21</f>
        <v>20.5</v>
      </c>
      <c r="P21" s="366">
        <f>O21-(Q21+R21+T21+U21+X21-V21)</f>
        <v>0</v>
      </c>
      <c r="Q21" s="278">
        <v>21.3</v>
      </c>
      <c r="R21" s="376">
        <v>0.4</v>
      </c>
      <c r="S21" s="374">
        <f>R21/D21</f>
        <v>1.9512195121951219E-2</v>
      </c>
      <c r="T21" s="292">
        <v>0.1</v>
      </c>
      <c r="U21" s="292">
        <v>0</v>
      </c>
      <c r="V21" s="372">
        <v>0.6</v>
      </c>
      <c r="W21" s="374">
        <f>V21/D21</f>
        <v>2.9268292682926828E-2</v>
      </c>
      <c r="X21" s="366">
        <f>O21-(Q21+R21+T21+U21-V21)</f>
        <v>-0.69999999999999929</v>
      </c>
      <c r="Y21" s="367"/>
      <c r="Z21" s="366"/>
      <c r="AA21" s="366"/>
      <c r="AB21" s="366"/>
      <c r="AC21" s="366">
        <v>0</v>
      </c>
      <c r="AD21" s="302">
        <f>AC21/D21</f>
        <v>0</v>
      </c>
      <c r="AE21" s="278"/>
      <c r="AF21" s="278"/>
      <c r="AG21" s="326">
        <v>10.7</v>
      </c>
      <c r="AH21" s="295">
        <f>AG21/C21</f>
        <v>5.3128103277060572E-2</v>
      </c>
      <c r="AI21" s="295">
        <f>(AG21-AN21)/C21</f>
        <v>5.3128103277060572E-2</v>
      </c>
      <c r="AJ21" s="357">
        <f>AG21-(AK21+AL21+AM21+AN21)</f>
        <v>0</v>
      </c>
      <c r="AK21" s="288">
        <v>10.200000000000001</v>
      </c>
      <c r="AL21" s="288">
        <v>0.5</v>
      </c>
      <c r="AM21" s="290">
        <v>0</v>
      </c>
      <c r="AN21" s="288">
        <v>0</v>
      </c>
      <c r="AO21" s="372">
        <v>0.1</v>
      </c>
      <c r="AP21" s="333">
        <v>13.935499999999999</v>
      </c>
      <c r="AQ21" s="333"/>
      <c r="AR21" s="333"/>
      <c r="AS21" s="333"/>
      <c r="AT21" s="361">
        <f>(O21-AG21)/C21</f>
        <v>4.8659384309831182E-2</v>
      </c>
      <c r="AU21" s="305">
        <v>0.4</v>
      </c>
      <c r="AV21" s="359">
        <f>(AK21+AL21)/(G21+L21-T21)</f>
        <v>0.52214714714714727</v>
      </c>
      <c r="AW21" s="353"/>
      <c r="AX21" s="302">
        <f>(AG21-AN21-AM21)/(G21+L21-T21+V21)</f>
        <v>0.50729394602479938</v>
      </c>
      <c r="AY21" s="359">
        <f>(AG21-AN21-AM21+AO21)/(G21+L21-T21+AO21)</f>
        <v>0.5244676877101232</v>
      </c>
      <c r="AZ21" s="353">
        <f>(AG21-AN21-AM21+AO21)/(G21+L21-T21+AO21-AC21)</f>
        <v>0.5244676877101232</v>
      </c>
      <c r="BA21" s="302">
        <f>(AG21-AN21)/Q21</f>
        <v>0.50234741784037551</v>
      </c>
      <c r="BB21" s="302">
        <f>(AG21-AN21)/(Q21+R21)</f>
        <v>0.49308755760368661</v>
      </c>
      <c r="BC21" s="358">
        <f>D21</f>
        <v>20.5</v>
      </c>
      <c r="BD21" s="357">
        <f>BC21-(BE21+BF21+BG21)</f>
        <v>0</v>
      </c>
      <c r="BE21" s="356">
        <f>AG21</f>
        <v>10.7</v>
      </c>
      <c r="BF21" s="314">
        <v>4.5999999999999996</v>
      </c>
      <c r="BG21" s="314">
        <v>5.2</v>
      </c>
      <c r="BH21" s="302">
        <f>BG21/D21</f>
        <v>0.25365853658536586</v>
      </c>
      <c r="BI21" s="288">
        <v>5</v>
      </c>
      <c r="BJ21" s="288">
        <f>BG21-BI21</f>
        <v>0.20000000000000018</v>
      </c>
      <c r="BK21" s="302">
        <f>BJ21/D21</f>
        <v>9.7560975609756184E-3</v>
      </c>
      <c r="BL21" s="302"/>
      <c r="BM21" s="302"/>
      <c r="BN21" s="302"/>
      <c r="BO21" s="302">
        <f>BJ21/I21</f>
        <v>0.6666666666666673</v>
      </c>
      <c r="BP21" s="330"/>
      <c r="BQ21" s="485"/>
      <c r="BR21" s="333"/>
      <c r="BX21" s="273"/>
      <c r="CT21" s="277"/>
      <c r="CU21" s="275"/>
      <c r="CV21" s="318"/>
      <c r="CW21" s="273"/>
      <c r="DD21" s="273"/>
      <c r="DE21" s="273"/>
      <c r="DJ21" s="281"/>
      <c r="DU21" s="281"/>
      <c r="EF21" s="273"/>
      <c r="EP21" s="277"/>
      <c r="FA21" s="277"/>
    </row>
    <row r="22" spans="2:177">
      <c r="B22" s="288">
        <v>1946</v>
      </c>
      <c r="C22" s="344">
        <v>201.5</v>
      </c>
      <c r="D22" s="352">
        <v>18.2</v>
      </c>
      <c r="E22" s="361">
        <f>D22/C22</f>
        <v>9.0322580645161285E-2</v>
      </c>
      <c r="F22" s="333">
        <f>D22-(G22+I22)</f>
        <v>0</v>
      </c>
      <c r="G22" s="342">
        <f>D22-I22</f>
        <v>17.5</v>
      </c>
      <c r="H22" s="302">
        <f>G22/C22</f>
        <v>8.6848635235732011E-2</v>
      </c>
      <c r="I22" s="292">
        <v>0.7</v>
      </c>
      <c r="J22" s="343">
        <f>I22/C22</f>
        <v>3.47394540942928E-3</v>
      </c>
      <c r="K22" s="361">
        <f>I22/D22</f>
        <v>3.8461538461538464E-2</v>
      </c>
      <c r="L22" s="371">
        <f>L23*I22/I23</f>
        <v>0.91538461538461535</v>
      </c>
      <c r="M22" s="343">
        <f>L22/C22</f>
        <v>4.5428516892536746E-3</v>
      </c>
      <c r="N22" s="487">
        <f>L22/D22</f>
        <v>5.0295857988165681E-2</v>
      </c>
      <c r="O22" s="352">
        <f>D22</f>
        <v>18.2</v>
      </c>
      <c r="P22" s="366">
        <f>O22-(Q22+R22+T22+U22+X22-V22)</f>
        <v>0</v>
      </c>
      <c r="Q22" s="278">
        <v>25.4</v>
      </c>
      <c r="R22" s="376">
        <v>1.1000000000000001</v>
      </c>
      <c r="S22" s="374">
        <f>R22/D22</f>
        <v>6.0439560439560447E-2</v>
      </c>
      <c r="T22" s="292">
        <v>0.1</v>
      </c>
      <c r="U22" s="292">
        <v>-7.4</v>
      </c>
      <c r="V22" s="372">
        <v>1.1000000000000001</v>
      </c>
      <c r="W22" s="374">
        <f>V22/D22</f>
        <v>6.0439560439560447E-2</v>
      </c>
      <c r="X22" s="366">
        <f>O22-(Q22+R22+T22+U22-V22)</f>
        <v>9.9999999999997868E-2</v>
      </c>
      <c r="Y22" s="367"/>
      <c r="Z22" s="366"/>
      <c r="AA22" s="366"/>
      <c r="AB22" s="366"/>
      <c r="AC22" s="366">
        <v>0</v>
      </c>
      <c r="AD22" s="302">
        <f>AC22/D22</f>
        <v>0</v>
      </c>
      <c r="AE22" s="278"/>
      <c r="AF22" s="278"/>
      <c r="AG22" s="326">
        <v>9.1</v>
      </c>
      <c r="AH22" s="295">
        <f>AG22/C22</f>
        <v>4.5161290322580643E-2</v>
      </c>
      <c r="AI22" s="295">
        <f>(AG22-AN22)/C22</f>
        <v>4.5161290322580643E-2</v>
      </c>
      <c r="AJ22" s="357">
        <f>AG22-(AK22+AL22+AM22+AN22)</f>
        <v>0</v>
      </c>
      <c r="AK22" s="288">
        <v>8.6000000000000014</v>
      </c>
      <c r="AL22" s="288">
        <v>0.5</v>
      </c>
      <c r="AM22" s="290">
        <v>0</v>
      </c>
      <c r="AN22" s="288">
        <v>0</v>
      </c>
      <c r="AO22" s="372">
        <v>0.2</v>
      </c>
      <c r="AP22" s="333">
        <v>10.249000000000001</v>
      </c>
      <c r="AQ22" s="333"/>
      <c r="AR22" s="333"/>
      <c r="AS22" s="333"/>
      <c r="AT22" s="361">
        <f>(O22-AG22)/C22</f>
        <v>4.5161290322580643E-2</v>
      </c>
      <c r="AU22" s="305">
        <v>0.38</v>
      </c>
      <c r="AV22" s="359">
        <f>(AK22+AL22)/(G22+L22-T22)</f>
        <v>0.49685006299874018</v>
      </c>
      <c r="AW22" s="353"/>
      <c r="AX22" s="302">
        <f>(AG22-AN22-AM22)/(G22+L22-T22+V22)</f>
        <v>0.46870047543581617</v>
      </c>
      <c r="AY22" s="359">
        <f>(AG22-AN22-AM22+AO22)/(G22+L22-T22+AO22)</f>
        <v>0.50228500207727467</v>
      </c>
      <c r="AZ22" s="353">
        <f>(AG22-AN22-AM22+AO22)/(G22+L22-T22+AO22-AC22)</f>
        <v>0.50228500207727467</v>
      </c>
      <c r="BA22" s="302">
        <f>(AG22-AN22)/Q22</f>
        <v>0.3582677165354331</v>
      </c>
      <c r="BB22" s="302">
        <f>(AG22-AN22)/(Q22+R22)</f>
        <v>0.34339622641509432</v>
      </c>
      <c r="BC22" s="358">
        <f>D22</f>
        <v>18.2</v>
      </c>
      <c r="BD22" s="357">
        <f>BC22-(BE22+BF22+BG22)</f>
        <v>-0.10000000000000142</v>
      </c>
      <c r="BE22" s="356">
        <f>AG22</f>
        <v>9.1</v>
      </c>
      <c r="BF22" s="314">
        <v>5.6</v>
      </c>
      <c r="BG22" s="314">
        <v>3.6</v>
      </c>
      <c r="BH22" s="302">
        <f>BG22/D22</f>
        <v>0.19780219780219782</v>
      </c>
      <c r="BI22" s="288">
        <v>3.3</v>
      </c>
      <c r="BJ22" s="288">
        <f>BG22-BI22</f>
        <v>0.30000000000000027</v>
      </c>
      <c r="BK22" s="302">
        <f>BJ22/D22</f>
        <v>1.6483516483516498E-2</v>
      </c>
      <c r="BL22" s="302"/>
      <c r="BM22" s="302"/>
      <c r="BN22" s="302"/>
      <c r="BO22" s="302">
        <f>BJ22/I22</f>
        <v>0.42857142857142899</v>
      </c>
      <c r="BP22" s="330"/>
      <c r="BQ22" s="485"/>
      <c r="BR22" s="333"/>
      <c r="BX22" s="273"/>
      <c r="CT22" s="277"/>
      <c r="CU22" s="275"/>
      <c r="CV22" s="318"/>
      <c r="CW22" s="273"/>
      <c r="DD22" s="273"/>
      <c r="DE22" s="273"/>
      <c r="DJ22" s="281"/>
      <c r="DU22" s="281"/>
      <c r="EF22" s="273"/>
      <c r="EP22" s="277"/>
      <c r="FA22" s="277"/>
    </row>
    <row r="23" spans="2:177">
      <c r="B23" s="288">
        <v>1947</v>
      </c>
      <c r="C23" s="344">
        <v>219</v>
      </c>
      <c r="D23" s="352">
        <v>24.2</v>
      </c>
      <c r="E23" s="361">
        <f>D23/C23</f>
        <v>0.11050228310502283</v>
      </c>
      <c r="F23" s="333">
        <f>D23-(G23+I23)</f>
        <v>0</v>
      </c>
      <c r="G23" s="342">
        <f>D23-I23</f>
        <v>23.2</v>
      </c>
      <c r="H23" s="302">
        <f>G23/C23</f>
        <v>0.10593607305936073</v>
      </c>
      <c r="I23" s="333">
        <v>1</v>
      </c>
      <c r="J23" s="343">
        <f>I23/C23</f>
        <v>4.5662100456621002E-3</v>
      </c>
      <c r="K23" s="486">
        <f>I23/D23</f>
        <v>4.1322314049586778E-2</v>
      </c>
      <c r="L23" s="371">
        <f>L24*I23/I24</f>
        <v>1.3076923076923077</v>
      </c>
      <c r="M23" s="343">
        <f>L23/C23</f>
        <v>5.9711977520196698E-3</v>
      </c>
      <c r="N23" s="370">
        <f>L23/D23</f>
        <v>5.4036872218690406E-2</v>
      </c>
      <c r="O23" s="352">
        <f>D23</f>
        <v>24.2</v>
      </c>
      <c r="P23" s="366">
        <f>O23-(Q23+R23+T23+U23+X23-V23)</f>
        <v>0</v>
      </c>
      <c r="Q23" s="278">
        <v>31.6</v>
      </c>
      <c r="R23" s="376">
        <v>1.1000000000000001</v>
      </c>
      <c r="S23" s="374">
        <f>R23/D23</f>
        <v>4.5454545454545463E-2</v>
      </c>
      <c r="T23" s="292">
        <v>0.1</v>
      </c>
      <c r="U23" s="292">
        <v>-8.5</v>
      </c>
      <c r="V23" s="372">
        <v>0.7</v>
      </c>
      <c r="W23" s="374">
        <f>V23/D23</f>
        <v>2.8925619834710741E-2</v>
      </c>
      <c r="X23" s="366">
        <f>O23-(Q23+R23+T23+U23-V23)</f>
        <v>0.59999999999999432</v>
      </c>
      <c r="Y23" s="367"/>
      <c r="Z23" s="366"/>
      <c r="AA23" s="366"/>
      <c r="AB23" s="366"/>
      <c r="AC23" s="366">
        <v>0</v>
      </c>
      <c r="AD23" s="302">
        <f>AC23/D23</f>
        <v>0</v>
      </c>
      <c r="AE23" s="278"/>
      <c r="AF23" s="278"/>
      <c r="AG23" s="326">
        <v>11.3</v>
      </c>
      <c r="AH23" s="295">
        <f>AG23/C23</f>
        <v>5.1598173515981741E-2</v>
      </c>
      <c r="AI23" s="295">
        <f>(AG23-AN23)/C23</f>
        <v>5.1141552511415528E-2</v>
      </c>
      <c r="AJ23" s="357">
        <f>AG23-(AK23+AL23+AM23+AN23)</f>
        <v>0</v>
      </c>
      <c r="AK23" s="288">
        <v>10.600000000000001</v>
      </c>
      <c r="AL23" s="288">
        <v>0.6</v>
      </c>
      <c r="AM23" s="290">
        <v>0</v>
      </c>
      <c r="AN23" s="288">
        <v>0.1</v>
      </c>
      <c r="AO23" s="372">
        <v>0.2</v>
      </c>
      <c r="AP23" s="333">
        <v>9.1464999999999996</v>
      </c>
      <c r="AQ23" s="333"/>
      <c r="AR23" s="333"/>
      <c r="AS23" s="333"/>
      <c r="AT23" s="361">
        <f>(O23-AG23)/C23</f>
        <v>5.890410958904109E-2</v>
      </c>
      <c r="AU23" s="305">
        <v>0.38</v>
      </c>
      <c r="AV23" s="359">
        <f>(AK23+AL23)/(G23+L23-T23)</f>
        <v>0.4588717302237631</v>
      </c>
      <c r="AW23" s="353"/>
      <c r="AX23" s="302">
        <f>(AG23-AN23-AM23)/(G23+L23-T23+V23)</f>
        <v>0.44607843137254916</v>
      </c>
      <c r="AY23" s="359">
        <f>(AG23-AN23-AM23+AO23)/(G23+L23-T23+AO23)</f>
        <v>0.46326977180368872</v>
      </c>
      <c r="AZ23" s="353">
        <f>(AG23-AN23-AM23+AO23)/(G23+L23-T23+AO23-AC23)</f>
        <v>0.46326977180368872</v>
      </c>
      <c r="BA23" s="302">
        <f>(AG23-AN23)/Q23</f>
        <v>0.35443037974683544</v>
      </c>
      <c r="BB23" s="302">
        <f>(AG23-AN23)/(Q23+R23)</f>
        <v>0.34250764525993882</v>
      </c>
      <c r="BC23" s="358">
        <f>D23</f>
        <v>24.2</v>
      </c>
      <c r="BD23" s="357">
        <f>BC23-(BE23+BF23+BG23)</f>
        <v>0</v>
      </c>
      <c r="BE23" s="356">
        <f>AG23</f>
        <v>11.3</v>
      </c>
      <c r="BF23" s="314">
        <v>6.3</v>
      </c>
      <c r="BG23" s="314">
        <v>6.6</v>
      </c>
      <c r="BH23" s="302">
        <f>BG23/D23</f>
        <v>0.27272727272727271</v>
      </c>
      <c r="BI23" s="288">
        <v>6.3</v>
      </c>
      <c r="BJ23" s="288">
        <f>BG23-BI23</f>
        <v>0.29999999999999982</v>
      </c>
      <c r="BK23" s="302">
        <f>BJ23/D23</f>
        <v>1.2396694214876026E-2</v>
      </c>
      <c r="BL23" s="302"/>
      <c r="BM23" s="302"/>
      <c r="BN23" s="302"/>
      <c r="BO23" s="302">
        <f>BJ23/I23</f>
        <v>0.29999999999999982</v>
      </c>
      <c r="BP23" s="330"/>
      <c r="BQ23" s="485"/>
      <c r="BR23" s="333"/>
      <c r="BX23" s="273"/>
      <c r="CT23" s="277"/>
      <c r="CU23" s="275"/>
      <c r="CV23" s="318"/>
      <c r="CW23" s="273"/>
      <c r="DD23" s="273"/>
      <c r="DE23" s="273"/>
      <c r="DJ23" s="281"/>
      <c r="DU23" s="281"/>
      <c r="EF23" s="273"/>
      <c r="EP23" s="277"/>
      <c r="FA23" s="277"/>
    </row>
    <row r="24" spans="2:177">
      <c r="B24" s="288">
        <v>1948</v>
      </c>
      <c r="C24" s="344">
        <v>245.1</v>
      </c>
      <c r="D24" s="352">
        <v>31.4</v>
      </c>
      <c r="E24" s="361">
        <f>D24/C24</f>
        <v>0.1281109751121991</v>
      </c>
      <c r="F24" s="333">
        <f>D24-(G24+I24)</f>
        <v>0</v>
      </c>
      <c r="G24" s="342">
        <f>D24-I24</f>
        <v>30.099999999999998</v>
      </c>
      <c r="H24" s="302">
        <f>G24/C24</f>
        <v>0.12280701754385964</v>
      </c>
      <c r="I24" s="292">
        <v>1.3</v>
      </c>
      <c r="J24" s="343">
        <f>I24/C24</f>
        <v>5.3039575683394534E-3</v>
      </c>
      <c r="K24" s="361">
        <f>I24/D24</f>
        <v>4.1401273885350323E-2</v>
      </c>
      <c r="L24" s="371">
        <v>1.7000000000000002</v>
      </c>
      <c r="M24" s="343">
        <f>L24/C24</f>
        <v>6.935944512443901E-3</v>
      </c>
      <c r="N24" s="370">
        <f>L24/D24</f>
        <v>5.4140127388535041E-2</v>
      </c>
      <c r="O24" s="352">
        <f>D24</f>
        <v>31.4</v>
      </c>
      <c r="P24" s="366">
        <f>O24-(Q24+R24+T24+U24+X24-V24)</f>
        <v>0</v>
      </c>
      <c r="Q24" s="278">
        <v>34.6</v>
      </c>
      <c r="R24" s="376">
        <v>1.2</v>
      </c>
      <c r="S24" s="374">
        <f>R24/D24</f>
        <v>3.8216560509554139E-2</v>
      </c>
      <c r="T24" s="292">
        <v>0.2</v>
      </c>
      <c r="U24" s="292">
        <v>-5.2</v>
      </c>
      <c r="V24" s="372">
        <v>0.7</v>
      </c>
      <c r="W24" s="374">
        <f>V24/D24</f>
        <v>2.2292993630573247E-2</v>
      </c>
      <c r="X24" s="366">
        <f>O24-(Q24+R24+T24+U24-V24)</f>
        <v>1.2999999999999901</v>
      </c>
      <c r="Y24" s="367"/>
      <c r="Z24" s="366"/>
      <c r="AA24" s="366"/>
      <c r="AB24" s="366"/>
      <c r="AC24" s="366">
        <v>0</v>
      </c>
      <c r="AD24" s="302">
        <f>AC24/D24</f>
        <v>0</v>
      </c>
      <c r="AE24" s="278"/>
      <c r="AF24" s="278"/>
      <c r="AG24" s="326">
        <v>12.4</v>
      </c>
      <c r="AH24" s="295">
        <f>AG24/C24</f>
        <v>5.0591595267237867E-2</v>
      </c>
      <c r="AI24" s="295">
        <f>(AG24-AN24)/C24</f>
        <v>4.9775601795185642E-2</v>
      </c>
      <c r="AJ24" s="357">
        <f>AG24-(AK24+AL24+AM24+AN24)</f>
        <v>0</v>
      </c>
      <c r="AK24" s="288">
        <v>11.5</v>
      </c>
      <c r="AL24" s="288">
        <v>0.7</v>
      </c>
      <c r="AM24" s="290">
        <v>0</v>
      </c>
      <c r="AN24" s="288">
        <v>0.2</v>
      </c>
      <c r="AO24" s="372">
        <v>0.3</v>
      </c>
      <c r="AP24" s="333">
        <v>10.435</v>
      </c>
      <c r="AQ24" s="333"/>
      <c r="AR24" s="333"/>
      <c r="AS24" s="333"/>
      <c r="AT24" s="361">
        <f>(O24-AG24)/C24</f>
        <v>7.7519379844961239E-2</v>
      </c>
      <c r="AU24" s="305">
        <v>0.38</v>
      </c>
      <c r="AV24" s="359">
        <f>(AK24+AL24)/(G24+L24-T24)</f>
        <v>0.38607594936708861</v>
      </c>
      <c r="AW24" s="353"/>
      <c r="AX24" s="302">
        <f>(AG24-AN24-AM24)/(G24+L24-T24+V24)</f>
        <v>0.37770897832817346</v>
      </c>
      <c r="AY24" s="359">
        <f>(AG24-AN24-AM24+AO24)/(G24+L24-T24+AO24)</f>
        <v>0.39184952978056431</v>
      </c>
      <c r="AZ24" s="353">
        <f>(AG24-AN24-AM24+AO24)/(G24+L24-T24+AO24-AC24)</f>
        <v>0.39184952978056431</v>
      </c>
      <c r="BA24" s="302">
        <f>(AG24-AN24)/Q24</f>
        <v>0.35260115606936415</v>
      </c>
      <c r="BB24" s="302">
        <f>(AG24-AN24)/(Q24+R24)</f>
        <v>0.34078212290502791</v>
      </c>
      <c r="BC24" s="358">
        <f>D24</f>
        <v>31.4</v>
      </c>
      <c r="BD24" s="357">
        <f>BC24-(BE24+BF24+BG24)</f>
        <v>0.10000000000000142</v>
      </c>
      <c r="BE24" s="356">
        <f>AG24</f>
        <v>12.4</v>
      </c>
      <c r="BF24" s="314">
        <v>7</v>
      </c>
      <c r="BG24" s="314">
        <v>11.9</v>
      </c>
      <c r="BH24" s="302">
        <f>BG24/D24</f>
        <v>0.37898089171974525</v>
      </c>
      <c r="BI24" s="288">
        <v>11.5</v>
      </c>
      <c r="BJ24" s="288">
        <f>BG24-BI24</f>
        <v>0.40000000000000036</v>
      </c>
      <c r="BK24" s="302">
        <f>BJ24/D24</f>
        <v>1.2738853503184724E-2</v>
      </c>
      <c r="BL24" s="302"/>
      <c r="BM24" s="302"/>
      <c r="BN24" s="302"/>
      <c r="BO24" s="302">
        <f>BJ24/I24</f>
        <v>0.30769230769230793</v>
      </c>
      <c r="BP24" s="330"/>
      <c r="BQ24" s="355">
        <f>L24</f>
        <v>1.7000000000000002</v>
      </c>
      <c r="BR24" s="442"/>
      <c r="BX24" s="273"/>
      <c r="CT24" s="277"/>
      <c r="CU24" s="275"/>
      <c r="CV24" s="318"/>
      <c r="CW24" s="273"/>
      <c r="DD24" s="273"/>
      <c r="DE24" s="273"/>
      <c r="DJ24" s="281"/>
      <c r="DU24" s="281"/>
      <c r="EF24" s="273"/>
      <c r="EP24" s="277"/>
      <c r="FA24" s="277"/>
    </row>
    <row r="25" spans="2:177" s="377" customFormat="1">
      <c r="B25" s="392">
        <v>1949</v>
      </c>
      <c r="C25" s="405">
        <v>240</v>
      </c>
      <c r="D25" s="382">
        <v>29.1</v>
      </c>
      <c r="E25" s="378">
        <f>D25/C25</f>
        <v>0.12125000000000001</v>
      </c>
      <c r="F25" s="389">
        <f>D25-(G25+I25)</f>
        <v>0</v>
      </c>
      <c r="G25" s="389">
        <f>D25-I25</f>
        <v>28</v>
      </c>
      <c r="H25" s="378">
        <f>G25/C25</f>
        <v>0.11666666666666667</v>
      </c>
      <c r="I25" s="392">
        <v>1.1000000000000001</v>
      </c>
      <c r="J25" s="400">
        <f>I25/C25</f>
        <v>4.5833333333333334E-3</v>
      </c>
      <c r="K25" s="378">
        <f>I25/D25</f>
        <v>3.7800687285223372E-2</v>
      </c>
      <c r="L25" s="383">
        <v>1.5</v>
      </c>
      <c r="M25" s="400">
        <f>L25/C25</f>
        <v>6.2500000000000003E-3</v>
      </c>
      <c r="N25" s="404">
        <f>L25/D25</f>
        <v>5.1546391752577317E-2</v>
      </c>
      <c r="O25" s="382">
        <f>D25</f>
        <v>29.1</v>
      </c>
      <c r="P25" s="381">
        <f>O25-(Q25+R25+T25+U25+X25-V25)</f>
        <v>0</v>
      </c>
      <c r="Q25" s="381">
        <v>28.4</v>
      </c>
      <c r="R25" s="403">
        <v>1.3</v>
      </c>
      <c r="S25" s="396">
        <f>R25/D25</f>
        <v>4.4673539518900345E-2</v>
      </c>
      <c r="T25" s="392">
        <v>0.2</v>
      </c>
      <c r="U25" s="392">
        <v>-0.89999999999999991</v>
      </c>
      <c r="V25" s="399">
        <v>0.6</v>
      </c>
      <c r="W25" s="396">
        <f>V25/D25</f>
        <v>2.0618556701030927E-2</v>
      </c>
      <c r="X25" s="381">
        <f>O25-(Q25+R25+T25+U25-V25)</f>
        <v>0.70000000000000284</v>
      </c>
      <c r="Y25" s="402"/>
      <c r="Z25" s="381"/>
      <c r="AA25" s="381"/>
      <c r="AB25" s="381"/>
      <c r="AC25" s="381">
        <v>0</v>
      </c>
      <c r="AD25" s="378">
        <f>AC25/D25</f>
        <v>0</v>
      </c>
      <c r="AE25" s="381"/>
      <c r="AF25" s="381"/>
      <c r="AG25" s="401">
        <v>10.199999999999999</v>
      </c>
      <c r="AH25" s="400">
        <f>AG25/C25</f>
        <v>4.2499999999999996E-2</v>
      </c>
      <c r="AI25" s="400">
        <f>(AG25-AN25)/C25</f>
        <v>4.1666666666666664E-2</v>
      </c>
      <c r="AJ25" s="394">
        <f>AG25-(AK25+AL25+AM25+AN25)</f>
        <v>0</v>
      </c>
      <c r="AK25" s="392">
        <v>9.4</v>
      </c>
      <c r="AL25" s="392">
        <v>0.6</v>
      </c>
      <c r="AM25" s="399">
        <v>0</v>
      </c>
      <c r="AN25" s="392">
        <v>0.2</v>
      </c>
      <c r="AO25" s="399">
        <v>0.3</v>
      </c>
      <c r="AP25" s="389">
        <v>10.820499999999999</v>
      </c>
      <c r="AQ25" s="389"/>
      <c r="AR25" s="389"/>
      <c r="AS25" s="389"/>
      <c r="AT25" s="378">
        <f>(O25-AG25)/C25</f>
        <v>7.8750000000000014E-2</v>
      </c>
      <c r="AU25" s="449">
        <v>0.38</v>
      </c>
      <c r="AV25" s="397">
        <f>(AK25+AL25)/(G25+L25-T25)</f>
        <v>0.34129692832764502</v>
      </c>
      <c r="AW25" s="396"/>
      <c r="AX25" s="378">
        <f>(AG25-AN25-AM25)/(G25+L25-T25+V25)</f>
        <v>0.33444816053511706</v>
      </c>
      <c r="AY25" s="397">
        <f>(AG25-AN25-AM25+AO25)/(G25+L25-T25+AO25)</f>
        <v>0.34797297297297297</v>
      </c>
      <c r="AZ25" s="396">
        <f>(AG25-AN25-AM25+AO25)/(G25+L25-T25+AO25-AC25)</f>
        <v>0.34797297297297297</v>
      </c>
      <c r="BA25" s="378">
        <f>(AG25-AN25)/Q25</f>
        <v>0.35211267605633806</v>
      </c>
      <c r="BB25" s="378">
        <f>(AG25-AN25)/(Q25+R25)</f>
        <v>0.33670033670033672</v>
      </c>
      <c r="BC25" s="395">
        <f>D25</f>
        <v>29.1</v>
      </c>
      <c r="BD25" s="394">
        <f>BC25-(BE25+BF25+BG25)</f>
        <v>0.10000000000000142</v>
      </c>
      <c r="BE25" s="393">
        <f>AG25</f>
        <v>10.199999999999999</v>
      </c>
      <c r="BF25" s="383">
        <v>7.2</v>
      </c>
      <c r="BG25" s="383">
        <v>11.6</v>
      </c>
      <c r="BH25" s="378">
        <f>BG25/D25</f>
        <v>0.39862542955326458</v>
      </c>
      <c r="BI25" s="392">
        <v>11.3</v>
      </c>
      <c r="BJ25" s="392">
        <f>BG25-BI25</f>
        <v>0.29999999999999893</v>
      </c>
      <c r="BK25" s="378">
        <f>BJ25/D25</f>
        <v>1.0309278350515427E-2</v>
      </c>
      <c r="BL25" s="378"/>
      <c r="BM25" s="378"/>
      <c r="BN25" s="378"/>
      <c r="BO25" s="378">
        <f>BJ25/I25</f>
        <v>0.27272727272727176</v>
      </c>
      <c r="BP25" s="484"/>
      <c r="BQ25" s="390">
        <f>L25</f>
        <v>1.5</v>
      </c>
      <c r="BR25" s="444"/>
      <c r="BX25" s="447"/>
      <c r="CT25" s="483"/>
      <c r="CV25" s="447"/>
      <c r="CW25" s="447"/>
      <c r="DD25" s="447"/>
      <c r="DE25" s="447"/>
      <c r="DJ25" s="448"/>
      <c r="DU25" s="448"/>
      <c r="EF25" s="447"/>
      <c r="EP25" s="483"/>
      <c r="FA25" s="483"/>
      <c r="FL25" s="447"/>
    </row>
    <row r="26" spans="2:177">
      <c r="B26" s="288">
        <v>1950</v>
      </c>
      <c r="C26" s="344">
        <v>267</v>
      </c>
      <c r="D26" s="352">
        <v>36.1</v>
      </c>
      <c r="E26" s="361">
        <f>D26/C26</f>
        <v>0.1352059925093633</v>
      </c>
      <c r="F26" s="333">
        <f>D26-(G26+I26)</f>
        <v>0</v>
      </c>
      <c r="G26" s="342">
        <f>D26-I26</f>
        <v>34.800000000000004</v>
      </c>
      <c r="H26" s="302">
        <f>G26/C26</f>
        <v>0.13033707865168542</v>
      </c>
      <c r="I26" s="292">
        <v>1.3</v>
      </c>
      <c r="J26" s="343">
        <f>I26/C26</f>
        <v>4.8689138576779025E-3</v>
      </c>
      <c r="K26" s="361">
        <f>I26/D26</f>
        <v>3.6011080332409975E-2</v>
      </c>
      <c r="L26" s="371">
        <v>1.8</v>
      </c>
      <c r="M26" s="343">
        <f>L26/C26</f>
        <v>6.7415730337078653E-3</v>
      </c>
      <c r="N26" s="370">
        <f>L26/D26</f>
        <v>4.9861495844875349E-2</v>
      </c>
      <c r="O26" s="352">
        <f>D26</f>
        <v>36.1</v>
      </c>
      <c r="P26" s="366">
        <f>O26-(Q26+R26+T26+U26+X26-V26)</f>
        <v>0</v>
      </c>
      <c r="Q26" s="278">
        <v>42.8</v>
      </c>
      <c r="R26" s="376">
        <v>1.2</v>
      </c>
      <c r="S26" s="374">
        <f>R26/D26</f>
        <v>3.3240997229916892E-2</v>
      </c>
      <c r="T26" s="292">
        <v>0.2</v>
      </c>
      <c r="U26" s="292">
        <v>-7.8</v>
      </c>
      <c r="V26" s="372">
        <v>1</v>
      </c>
      <c r="W26" s="374">
        <f>V26/D26</f>
        <v>2.7700831024930747E-2</v>
      </c>
      <c r="X26" s="366">
        <f>O26-(Q26+R26+T26+U26-V26)</f>
        <v>0.69999999999999574</v>
      </c>
      <c r="Y26" s="367"/>
      <c r="Z26" s="366"/>
      <c r="AA26" s="366"/>
      <c r="AB26" s="366"/>
      <c r="AC26" s="366">
        <v>0</v>
      </c>
      <c r="AD26" s="302">
        <f>AC26/D26</f>
        <v>0</v>
      </c>
      <c r="AE26" s="278"/>
      <c r="AF26" s="278"/>
      <c r="AG26" s="326">
        <v>17.899999999999999</v>
      </c>
      <c r="AH26" s="295">
        <f>AG26/C26</f>
        <v>6.7041198501872651E-2</v>
      </c>
      <c r="AI26" s="295">
        <f>(AG26-AN26)/C26</f>
        <v>6.6292134831460667E-2</v>
      </c>
      <c r="AJ26" s="357">
        <f>AG26-(AK26+AL26+AM26+AN26)</f>
        <v>0</v>
      </c>
      <c r="AK26" s="288">
        <v>16.900000000000002</v>
      </c>
      <c r="AL26" s="288">
        <v>0.8</v>
      </c>
      <c r="AM26" s="290">
        <v>0</v>
      </c>
      <c r="AN26" s="288">
        <v>0.2</v>
      </c>
      <c r="AO26" s="372">
        <v>0.5</v>
      </c>
      <c r="AP26" s="333">
        <v>12.275</v>
      </c>
      <c r="AQ26" s="333"/>
      <c r="AR26" s="333"/>
      <c r="AS26" s="333"/>
      <c r="AT26" s="361">
        <f>(O26-AG26)/C26</f>
        <v>6.8164794007490648E-2</v>
      </c>
      <c r="AU26" s="305">
        <v>0.42</v>
      </c>
      <c r="AV26" s="359">
        <f>(AK26+AL26)/(G26+L26-T26)</f>
        <v>0.48626373626373637</v>
      </c>
      <c r="AW26" s="353"/>
      <c r="AX26" s="302">
        <f>(AG26-AN26-AM26)/(G26+L26-T26+V26)</f>
        <v>0.4732620320855615</v>
      </c>
      <c r="AY26" s="359">
        <f>(AG26-AN26-AM26+AO26)/(G26+L26-T26+AO26)</f>
        <v>0.49322493224932251</v>
      </c>
      <c r="AZ26" s="353">
        <f>(AG26-AN26-AM26+AO26)/(G26+L26-T26+AO26-AC26)</f>
        <v>0.49322493224932251</v>
      </c>
      <c r="BA26" s="302">
        <f>(AG26-AN26)/Q26</f>
        <v>0.4135514018691589</v>
      </c>
      <c r="BB26" s="302">
        <f>(AG26-AN26)/(Q26+R26)</f>
        <v>0.40227272727272728</v>
      </c>
      <c r="BC26" s="358">
        <f>D26</f>
        <v>36.1</v>
      </c>
      <c r="BD26" s="357">
        <f>BC26-(BE26+BF26+BG26)</f>
        <v>0.10000000000000142</v>
      </c>
      <c r="BE26" s="356">
        <f>AG26</f>
        <v>17.899999999999999</v>
      </c>
      <c r="BF26" s="314">
        <v>8.8000000000000007</v>
      </c>
      <c r="BG26" s="314">
        <v>9.3000000000000007</v>
      </c>
      <c r="BH26" s="302">
        <f>BG26/D26</f>
        <v>0.25761772853185594</v>
      </c>
      <c r="BI26" s="288">
        <v>9</v>
      </c>
      <c r="BJ26" s="288">
        <f>BG26-BI26</f>
        <v>0.30000000000000071</v>
      </c>
      <c r="BK26" s="302">
        <f>BJ26/D26</f>
        <v>8.3102493074792439E-3</v>
      </c>
      <c r="BL26" s="302"/>
      <c r="BM26" s="302"/>
      <c r="BN26" s="302"/>
      <c r="BO26" s="302">
        <f>BJ26/I26</f>
        <v>0.23076923076923131</v>
      </c>
      <c r="BP26" s="330"/>
      <c r="BQ26" s="355">
        <f>L26</f>
        <v>1.8</v>
      </c>
      <c r="BR26" s="442"/>
      <c r="BX26" s="273"/>
      <c r="CT26" s="277"/>
      <c r="CU26" s="275"/>
      <c r="CV26" s="318"/>
      <c r="CW26" s="273"/>
      <c r="DD26" s="273"/>
      <c r="DE26" s="273"/>
      <c r="DJ26" s="281"/>
      <c r="DU26" s="281"/>
      <c r="EF26" s="273"/>
      <c r="EP26" s="277"/>
      <c r="FA26" s="277"/>
    </row>
    <row r="27" spans="2:177">
      <c r="B27" s="288">
        <v>1951</v>
      </c>
      <c r="C27" s="344">
        <v>308</v>
      </c>
      <c r="D27" s="352">
        <v>41.2</v>
      </c>
      <c r="E27" s="361">
        <f>D27/C27</f>
        <v>0.13376623376623378</v>
      </c>
      <c r="F27" s="333">
        <f>D27-(G27+I27)</f>
        <v>0</v>
      </c>
      <c r="G27" s="342">
        <f>D27-I27</f>
        <v>39.5</v>
      </c>
      <c r="H27" s="302">
        <f>G27/C27</f>
        <v>0.12824675324675325</v>
      </c>
      <c r="I27" s="292">
        <v>1.7</v>
      </c>
      <c r="J27" s="343">
        <f>I27/C27</f>
        <v>5.5194805194805196E-3</v>
      </c>
      <c r="K27" s="361">
        <f>I27/D27</f>
        <v>4.1262135922330093E-2</v>
      </c>
      <c r="L27" s="371">
        <v>2.2999999999999998</v>
      </c>
      <c r="M27" s="343">
        <f>L27/C27</f>
        <v>7.4675324675324666E-3</v>
      </c>
      <c r="N27" s="370">
        <f>L27/D27</f>
        <v>5.5825242718446591E-2</v>
      </c>
      <c r="O27" s="352">
        <f>D27</f>
        <v>41.2</v>
      </c>
      <c r="P27" s="366">
        <f>O27-(Q27+R27+T27+U27+X27-V27)</f>
        <v>0</v>
      </c>
      <c r="Q27" s="278">
        <v>43.8</v>
      </c>
      <c r="R27" s="376">
        <v>1.3</v>
      </c>
      <c r="S27" s="374">
        <f>R27/D27</f>
        <v>3.1553398058252427E-2</v>
      </c>
      <c r="T27" s="292">
        <v>0.3</v>
      </c>
      <c r="U27" s="292">
        <v>-4.2</v>
      </c>
      <c r="V27" s="372">
        <v>1.1000000000000001</v>
      </c>
      <c r="W27" s="374">
        <f>V27/D27</f>
        <v>2.6699029126213594E-2</v>
      </c>
      <c r="X27" s="366">
        <f>O27-(Q27+R27+T27+U27-V27)</f>
        <v>1.1000000000000156</v>
      </c>
      <c r="Y27" s="367"/>
      <c r="Z27" s="366"/>
      <c r="AA27" s="366"/>
      <c r="AB27" s="366"/>
      <c r="AC27" s="366">
        <v>0</v>
      </c>
      <c r="AD27" s="302">
        <f>AC27/D27</f>
        <v>0</v>
      </c>
      <c r="AE27" s="278"/>
      <c r="AF27" s="278"/>
      <c r="AG27" s="326">
        <v>22.6</v>
      </c>
      <c r="AH27" s="295">
        <f>AG27/C27</f>
        <v>7.3376623376623387E-2</v>
      </c>
      <c r="AI27" s="295">
        <f>(AG27-AN27)/C27</f>
        <v>7.2402597402597399E-2</v>
      </c>
      <c r="AJ27" s="357">
        <f>AG27-(AK27+AL27+AM27+AN27)</f>
        <v>-9.9999999999997868E-2</v>
      </c>
      <c r="AK27" s="288">
        <v>21.5</v>
      </c>
      <c r="AL27" s="288">
        <v>0.9</v>
      </c>
      <c r="AM27" s="290">
        <v>0</v>
      </c>
      <c r="AN27" s="288">
        <v>0.3</v>
      </c>
      <c r="AO27" s="372">
        <v>0.6</v>
      </c>
      <c r="AP27" s="333">
        <v>17.663499999999999</v>
      </c>
      <c r="AQ27" s="333"/>
      <c r="AR27" s="333"/>
      <c r="AS27" s="333"/>
      <c r="AT27" s="361">
        <f>(O27-AG27)/C27</f>
        <v>6.0389610389610396E-2</v>
      </c>
      <c r="AU27" s="305">
        <v>0.51</v>
      </c>
      <c r="AV27" s="359">
        <f>(AK27+AL27)/(G27+L27-T27)</f>
        <v>0.53975903614457832</v>
      </c>
      <c r="AW27" s="353"/>
      <c r="AX27" s="302">
        <f>(AG27-AN27-AM27)/(G27+L27-T27+V27)</f>
        <v>0.52347417840375587</v>
      </c>
      <c r="AY27" s="359">
        <f>(AG27-AN27-AM27+AO27)/(G27+L27-T27+AO27)</f>
        <v>0.5439429928741093</v>
      </c>
      <c r="AZ27" s="353">
        <f>(AG27-AN27-AM27+AO27)/(G27+L27-T27+AO27-AC27)</f>
        <v>0.5439429928741093</v>
      </c>
      <c r="BA27" s="302">
        <f>(AG27-AN27)/Q27</f>
        <v>0.5091324200913242</v>
      </c>
      <c r="BB27" s="302">
        <f>(AG27-AN27)/(Q27+R27)</f>
        <v>0.49445676274944578</v>
      </c>
      <c r="BC27" s="358">
        <f>D27</f>
        <v>41.2</v>
      </c>
      <c r="BD27" s="357">
        <f>BC27-(BE27+BF27+BG27)</f>
        <v>-0.10000000000000142</v>
      </c>
      <c r="BE27" s="356">
        <f>AG27</f>
        <v>22.6</v>
      </c>
      <c r="BF27" s="314">
        <v>8.6</v>
      </c>
      <c r="BG27" s="314">
        <v>10.1</v>
      </c>
      <c r="BH27" s="302">
        <f>BG27/D27</f>
        <v>0.24514563106796114</v>
      </c>
      <c r="BI27" s="288">
        <v>9.5</v>
      </c>
      <c r="BJ27" s="288">
        <f>BG27-BI27</f>
        <v>0.59999999999999964</v>
      </c>
      <c r="BK27" s="302">
        <f>BJ27/D27</f>
        <v>1.4563106796116495E-2</v>
      </c>
      <c r="BL27" s="302"/>
      <c r="BM27" s="302"/>
      <c r="BN27" s="302"/>
      <c r="BO27" s="302">
        <f>BJ27/I27</f>
        <v>0.35294117647058804</v>
      </c>
      <c r="BP27" s="330"/>
      <c r="BQ27" s="355">
        <f>L27</f>
        <v>2.2999999999999998</v>
      </c>
      <c r="BR27" s="442"/>
      <c r="BX27" s="273"/>
      <c r="CT27" s="277"/>
      <c r="CU27" s="275"/>
      <c r="CV27" s="318"/>
      <c r="CW27" s="273"/>
      <c r="DD27" s="273"/>
      <c r="DE27" s="273"/>
      <c r="DJ27" s="281"/>
      <c r="DU27" s="281"/>
      <c r="EF27" s="273"/>
      <c r="EP27" s="277"/>
      <c r="FA27" s="277"/>
    </row>
    <row r="28" spans="2:177">
      <c r="B28" s="288">
        <v>1952</v>
      </c>
      <c r="C28" s="344">
        <v>326.5</v>
      </c>
      <c r="D28" s="352">
        <v>39.700000000000003</v>
      </c>
      <c r="E28" s="361">
        <f>D28/C28</f>
        <v>0.12159264931087291</v>
      </c>
      <c r="F28" s="333">
        <f>D28-(G28+I28)</f>
        <v>0</v>
      </c>
      <c r="G28" s="342">
        <f>D28-I28</f>
        <v>37.800000000000004</v>
      </c>
      <c r="H28" s="302">
        <f>G28/C28</f>
        <v>0.11577335375191425</v>
      </c>
      <c r="I28" s="292">
        <v>1.9</v>
      </c>
      <c r="J28" s="343">
        <f>I28/C28</f>
        <v>5.8192955589586523E-3</v>
      </c>
      <c r="K28" s="361">
        <f>I28/D28</f>
        <v>4.7858942065491177E-2</v>
      </c>
      <c r="L28" s="371">
        <v>2.2999999999999998</v>
      </c>
      <c r="M28" s="343">
        <f>L28/C28</f>
        <v>7.0444104134762629E-3</v>
      </c>
      <c r="N28" s="370">
        <f>L28/D28</f>
        <v>5.7934508816120896E-2</v>
      </c>
      <c r="O28" s="352">
        <f>D28</f>
        <v>39.700000000000003</v>
      </c>
      <c r="P28" s="366">
        <f>O28-(Q28+R28+T28+U28+X28-V28)</f>
        <v>0</v>
      </c>
      <c r="Q28" s="278">
        <v>38.700000000000003</v>
      </c>
      <c r="R28" s="376">
        <v>1.4</v>
      </c>
      <c r="S28" s="374">
        <f>R28/D28</f>
        <v>3.5264483627204024E-2</v>
      </c>
      <c r="T28" s="292">
        <v>0.3</v>
      </c>
      <c r="U28" s="292">
        <v>-1.6</v>
      </c>
      <c r="V28" s="372">
        <v>1.1000000000000001</v>
      </c>
      <c r="W28" s="374">
        <f>V28/D28</f>
        <v>2.7707808564231738E-2</v>
      </c>
      <c r="X28" s="366">
        <f>O28-(Q28+R28+T28+U28-V28)</f>
        <v>2.0000000000000071</v>
      </c>
      <c r="Y28" s="367"/>
      <c r="Z28" s="366"/>
      <c r="AA28" s="366"/>
      <c r="AB28" s="366"/>
      <c r="AC28" s="366">
        <v>0</v>
      </c>
      <c r="AD28" s="302">
        <f>AC28/D28</f>
        <v>0</v>
      </c>
      <c r="AE28" s="278"/>
      <c r="AF28" s="278"/>
      <c r="AG28" s="326">
        <v>19.399999999999999</v>
      </c>
      <c r="AH28" s="295">
        <f>AG28/C28</f>
        <v>5.9418070444104132E-2</v>
      </c>
      <c r="AI28" s="295">
        <f>(AG28-AN28)/C28</f>
        <v>5.8499234303215922E-2</v>
      </c>
      <c r="AJ28" s="357">
        <f>AG28-(AK28+AL28+AM28+AN28)</f>
        <v>9.9999999999997868E-2</v>
      </c>
      <c r="AK28" s="288">
        <v>18.2</v>
      </c>
      <c r="AL28" s="288">
        <v>0.8</v>
      </c>
      <c r="AM28" s="290">
        <v>0</v>
      </c>
      <c r="AN28" s="288">
        <v>0.3</v>
      </c>
      <c r="AO28" s="372">
        <v>0.6</v>
      </c>
      <c r="AP28" s="333">
        <v>21.231999999999999</v>
      </c>
      <c r="AQ28" s="333"/>
      <c r="AR28" s="333"/>
      <c r="AS28" s="333"/>
      <c r="AT28" s="361">
        <f>(O28-AG28)/C28</f>
        <v>6.2174578866768776E-2</v>
      </c>
      <c r="AU28" s="305">
        <v>0.52</v>
      </c>
      <c r="AV28" s="359">
        <f>(AK28+AL28)/(G28+L28-T28)</f>
        <v>0.47738693467336679</v>
      </c>
      <c r="AW28" s="353"/>
      <c r="AX28" s="302">
        <f>(AG28-AN28-AM28)/(G28+L28-T28+V28)</f>
        <v>0.46699266503667469</v>
      </c>
      <c r="AY28" s="359">
        <f>(AG28-AN28-AM28+AO28)/(G28+L28-T28+AO28)</f>
        <v>0.48762376237623756</v>
      </c>
      <c r="AZ28" s="353">
        <f>(AG28-AN28-AM28+AO28)/(G28+L28-T28+AO28-AC28)</f>
        <v>0.48762376237623756</v>
      </c>
      <c r="BA28" s="302">
        <f>(AG28-AN28)/Q28</f>
        <v>0.49354005167958648</v>
      </c>
      <c r="BB28" s="302">
        <f>(AG28-AN28)/(Q28+R28)</f>
        <v>0.47630922693266825</v>
      </c>
      <c r="BC28" s="358">
        <f>D28</f>
        <v>39.700000000000003</v>
      </c>
      <c r="BD28" s="357">
        <f>BC28-(BE28+BF28+BG28)</f>
        <v>0</v>
      </c>
      <c r="BE28" s="356">
        <f>AG28</f>
        <v>19.399999999999999</v>
      </c>
      <c r="BF28" s="314">
        <v>8.6</v>
      </c>
      <c r="BG28" s="314">
        <v>11.7</v>
      </c>
      <c r="BH28" s="302">
        <f>BG28/D28</f>
        <v>0.29471032745591935</v>
      </c>
      <c r="BI28" s="288">
        <v>10.9</v>
      </c>
      <c r="BJ28" s="288">
        <f>BG28-BI28</f>
        <v>0.79999999999999893</v>
      </c>
      <c r="BK28" s="302">
        <f>BJ28/D28</f>
        <v>2.0151133501259418E-2</v>
      </c>
      <c r="BL28" s="302"/>
      <c r="BM28" s="302"/>
      <c r="BN28" s="302"/>
      <c r="BO28" s="302">
        <f>BJ28/I28</f>
        <v>0.42105263157894685</v>
      </c>
      <c r="BP28" s="330"/>
      <c r="BQ28" s="355">
        <f>L28</f>
        <v>2.2999999999999998</v>
      </c>
      <c r="BR28" s="442"/>
      <c r="BX28" s="273"/>
      <c r="CT28" s="277"/>
      <c r="CU28" s="275"/>
      <c r="CV28" s="318"/>
      <c r="CW28" s="273"/>
      <c r="DD28" s="273"/>
      <c r="DE28" s="273"/>
      <c r="DJ28" s="281"/>
      <c r="DU28" s="281"/>
      <c r="EF28" s="273"/>
      <c r="EP28" s="277"/>
      <c r="FA28" s="277"/>
    </row>
    <row r="29" spans="2:177">
      <c r="B29" s="288">
        <v>1953</v>
      </c>
      <c r="C29" s="344">
        <v>344.4</v>
      </c>
      <c r="D29" s="352">
        <v>40.299999999999997</v>
      </c>
      <c r="E29" s="361">
        <f>D29/C29</f>
        <v>0.11701509872241579</v>
      </c>
      <c r="F29" s="333">
        <f>D29-(G29+I29)</f>
        <v>0</v>
      </c>
      <c r="G29" s="342">
        <f>D29-I29</f>
        <v>38.5</v>
      </c>
      <c r="H29" s="302">
        <f>G29/C29</f>
        <v>0.11178861788617887</v>
      </c>
      <c r="I29" s="292">
        <v>1.8</v>
      </c>
      <c r="J29" s="343">
        <f>I29/C29</f>
        <v>5.2264808362369342E-3</v>
      </c>
      <c r="K29" s="361">
        <f>I29/D29</f>
        <v>4.4665012406947896E-2</v>
      </c>
      <c r="L29" s="371">
        <v>2.2999999999999998</v>
      </c>
      <c r="M29" s="343">
        <f>L29/C29</f>
        <v>6.6782810685249707E-3</v>
      </c>
      <c r="N29" s="370">
        <f>L29/D29</f>
        <v>5.7071960297766747E-2</v>
      </c>
      <c r="O29" s="352">
        <f>D29</f>
        <v>40.299999999999997</v>
      </c>
      <c r="P29" s="366">
        <f>O29-(Q29+R29+T29+U29+X29-V29)</f>
        <v>0</v>
      </c>
      <c r="Q29" s="278">
        <v>39.799999999999997</v>
      </c>
      <c r="R29" s="376">
        <v>1.5</v>
      </c>
      <c r="S29" s="374">
        <f>R29/D29</f>
        <v>3.722084367245658E-2</v>
      </c>
      <c r="T29" s="292">
        <v>0.4</v>
      </c>
      <c r="U29" s="292">
        <v>-2.9</v>
      </c>
      <c r="V29" s="372">
        <v>0.8</v>
      </c>
      <c r="W29" s="374">
        <f>V29/D29</f>
        <v>1.9851116625310177E-2</v>
      </c>
      <c r="X29" s="366">
        <f>O29-(Q29+R29+T29+U29-V29)</f>
        <v>2.2999999999999972</v>
      </c>
      <c r="Y29" s="367"/>
      <c r="Z29" s="366"/>
      <c r="AA29" s="366"/>
      <c r="AB29" s="366"/>
      <c r="AC29" s="366">
        <v>0</v>
      </c>
      <c r="AD29" s="302">
        <f>AC29/D29</f>
        <v>0</v>
      </c>
      <c r="AE29" s="278"/>
      <c r="AF29" s="278"/>
      <c r="AG29" s="326">
        <v>20.3</v>
      </c>
      <c r="AH29" s="295">
        <f>AG29/C29</f>
        <v>5.8943089430894317E-2</v>
      </c>
      <c r="AI29" s="295">
        <f>(AG29-AN29)/C29</f>
        <v>5.8072009291521488E-2</v>
      </c>
      <c r="AJ29" s="357">
        <f>AG29-(AK29+AL29+AM29+AN29)</f>
        <v>0</v>
      </c>
      <c r="AK29" s="288">
        <v>19.199999999999996</v>
      </c>
      <c r="AL29" s="288">
        <v>0.8</v>
      </c>
      <c r="AM29" s="290">
        <v>0</v>
      </c>
      <c r="AN29" s="288">
        <v>0.3</v>
      </c>
      <c r="AO29" s="372">
        <v>0.6</v>
      </c>
      <c r="AP29" s="333">
        <v>21.169499999999999</v>
      </c>
      <c r="AQ29" s="333"/>
      <c r="AR29" s="333"/>
      <c r="AS29" s="333"/>
      <c r="AT29" s="361">
        <f>(O29-AG29)/C29</f>
        <v>5.8072009291521481E-2</v>
      </c>
      <c r="AU29" s="305">
        <v>0.52</v>
      </c>
      <c r="AV29" s="359">
        <f>(AK29+AL29)/(G29+L29-T29)</f>
        <v>0.49504950495049499</v>
      </c>
      <c r="AW29" s="353"/>
      <c r="AX29" s="302">
        <f>(AG29-AN29-AM29)/(G29+L29-T29+V29)</f>
        <v>0.48543689320388356</v>
      </c>
      <c r="AY29" s="359">
        <f>(AG29-AN29-AM29+AO29)/(G29+L29-T29+AO29)</f>
        <v>0.5024390243902439</v>
      </c>
      <c r="AZ29" s="353">
        <f>(AG29-AN29-AM29+AO29)/(G29+L29-T29+AO29-AC29)</f>
        <v>0.5024390243902439</v>
      </c>
      <c r="BA29" s="302">
        <f>(AG29-AN29)/Q29</f>
        <v>0.50251256281407042</v>
      </c>
      <c r="BB29" s="302">
        <f>(AG29-AN29)/(Q29+R29)</f>
        <v>0.48426150121065381</v>
      </c>
      <c r="BC29" s="358">
        <f>D29</f>
        <v>40.299999999999997</v>
      </c>
      <c r="BD29" s="357">
        <f>BC29-(BE29+BF29+BG29)</f>
        <v>0</v>
      </c>
      <c r="BE29" s="356">
        <f>AG29</f>
        <v>20.3</v>
      </c>
      <c r="BF29" s="314">
        <v>8.9</v>
      </c>
      <c r="BG29" s="314">
        <v>11.1</v>
      </c>
      <c r="BH29" s="302">
        <f>BG29/D29</f>
        <v>0.27543424317617865</v>
      </c>
      <c r="BI29" s="288">
        <v>10.5</v>
      </c>
      <c r="BJ29" s="288">
        <f>BG29-BI29</f>
        <v>0.59999999999999964</v>
      </c>
      <c r="BK29" s="302">
        <f>BJ29/D29</f>
        <v>1.4888337468982623E-2</v>
      </c>
      <c r="BL29" s="302"/>
      <c r="BM29" s="302"/>
      <c r="BN29" s="302"/>
      <c r="BO29" s="302">
        <f>BJ29/I29</f>
        <v>0.33333333333333315</v>
      </c>
      <c r="BP29" s="330"/>
      <c r="BQ29" s="355">
        <f>L29</f>
        <v>2.2999999999999998</v>
      </c>
      <c r="BR29" s="442"/>
      <c r="BX29" s="273"/>
      <c r="CT29" s="277"/>
      <c r="CU29" s="275"/>
      <c r="CV29" s="318"/>
      <c r="CW29" s="273"/>
      <c r="DD29" s="273"/>
      <c r="DE29" s="273"/>
      <c r="DJ29" s="281"/>
      <c r="DU29" s="281"/>
      <c r="EF29" s="273"/>
      <c r="EP29" s="277"/>
      <c r="FA29" s="289"/>
      <c r="FB29" s="288"/>
      <c r="FC29" s="288"/>
      <c r="FD29" s="288"/>
      <c r="FE29" s="288"/>
      <c r="FF29" s="288"/>
      <c r="FG29" s="288"/>
      <c r="FH29" s="288"/>
      <c r="FI29" s="288"/>
      <c r="FJ29" s="288"/>
      <c r="FK29" s="288"/>
      <c r="FL29" s="301"/>
      <c r="FM29" s="288"/>
      <c r="FN29" s="288"/>
      <c r="FO29" s="288"/>
      <c r="FP29" s="288"/>
      <c r="FQ29" s="288"/>
      <c r="FR29" s="288"/>
      <c r="FS29" s="288"/>
      <c r="FT29" s="288"/>
      <c r="FU29" s="288"/>
    </row>
    <row r="30" spans="2:177">
      <c r="B30" s="288">
        <v>1954</v>
      </c>
      <c r="C30" s="344">
        <v>344.4</v>
      </c>
      <c r="D30" s="352">
        <v>39.5</v>
      </c>
      <c r="E30" s="361">
        <f>D30/C30</f>
        <v>0.11469221835075494</v>
      </c>
      <c r="F30" s="333">
        <f>D30-(G30+I30)</f>
        <v>0</v>
      </c>
      <c r="G30" s="342">
        <f>D30-I30</f>
        <v>37.5</v>
      </c>
      <c r="H30" s="302">
        <f>G30/C30</f>
        <v>0.10888501742160279</v>
      </c>
      <c r="I30" s="292">
        <v>2</v>
      </c>
      <c r="J30" s="343">
        <f>I30/C30</f>
        <v>5.8072009291521487E-3</v>
      </c>
      <c r="K30" s="361">
        <f>I30/D30</f>
        <v>5.0632911392405063E-2</v>
      </c>
      <c r="L30" s="371">
        <v>2.4</v>
      </c>
      <c r="M30" s="343">
        <f>L30/C30</f>
        <v>6.9686411149825784E-3</v>
      </c>
      <c r="N30" s="370">
        <f>L30/D30</f>
        <v>6.0759493670886074E-2</v>
      </c>
      <c r="O30" s="352">
        <f>D30</f>
        <v>39.5</v>
      </c>
      <c r="P30" s="366">
        <f>O30-(Q30+R30+T30+U30+X30-V30)</f>
        <v>0</v>
      </c>
      <c r="Q30" s="278">
        <v>36.700000000000003</v>
      </c>
      <c r="R30" s="376">
        <v>1.7</v>
      </c>
      <c r="S30" s="374">
        <f>R30/D30</f>
        <v>4.3037974683544304E-2</v>
      </c>
      <c r="T30" s="292">
        <v>0.3</v>
      </c>
      <c r="U30" s="292">
        <v>-1.3</v>
      </c>
      <c r="V30" s="372">
        <v>1.8</v>
      </c>
      <c r="W30" s="374">
        <f>V30/D30</f>
        <v>4.5569620253164557E-2</v>
      </c>
      <c r="X30" s="366">
        <f>O30-(Q30+R30+T30+U30-V30)</f>
        <v>3.8999999999999915</v>
      </c>
      <c r="Y30" s="367"/>
      <c r="Z30" s="366"/>
      <c r="AA30" s="366"/>
      <c r="AB30" s="366"/>
      <c r="AC30" s="366">
        <v>0</v>
      </c>
      <c r="AD30" s="302">
        <f>AC30/D30</f>
        <v>0</v>
      </c>
      <c r="AE30" s="278"/>
      <c r="AF30" s="278"/>
      <c r="AG30" s="326">
        <v>17.600000000000001</v>
      </c>
      <c r="AH30" s="295">
        <f>AG30/C30</f>
        <v>5.1103368176538919E-2</v>
      </c>
      <c r="AI30" s="295">
        <f>(AG30-AN30)/C30</f>
        <v>5.023228803716609E-2</v>
      </c>
      <c r="AJ30" s="357">
        <f>AG30-(AK30+AL30+AM30+AN30)</f>
        <v>-9.9999999999997868E-2</v>
      </c>
      <c r="AK30" s="288">
        <v>16.599999999999998</v>
      </c>
      <c r="AL30" s="288">
        <v>0.8</v>
      </c>
      <c r="AM30" s="290">
        <v>0</v>
      </c>
      <c r="AN30" s="288">
        <v>0.3</v>
      </c>
      <c r="AO30" s="372">
        <v>0.7</v>
      </c>
      <c r="AP30" s="333">
        <v>19.481000000000002</v>
      </c>
      <c r="AQ30" s="333"/>
      <c r="AR30" s="333"/>
      <c r="AS30" s="333"/>
      <c r="AT30" s="361">
        <f>(O30-AG30)/C30</f>
        <v>6.3588850174216033E-2</v>
      </c>
      <c r="AU30" s="305">
        <v>0.52</v>
      </c>
      <c r="AV30" s="359">
        <f>(AK30+AL30)/(G30+L30-T30)</f>
        <v>0.43939393939393934</v>
      </c>
      <c r="AW30" s="353"/>
      <c r="AX30" s="302">
        <f>(AG30-AN30-AM30)/(G30+L30-T30+V30)</f>
        <v>0.41787439613526572</v>
      </c>
      <c r="AY30" s="359">
        <f>(AG30-AN30-AM30+AO30)/(G30+L30-T30+AO30)</f>
        <v>0.44665012406947885</v>
      </c>
      <c r="AZ30" s="353">
        <f>(AG30-AN30-AM30+AO30)/(G30+L30-T30+AO30-AC30)</f>
        <v>0.44665012406947885</v>
      </c>
      <c r="BA30" s="302">
        <f>(AG30-AN30)/Q30</f>
        <v>0.47138964577656672</v>
      </c>
      <c r="BB30" s="302">
        <f>(AG30-AN30)/(Q30+R30)</f>
        <v>0.45052083333333326</v>
      </c>
      <c r="BC30" s="358">
        <f>D30</f>
        <v>39.5</v>
      </c>
      <c r="BD30" s="357">
        <f>BC30-(BE30+BF30+BG30)</f>
        <v>0</v>
      </c>
      <c r="BE30" s="356">
        <f>AG30</f>
        <v>17.600000000000001</v>
      </c>
      <c r="BF30" s="314">
        <v>9.3000000000000007</v>
      </c>
      <c r="BG30" s="314">
        <v>12.6</v>
      </c>
      <c r="BH30" s="302">
        <f>BG30/D30</f>
        <v>0.31898734177215188</v>
      </c>
      <c r="BI30" s="288">
        <v>12</v>
      </c>
      <c r="BJ30" s="288">
        <f>BG30-BI30</f>
        <v>0.59999999999999964</v>
      </c>
      <c r="BK30" s="302">
        <f>BJ30/D30</f>
        <v>1.518987341772151E-2</v>
      </c>
      <c r="BL30" s="302"/>
      <c r="BM30" s="302"/>
      <c r="BN30" s="302"/>
      <c r="BO30" s="302">
        <f>BJ30/I30</f>
        <v>0.29999999999999982</v>
      </c>
      <c r="BP30" s="294"/>
      <c r="BQ30" s="355">
        <f>L30</f>
        <v>2.4</v>
      </c>
      <c r="BR30" s="442"/>
      <c r="BX30" s="273"/>
      <c r="CT30" s="277"/>
      <c r="CU30" s="275"/>
      <c r="CV30" s="318"/>
      <c r="CW30" s="273"/>
      <c r="DD30" s="273"/>
      <c r="DE30" s="273"/>
      <c r="DJ30" s="281"/>
      <c r="DU30" s="281"/>
      <c r="EF30" s="273"/>
      <c r="EP30" s="277"/>
      <c r="FA30" s="289"/>
      <c r="FB30" s="288"/>
      <c r="FC30" s="288"/>
      <c r="FD30" s="288"/>
      <c r="FE30" s="288"/>
      <c r="FF30" s="288"/>
      <c r="FG30" s="288"/>
      <c r="FH30" s="288"/>
      <c r="FI30" s="288"/>
      <c r="FJ30" s="288"/>
      <c r="FK30" s="288"/>
      <c r="FL30" s="301"/>
      <c r="FM30" s="288"/>
      <c r="FN30" s="288"/>
      <c r="FO30" s="288"/>
      <c r="FP30" s="288"/>
      <c r="FQ30" s="288"/>
      <c r="FR30" s="288"/>
      <c r="FS30" s="288"/>
      <c r="FT30" s="288"/>
      <c r="FU30" s="288"/>
    </row>
    <row r="31" spans="2:177">
      <c r="B31" s="288">
        <v>1955</v>
      </c>
      <c r="C31" s="344">
        <v>377.6</v>
      </c>
      <c r="D31" s="352">
        <v>50.2</v>
      </c>
      <c r="E31" s="361">
        <f>D31/C31</f>
        <v>0.13294491525423729</v>
      </c>
      <c r="F31" s="333">
        <f>D31-(G31+I31)</f>
        <v>0</v>
      </c>
      <c r="G31" s="342">
        <f>D31-I31</f>
        <v>47.800000000000004</v>
      </c>
      <c r="H31" s="302">
        <f>G31/C31</f>
        <v>0.12658898305084745</v>
      </c>
      <c r="I31" s="292">
        <v>2.4</v>
      </c>
      <c r="J31" s="343">
        <f>I31/C31</f>
        <v>6.3559322033898301E-3</v>
      </c>
      <c r="K31" s="361">
        <f>I31/D31</f>
        <v>4.7808764940239036E-2</v>
      </c>
      <c r="L31" s="371">
        <v>2.9</v>
      </c>
      <c r="M31" s="343">
        <f>L31/C31</f>
        <v>7.6800847457627113E-3</v>
      </c>
      <c r="N31" s="370">
        <f>L31/D31</f>
        <v>5.7768924302788842E-2</v>
      </c>
      <c r="O31" s="352">
        <f>D31</f>
        <v>50.2</v>
      </c>
      <c r="P31" s="366">
        <f>O31-(Q31+R31+T31+U31+X31-V31)</f>
        <v>0</v>
      </c>
      <c r="Q31" s="278">
        <v>47.9</v>
      </c>
      <c r="R31" s="376">
        <v>2</v>
      </c>
      <c r="S31" s="374">
        <f>R31/D31</f>
        <v>3.9840637450199202E-2</v>
      </c>
      <c r="T31" s="292">
        <v>0.3</v>
      </c>
      <c r="U31" s="292">
        <v>-1.2</v>
      </c>
      <c r="V31" s="372">
        <v>1.7</v>
      </c>
      <c r="W31" s="374">
        <f>V31/D31</f>
        <v>3.386454183266932E-2</v>
      </c>
      <c r="X31" s="366">
        <f>O31-(Q31+R31+T31+U31-V31)</f>
        <v>2.9000000000000128</v>
      </c>
      <c r="Y31" s="367"/>
      <c r="Z31" s="366"/>
      <c r="AA31" s="366"/>
      <c r="AB31" s="366"/>
      <c r="AC31" s="366">
        <v>0</v>
      </c>
      <c r="AD31" s="302">
        <f>AC31/D31</f>
        <v>0</v>
      </c>
      <c r="AE31" s="278"/>
      <c r="AF31" s="278"/>
      <c r="AG31" s="326">
        <v>22</v>
      </c>
      <c r="AH31" s="295">
        <f>AG31/C31</f>
        <v>5.8262711864406777E-2</v>
      </c>
      <c r="AI31" s="295">
        <f>(AG31-AN31)/C31</f>
        <v>5.7468220338983043E-2</v>
      </c>
      <c r="AJ31" s="357">
        <f>AG31-(AK31+AL31+AM31+AN31)</f>
        <v>0</v>
      </c>
      <c r="AK31" s="288">
        <v>20.7</v>
      </c>
      <c r="AL31" s="288">
        <v>1</v>
      </c>
      <c r="AM31" s="290">
        <v>0</v>
      </c>
      <c r="AN31" s="288">
        <v>0.3</v>
      </c>
      <c r="AO31" s="372">
        <v>1</v>
      </c>
      <c r="AP31" s="333">
        <v>19.3705</v>
      </c>
      <c r="AQ31" s="333"/>
      <c r="AR31" s="333"/>
      <c r="AS31" s="333"/>
      <c r="AT31" s="361">
        <f>(O31-AG31)/C31</f>
        <v>7.4682203389830518E-2</v>
      </c>
      <c r="AU31" s="305">
        <v>0.52</v>
      </c>
      <c r="AV31" s="359">
        <f>(AK31+AL31)/(G31+L31-T31)</f>
        <v>0.43055555555555547</v>
      </c>
      <c r="AW31" s="353"/>
      <c r="AX31" s="302">
        <f>(AG31-AN31-AM31)/(G31+L31-T31+V31)</f>
        <v>0.41650671785028781</v>
      </c>
      <c r="AY31" s="359">
        <f>(AG31-AN31-AM31+AO31)/(G31+L31-T31+AO31)</f>
        <v>0.44163424124513612</v>
      </c>
      <c r="AZ31" s="353">
        <f>(AG31-AN31-AM31+AO31)/(G31+L31-T31+AO31-AC31)</f>
        <v>0.44163424124513612</v>
      </c>
      <c r="BA31" s="302">
        <f>(AG31-AN31)/Q31</f>
        <v>0.45302713987473903</v>
      </c>
      <c r="BB31" s="302">
        <f>(AG31-AN31)/(Q31+R31)</f>
        <v>0.43486973947895791</v>
      </c>
      <c r="BC31" s="358">
        <f>D31</f>
        <v>50.2</v>
      </c>
      <c r="BD31" s="357">
        <f>BC31-(BE31+BF31+BG31)</f>
        <v>0.10000000000000142</v>
      </c>
      <c r="BE31" s="356">
        <f>AG31</f>
        <v>22</v>
      </c>
      <c r="BF31" s="314">
        <v>10.5</v>
      </c>
      <c r="BG31" s="314">
        <v>17.600000000000001</v>
      </c>
      <c r="BH31" s="302">
        <f>BG31/D31</f>
        <v>0.35059760956175301</v>
      </c>
      <c r="BI31" s="288">
        <v>16.899999999999999</v>
      </c>
      <c r="BJ31" s="288">
        <f>BG31-BI31</f>
        <v>0.70000000000000284</v>
      </c>
      <c r="BK31" s="302">
        <f>BJ31/D31</f>
        <v>1.3944223107569776E-2</v>
      </c>
      <c r="BL31" s="302"/>
      <c r="BM31" s="302"/>
      <c r="BN31" s="302"/>
      <c r="BO31" s="302">
        <f>BJ31/I31</f>
        <v>0.29166666666666785</v>
      </c>
      <c r="BP31" s="294"/>
      <c r="BQ31" s="355">
        <f>L31</f>
        <v>2.9</v>
      </c>
      <c r="BR31" s="442"/>
      <c r="BX31" s="273"/>
      <c r="CT31" s="277"/>
      <c r="CU31" s="275"/>
      <c r="CV31" s="318"/>
      <c r="CW31" s="273"/>
      <c r="DD31" s="273"/>
      <c r="DE31" s="273"/>
      <c r="DJ31" s="281"/>
      <c r="DU31" s="281"/>
      <c r="EF31" s="273"/>
      <c r="EP31" s="277"/>
      <c r="FA31" s="289"/>
      <c r="FB31" s="288"/>
      <c r="FC31" s="288"/>
      <c r="FD31" s="288"/>
      <c r="FE31" s="288"/>
      <c r="FF31" s="288"/>
      <c r="FG31" s="288"/>
      <c r="FH31" s="288"/>
      <c r="FI31" s="288"/>
      <c r="FJ31" s="288"/>
      <c r="FK31" s="288"/>
      <c r="FL31" s="301"/>
      <c r="FM31" s="288"/>
      <c r="FN31" s="288"/>
      <c r="FO31" s="288"/>
      <c r="FP31" s="288"/>
      <c r="FQ31" s="288"/>
      <c r="FR31" s="288"/>
      <c r="FS31" s="288"/>
      <c r="FT31" s="288"/>
      <c r="FU31" s="288"/>
    </row>
    <row r="32" spans="2:177">
      <c r="B32" s="288">
        <v>1956</v>
      </c>
      <c r="C32" s="344">
        <v>400.9</v>
      </c>
      <c r="D32" s="352">
        <v>49.6</v>
      </c>
      <c r="E32" s="361">
        <f>D32/C32</f>
        <v>0.12372162634073336</v>
      </c>
      <c r="F32" s="333">
        <f>D32-(G32+I32)</f>
        <v>0</v>
      </c>
      <c r="G32" s="342">
        <f>D32-I32</f>
        <v>46.800000000000004</v>
      </c>
      <c r="H32" s="302">
        <f>G32/C32</f>
        <v>0.11673734098278875</v>
      </c>
      <c r="I32" s="292">
        <v>2.8</v>
      </c>
      <c r="J32" s="343">
        <f>I32/C32</f>
        <v>6.9842853579446243E-3</v>
      </c>
      <c r="K32" s="361">
        <f>I32/D32</f>
        <v>5.6451612903225798E-2</v>
      </c>
      <c r="L32" s="371">
        <v>3.4000000000000004</v>
      </c>
      <c r="M32" s="343">
        <f>L32/C32</f>
        <v>8.4809179346470448E-3</v>
      </c>
      <c r="N32" s="370">
        <f>L32/D32</f>
        <v>6.8548387096774202E-2</v>
      </c>
      <c r="O32" s="352">
        <f>D32</f>
        <v>49.6</v>
      </c>
      <c r="P32" s="366">
        <f>O32-(Q32+R32+T32+U32+X32-V32)</f>
        <v>0</v>
      </c>
      <c r="Q32" s="278">
        <v>47.4</v>
      </c>
      <c r="R32" s="376">
        <v>2.2999999999999998</v>
      </c>
      <c r="S32" s="374">
        <f>R32/D32</f>
        <v>4.6370967741935477E-2</v>
      </c>
      <c r="T32" s="292">
        <v>0.5</v>
      </c>
      <c r="U32" s="292">
        <v>-3</v>
      </c>
      <c r="V32" s="372">
        <v>1.7</v>
      </c>
      <c r="W32" s="374">
        <f>V32/D32</f>
        <v>3.4274193548387094E-2</v>
      </c>
      <c r="X32" s="366">
        <f>O32-(Q32+R32+T32+U32-V32)</f>
        <v>4.1000000000000085</v>
      </c>
      <c r="Y32" s="367"/>
      <c r="Z32" s="366"/>
      <c r="AA32" s="366"/>
      <c r="AB32" s="366"/>
      <c r="AC32" s="366">
        <v>0</v>
      </c>
      <c r="AD32" s="302">
        <f>AC32/D32</f>
        <v>0</v>
      </c>
      <c r="AE32" s="278"/>
      <c r="AF32" s="278"/>
      <c r="AG32" s="326">
        <v>22</v>
      </c>
      <c r="AH32" s="295">
        <f>AG32/C32</f>
        <v>5.4876527812422055E-2</v>
      </c>
      <c r="AI32" s="295">
        <f>(AG32-AN32)/C32</f>
        <v>5.3878772761287108E-2</v>
      </c>
      <c r="AJ32" s="357">
        <f>AG32-(AK32+AL32+AM32+AN32)</f>
        <v>0</v>
      </c>
      <c r="AK32" s="288">
        <v>20.599999999999998</v>
      </c>
      <c r="AL32" s="288">
        <v>1</v>
      </c>
      <c r="AM32" s="290">
        <v>0</v>
      </c>
      <c r="AN32" s="288">
        <v>0.4</v>
      </c>
      <c r="AO32" s="372">
        <v>1</v>
      </c>
      <c r="AP32" s="333">
        <v>21.023499999999999</v>
      </c>
      <c r="AQ32" s="333"/>
      <c r="AR32" s="333"/>
      <c r="AS32" s="333"/>
      <c r="AT32" s="361">
        <f>(O32-AG32)/C32</f>
        <v>6.8845098528311305E-2</v>
      </c>
      <c r="AU32" s="305">
        <v>0.52</v>
      </c>
      <c r="AV32" s="359">
        <f>(AK32+AL32)/(G32+L32-T32)</f>
        <v>0.43460764587525141</v>
      </c>
      <c r="AW32" s="353"/>
      <c r="AX32" s="302">
        <f>(AG32-AN32-AM32)/(G32+L32-T32+V32)</f>
        <v>0.42023346303501946</v>
      </c>
      <c r="AY32" s="359">
        <f>(AG32-AN32-AM32+AO32)/(G32+L32-T32+AO32)</f>
        <v>0.44575936883629191</v>
      </c>
      <c r="AZ32" s="353">
        <f>(AG32-AN32-AM32+AO32)/(G32+L32-T32+AO32-AC32)</f>
        <v>0.44575936883629191</v>
      </c>
      <c r="BA32" s="302">
        <f>(AG32-AN32)/Q32</f>
        <v>0.45569620253164561</v>
      </c>
      <c r="BB32" s="302">
        <f>(AG32-AN32)/(Q32+R32)</f>
        <v>0.43460764587525158</v>
      </c>
      <c r="BC32" s="358">
        <f>D32</f>
        <v>49.6</v>
      </c>
      <c r="BD32" s="357">
        <f>BC32-(BE32+BF32+BG32)</f>
        <v>-9.9999999999994316E-2</v>
      </c>
      <c r="BE32" s="356">
        <f>AG32</f>
        <v>22</v>
      </c>
      <c r="BF32" s="314">
        <v>11.3</v>
      </c>
      <c r="BG32" s="314">
        <v>16.399999999999999</v>
      </c>
      <c r="BH32" s="302">
        <f>BG32/D32</f>
        <v>0.33064516129032256</v>
      </c>
      <c r="BI32" s="288">
        <v>15.4</v>
      </c>
      <c r="BJ32" s="288">
        <f>BG32-BI32</f>
        <v>0.99999999999999822</v>
      </c>
      <c r="BK32" s="302">
        <f>BJ32/D32</f>
        <v>2.016129032258061E-2</v>
      </c>
      <c r="BL32" s="302"/>
      <c r="BM32" s="302"/>
      <c r="BN32" s="302"/>
      <c r="BO32" s="302">
        <f>BJ32/I32</f>
        <v>0.35714285714285654</v>
      </c>
      <c r="BP32" s="294"/>
      <c r="BQ32" s="355">
        <f>L32</f>
        <v>3.4000000000000004</v>
      </c>
      <c r="BR32" s="442"/>
      <c r="BX32" s="273"/>
      <c r="CT32" s="277"/>
      <c r="CU32" s="275"/>
      <c r="CV32" s="318"/>
      <c r="CW32" s="273"/>
      <c r="DD32" s="273"/>
      <c r="DE32" s="273"/>
      <c r="DJ32" s="281"/>
      <c r="DU32" s="281"/>
      <c r="EF32" s="273"/>
      <c r="EP32" s="277"/>
      <c r="FA32" s="289"/>
      <c r="FB32" s="288"/>
      <c r="FC32" s="288"/>
      <c r="FD32" s="288"/>
      <c r="FE32" s="288"/>
      <c r="FF32" s="288"/>
      <c r="FG32" s="288"/>
      <c r="FH32" s="288"/>
      <c r="FI32" s="288"/>
      <c r="FJ32" s="288"/>
      <c r="FK32" s="288"/>
      <c r="FL32" s="301"/>
      <c r="FM32" s="288"/>
      <c r="FN32" s="288"/>
      <c r="FO32" s="288"/>
      <c r="FP32" s="288"/>
      <c r="FQ32" s="288"/>
      <c r="FR32" s="288"/>
      <c r="FS32" s="288"/>
      <c r="FT32" s="288"/>
      <c r="FU32" s="288"/>
    </row>
    <row r="33" spans="2:177">
      <c r="B33" s="288">
        <v>1957</v>
      </c>
      <c r="C33" s="344">
        <v>419.4</v>
      </c>
      <c r="D33" s="352">
        <v>49.1</v>
      </c>
      <c r="E33" s="361">
        <f>D33/C33</f>
        <v>0.11707200762994756</v>
      </c>
      <c r="F33" s="333">
        <f>D33-(G33+I33)</f>
        <v>0</v>
      </c>
      <c r="G33" s="342">
        <f>D33-I33</f>
        <v>46</v>
      </c>
      <c r="H33" s="302">
        <f>G33/C33</f>
        <v>0.10968049594659038</v>
      </c>
      <c r="I33" s="292">
        <v>3.1</v>
      </c>
      <c r="J33" s="343">
        <f>I33/C33</f>
        <v>7.3915116833571772E-3</v>
      </c>
      <c r="K33" s="361">
        <f>I33/D33</f>
        <v>6.313645621181263E-2</v>
      </c>
      <c r="L33" s="371">
        <v>3.6999999999999997</v>
      </c>
      <c r="M33" s="343">
        <f>L33/C33</f>
        <v>8.8221268478779202E-3</v>
      </c>
      <c r="N33" s="370">
        <f>L33/D33</f>
        <v>7.535641547861506E-2</v>
      </c>
      <c r="O33" s="352">
        <f>D33</f>
        <v>49.1</v>
      </c>
      <c r="P33" s="366">
        <f>O33-(Q33+R33+T33+U33+X33-V33)</f>
        <v>0</v>
      </c>
      <c r="Q33" s="278">
        <v>45.1</v>
      </c>
      <c r="R33" s="376">
        <v>2.9</v>
      </c>
      <c r="S33" s="374">
        <f>R33/D33</f>
        <v>5.9063136456211807E-2</v>
      </c>
      <c r="T33" s="292">
        <v>0.6</v>
      </c>
      <c r="U33" s="292">
        <v>-2</v>
      </c>
      <c r="V33" s="372">
        <v>1.6</v>
      </c>
      <c r="W33" s="374">
        <f>V33/D33</f>
        <v>3.2586558044806521E-2</v>
      </c>
      <c r="X33" s="366">
        <f>O33-(Q33+R33+T33+U33-V33)</f>
        <v>4.1000000000000014</v>
      </c>
      <c r="Y33" s="367"/>
      <c r="Z33" s="366"/>
      <c r="AA33" s="366"/>
      <c r="AB33" s="366"/>
      <c r="AC33" s="366">
        <v>0</v>
      </c>
      <c r="AD33" s="302">
        <f>AC33/D33</f>
        <v>0</v>
      </c>
      <c r="AE33" s="278"/>
      <c r="AF33" s="278"/>
      <c r="AG33" s="326">
        <v>21.4</v>
      </c>
      <c r="AH33" s="295">
        <f>AG33/C33</f>
        <v>5.1025274201239867E-2</v>
      </c>
      <c r="AI33" s="295">
        <f>(AG33-AN33)/C33</f>
        <v>4.9833094897472577E-2</v>
      </c>
      <c r="AJ33" s="357">
        <f>AG33-(AK33+AL33+AM33+AN33)</f>
        <v>9.9999999999997868E-2</v>
      </c>
      <c r="AK33" s="288">
        <v>19.8</v>
      </c>
      <c r="AL33" s="288">
        <v>1</v>
      </c>
      <c r="AM33" s="290">
        <v>0</v>
      </c>
      <c r="AN33" s="288">
        <v>0.5</v>
      </c>
      <c r="AO33" s="372">
        <v>1.1000000000000001</v>
      </c>
      <c r="AP33" s="333">
        <v>20.6205</v>
      </c>
      <c r="AQ33" s="333"/>
      <c r="AR33" s="333"/>
      <c r="AS33" s="333"/>
      <c r="AT33" s="361">
        <f>(O33-AG33)/C33</f>
        <v>6.6046733428707691E-2</v>
      </c>
      <c r="AU33" s="305">
        <v>0.52</v>
      </c>
      <c r="AV33" s="359">
        <f>(AK33+AL33)/(G33+L33-T33)</f>
        <v>0.42362525458248473</v>
      </c>
      <c r="AW33" s="353"/>
      <c r="AX33" s="302">
        <f>(AG33-AN33-AM33)/(G33+L33-T33+V33)</f>
        <v>0.4122287968441814</v>
      </c>
      <c r="AY33" s="359">
        <f>(AG33-AN33-AM33+AO33)/(G33+L33-T33+AO33)</f>
        <v>0.43824701195219123</v>
      </c>
      <c r="AZ33" s="353">
        <f>(AG33-AN33-AM33+AO33)/(G33+L33-T33+AO33-AC33)</f>
        <v>0.43824701195219123</v>
      </c>
      <c r="BA33" s="302">
        <f>(AG33-AN33)/Q33</f>
        <v>0.46341463414634143</v>
      </c>
      <c r="BB33" s="302">
        <f>(AG33-AN33)/(Q33+R33)</f>
        <v>0.43541666666666662</v>
      </c>
      <c r="BC33" s="358">
        <f>D33</f>
        <v>49.1</v>
      </c>
      <c r="BD33" s="357">
        <f>BC33-(BE33+BF33+BG33)</f>
        <v>0</v>
      </c>
      <c r="BE33" s="356">
        <f>AG33</f>
        <v>21.4</v>
      </c>
      <c r="BF33" s="314">
        <v>11.7</v>
      </c>
      <c r="BG33" s="314">
        <v>16</v>
      </c>
      <c r="BH33" s="302">
        <f>BG33/D33</f>
        <v>0.32586558044806518</v>
      </c>
      <c r="BI33" s="288">
        <v>14.8</v>
      </c>
      <c r="BJ33" s="288">
        <f>BG33-BI33</f>
        <v>1.1999999999999993</v>
      </c>
      <c r="BK33" s="302">
        <f>BJ33/D33</f>
        <v>2.4439918533604874E-2</v>
      </c>
      <c r="BL33" s="302"/>
      <c r="BM33" s="302"/>
      <c r="BN33" s="302"/>
      <c r="BO33" s="302">
        <f>BJ33/I33</f>
        <v>0.38709677419354815</v>
      </c>
      <c r="BP33" s="294"/>
      <c r="BQ33" s="355">
        <f>L33</f>
        <v>3.6999999999999997</v>
      </c>
      <c r="BR33" s="442"/>
      <c r="BX33" s="273"/>
      <c r="CT33" s="277"/>
      <c r="CU33" s="275"/>
      <c r="CV33" s="318"/>
      <c r="CW33" s="273"/>
      <c r="DD33" s="273"/>
      <c r="DE33" s="273"/>
      <c r="DJ33" s="281"/>
      <c r="DU33" s="281"/>
      <c r="EF33" s="273"/>
      <c r="EP33" s="277"/>
      <c r="FA33" s="289"/>
      <c r="FB33" s="288"/>
      <c r="FC33" s="288"/>
      <c r="FD33" s="288"/>
      <c r="FE33" s="288"/>
      <c r="FF33" s="288"/>
      <c r="FG33" s="288"/>
      <c r="FH33" s="288"/>
      <c r="FI33" s="288"/>
      <c r="FJ33" s="288"/>
      <c r="FK33" s="288"/>
      <c r="FL33" s="301"/>
      <c r="FM33" s="288"/>
      <c r="FN33" s="288"/>
      <c r="FO33" s="288"/>
      <c r="FP33" s="288"/>
      <c r="FQ33" s="288"/>
      <c r="FR33" s="288"/>
      <c r="FS33" s="288"/>
      <c r="FT33" s="288"/>
      <c r="FU33" s="288"/>
    </row>
    <row r="34" spans="2:177">
      <c r="B34" s="288">
        <v>1958</v>
      </c>
      <c r="C34" s="344">
        <v>421.6</v>
      </c>
      <c r="D34" s="352">
        <v>43.9</v>
      </c>
      <c r="E34" s="361">
        <f>D34/C34</f>
        <v>0.10412713472485767</v>
      </c>
      <c r="F34" s="333">
        <f>D34-(G34+I34)</f>
        <v>0</v>
      </c>
      <c r="G34" s="342">
        <f>D34-I34</f>
        <v>41.4</v>
      </c>
      <c r="H34" s="302">
        <f>G34/C34</f>
        <v>9.819734345351043E-2</v>
      </c>
      <c r="I34" s="292">
        <v>2.5</v>
      </c>
      <c r="J34" s="343">
        <f>I34/C34</f>
        <v>5.9297912713472479E-3</v>
      </c>
      <c r="K34" s="361">
        <f>I34/D34</f>
        <v>5.6947608200455579E-2</v>
      </c>
      <c r="L34" s="371">
        <v>3</v>
      </c>
      <c r="M34" s="343">
        <f>L34/C34</f>
        <v>7.1157495256166979E-3</v>
      </c>
      <c r="N34" s="370">
        <f>L34/D34</f>
        <v>6.8337129840546698E-2</v>
      </c>
      <c r="O34" s="352">
        <f>D34</f>
        <v>43.9</v>
      </c>
      <c r="P34" s="366">
        <f>O34-(Q34+R34+T34+U34+X34-V34)</f>
        <v>0</v>
      </c>
      <c r="Q34" s="278">
        <v>39.200000000000003</v>
      </c>
      <c r="R34" s="376">
        <v>3</v>
      </c>
      <c r="S34" s="374">
        <f>R34/D34</f>
        <v>6.8337129840546698E-2</v>
      </c>
      <c r="T34" s="292">
        <v>0.6</v>
      </c>
      <c r="U34" s="292">
        <v>-1.2</v>
      </c>
      <c r="V34" s="372">
        <v>2.8</v>
      </c>
      <c r="W34" s="374">
        <f>V34/D34</f>
        <v>6.3781321184510242E-2</v>
      </c>
      <c r="X34" s="366">
        <f>O34-(Q34+R34+T34+U34-V34)</f>
        <v>5.0999999999999943</v>
      </c>
      <c r="Y34" s="367"/>
      <c r="Z34" s="366"/>
      <c r="AA34" s="366"/>
      <c r="AB34" s="366"/>
      <c r="AC34" s="366">
        <v>0</v>
      </c>
      <c r="AD34" s="302">
        <f>AC34/D34</f>
        <v>0</v>
      </c>
      <c r="AE34" s="278"/>
      <c r="AF34" s="278"/>
      <c r="AG34" s="326">
        <v>19</v>
      </c>
      <c r="AH34" s="295">
        <f>AG34/C34</f>
        <v>4.506641366223909E-2</v>
      </c>
      <c r="AI34" s="295">
        <f>(AG34-AN34)/C34</f>
        <v>4.3880455407969636E-2</v>
      </c>
      <c r="AJ34" s="357">
        <f>AG34-(AK34+AL34+AM34+AN34)</f>
        <v>0.10000000000000142</v>
      </c>
      <c r="AK34" s="288">
        <v>17.399999999999999</v>
      </c>
      <c r="AL34" s="288">
        <v>1</v>
      </c>
      <c r="AM34" s="290">
        <v>0</v>
      </c>
      <c r="AN34" s="288">
        <v>0.5</v>
      </c>
      <c r="AO34" s="372">
        <v>1.1000000000000001</v>
      </c>
      <c r="AP34" s="333">
        <v>18.691500000000001</v>
      </c>
      <c r="AQ34" s="333"/>
      <c r="AR34" s="333"/>
      <c r="AS34" s="333"/>
      <c r="AT34" s="361">
        <f>(O34-AG34)/C34</f>
        <v>5.9060721062618587E-2</v>
      </c>
      <c r="AU34" s="305">
        <v>0.52</v>
      </c>
      <c r="AV34" s="359">
        <f>(AK34+AL34)/(G34+L34-T34)</f>
        <v>0.42009132420091322</v>
      </c>
      <c r="AW34" s="353">
        <f>(AK34+AL34)/(G34+L34-T34-AE34)</f>
        <v>0.42009132420091322</v>
      </c>
      <c r="AX34" s="302">
        <f>(AG34-AN34-AM34)/(G34+L34-T34+V34)</f>
        <v>0.39699570815450647</v>
      </c>
      <c r="AY34" s="359">
        <f>(AG34-AN34-AM34+AO34)/(G34+L34-T34+AO34)</f>
        <v>0.43652561247216043</v>
      </c>
      <c r="AZ34" s="353">
        <f>(AG34-AN34-AM34+AO34)/(G34+L34-T34+AO34-AC34)</f>
        <v>0.43652561247216043</v>
      </c>
      <c r="BA34" s="302">
        <f>(AG34-AN34)/Q34</f>
        <v>0.47193877551020402</v>
      </c>
      <c r="BB34" s="302">
        <f>(AG34-AN34)/(Q34+R34)</f>
        <v>0.43838862559241704</v>
      </c>
      <c r="BC34" s="358">
        <f>D34</f>
        <v>43.9</v>
      </c>
      <c r="BD34" s="357">
        <f>BC34-(BE34+BF34+BG34)</f>
        <v>0</v>
      </c>
      <c r="BE34" s="356">
        <f>AG34</f>
        <v>19</v>
      </c>
      <c r="BF34" s="314">
        <v>11.6</v>
      </c>
      <c r="BG34" s="314">
        <v>13.3</v>
      </c>
      <c r="BH34" s="302">
        <f>BG34/D34</f>
        <v>0.30296127562642372</v>
      </c>
      <c r="BI34" s="288">
        <v>12.5</v>
      </c>
      <c r="BJ34" s="288">
        <f>BG34-BI34</f>
        <v>0.80000000000000071</v>
      </c>
      <c r="BK34" s="302">
        <f>BJ34/D34</f>
        <v>1.8223234624145802E-2</v>
      </c>
      <c r="BL34" s="302"/>
      <c r="BM34" s="302"/>
      <c r="BN34" s="302"/>
      <c r="BO34" s="302">
        <f>BJ34/I34</f>
        <v>0.32000000000000028</v>
      </c>
      <c r="BP34" s="294"/>
      <c r="BQ34" s="355">
        <f>L34</f>
        <v>3</v>
      </c>
      <c r="BR34" s="442"/>
      <c r="BX34" s="273"/>
      <c r="CT34" s="277"/>
      <c r="CU34" s="275"/>
      <c r="CV34" s="318"/>
      <c r="CW34" s="273"/>
      <c r="DD34" s="273"/>
      <c r="DE34" s="273"/>
      <c r="DJ34" s="281"/>
      <c r="DU34" s="281"/>
      <c r="EF34" s="273"/>
      <c r="EP34" s="277"/>
      <c r="FA34" s="289"/>
      <c r="FB34" s="288"/>
      <c r="FC34" s="288"/>
      <c r="FD34" s="288"/>
      <c r="FE34" s="288"/>
      <c r="FF34" s="288"/>
      <c r="FG34" s="288"/>
      <c r="FH34" s="288"/>
      <c r="FI34" s="288"/>
      <c r="FJ34" s="288"/>
      <c r="FK34" s="288"/>
      <c r="FL34" s="301"/>
      <c r="FM34" s="288"/>
      <c r="FN34" s="288"/>
      <c r="FO34" s="288"/>
      <c r="FP34" s="288"/>
      <c r="FQ34" s="288"/>
      <c r="FR34" s="288"/>
      <c r="FS34" s="288"/>
      <c r="FT34" s="288"/>
      <c r="FU34" s="288"/>
    </row>
    <row r="35" spans="2:177" s="377" customFormat="1">
      <c r="B35" s="392">
        <v>1959</v>
      </c>
      <c r="C35" s="405">
        <v>459.6</v>
      </c>
      <c r="D35" s="382">
        <v>55.5</v>
      </c>
      <c r="E35" s="378">
        <f>D35/C35</f>
        <v>0.12075718015665796</v>
      </c>
      <c r="F35" s="389">
        <f>D35-(G35+I35)</f>
        <v>0</v>
      </c>
      <c r="G35" s="389">
        <f>D35-I35</f>
        <v>52.8</v>
      </c>
      <c r="H35" s="378">
        <f>G35/C35</f>
        <v>0.11488250652741513</v>
      </c>
      <c r="I35" s="392">
        <v>2.7</v>
      </c>
      <c r="J35" s="400">
        <f>I35/C35</f>
        <v>5.8746736292428197E-3</v>
      </c>
      <c r="K35" s="378">
        <f>I35/D35</f>
        <v>4.8648648648648651E-2</v>
      </c>
      <c r="L35" s="383">
        <v>3.4</v>
      </c>
      <c r="M35" s="400">
        <f>L35/C35</f>
        <v>7.3977371627502167E-3</v>
      </c>
      <c r="N35" s="404">
        <f>L35/D35</f>
        <v>6.126126126126126E-2</v>
      </c>
      <c r="O35" s="382">
        <f>D35</f>
        <v>55.5</v>
      </c>
      <c r="P35" s="381">
        <f>O35-(Q35+R35+T35+U35+X35-V35)</f>
        <v>0</v>
      </c>
      <c r="Q35" s="381">
        <v>47.7</v>
      </c>
      <c r="R35" s="403">
        <v>2.9</v>
      </c>
      <c r="S35" s="396">
        <f>R35/D35</f>
        <v>5.2252252252252253E-2</v>
      </c>
      <c r="T35" s="392">
        <v>0.7</v>
      </c>
      <c r="U35" s="392">
        <v>-0.5</v>
      </c>
      <c r="V35" s="399">
        <v>1.8</v>
      </c>
      <c r="W35" s="396">
        <f>V35/D35</f>
        <v>3.2432432432432434E-2</v>
      </c>
      <c r="X35" s="381">
        <f>O35-(Q35+R35+T35+U35-V35)</f>
        <v>6.4999999999999929</v>
      </c>
      <c r="Y35" s="402"/>
      <c r="Z35" s="381"/>
      <c r="AA35" s="381"/>
      <c r="AB35" s="381"/>
      <c r="AC35" s="381">
        <v>0</v>
      </c>
      <c r="AD35" s="378">
        <f>AC35/D35</f>
        <v>0</v>
      </c>
      <c r="AE35" s="381"/>
      <c r="AF35" s="381"/>
      <c r="AG35" s="401">
        <v>23.7</v>
      </c>
      <c r="AH35" s="400">
        <f>AG35/C35</f>
        <v>5.1566579634464746E-2</v>
      </c>
      <c r="AI35" s="400">
        <f>(AG35-AN35)/C35</f>
        <v>4.960835509138381E-2</v>
      </c>
      <c r="AJ35" s="394">
        <f>AG35-(AK35+AL35+AM35+AN35)</f>
        <v>0</v>
      </c>
      <c r="AK35" s="392">
        <v>21.5</v>
      </c>
      <c r="AL35" s="392">
        <v>1.2</v>
      </c>
      <c r="AM35" s="399">
        <v>0.1</v>
      </c>
      <c r="AN35" s="392">
        <v>0.9</v>
      </c>
      <c r="AO35" s="399">
        <v>1.2</v>
      </c>
      <c r="AP35" s="389">
        <v>19.401499999999999</v>
      </c>
      <c r="AQ35" s="389"/>
      <c r="AR35" s="389"/>
      <c r="AS35" s="389"/>
      <c r="AT35" s="378">
        <f>(O35-AG35)/C35</f>
        <v>6.919060052219321E-2</v>
      </c>
      <c r="AU35" s="449">
        <v>0.52</v>
      </c>
      <c r="AV35" s="397">
        <f>(AK35+AL35)/(G35+L35-T35)</f>
        <v>0.40900900900900905</v>
      </c>
      <c r="AW35" s="396">
        <f>(AK35+AL35)/(G35+L35-T35-AE35)</f>
        <v>0.40900900900900905</v>
      </c>
      <c r="AX35" s="378">
        <f>(AG35-AN35-AM35)/(G35+L35-T35+V35)</f>
        <v>0.39616055846422343</v>
      </c>
      <c r="AY35" s="397">
        <f>(AG35-AN35-AM35+AO35)/(G35+L35-T35+AO35)</f>
        <v>0.42151675485008822</v>
      </c>
      <c r="AZ35" s="396">
        <f>(AG35-AN35-AM35+AO35)/(G35+L35-T35+AO35-AC35)</f>
        <v>0.42151675485008822</v>
      </c>
      <c r="BA35" s="378">
        <f>(AG35-AN35)/Q35</f>
        <v>0.4779874213836478</v>
      </c>
      <c r="BB35" s="378">
        <f>(AG35-AN35)/(Q35+R35)</f>
        <v>0.45059288537549408</v>
      </c>
      <c r="BC35" s="395">
        <f>D35</f>
        <v>55.5</v>
      </c>
      <c r="BD35" s="394">
        <f>BC35-(BE35+BF35+BG35)</f>
        <v>0</v>
      </c>
      <c r="BE35" s="393">
        <f>AG35</f>
        <v>23.7</v>
      </c>
      <c r="BF35" s="383">
        <v>12.6</v>
      </c>
      <c r="BG35" s="383">
        <v>19.2</v>
      </c>
      <c r="BH35" s="378">
        <f>BG35/D35</f>
        <v>0.34594594594594591</v>
      </c>
      <c r="BI35" s="392">
        <v>18.399999999999999</v>
      </c>
      <c r="BJ35" s="392">
        <f>BG35-BI35</f>
        <v>0.80000000000000071</v>
      </c>
      <c r="BK35" s="378">
        <f>BJ35/D35</f>
        <v>1.4414414414414427E-2</v>
      </c>
      <c r="BL35" s="378"/>
      <c r="BM35" s="378"/>
      <c r="BN35" s="378"/>
      <c r="BO35" s="378">
        <f>BJ35/I35</f>
        <v>0.29629629629629656</v>
      </c>
      <c r="BP35" s="391"/>
      <c r="BQ35" s="390">
        <f>L35</f>
        <v>3.4</v>
      </c>
      <c r="BR35" s="444"/>
      <c r="BX35" s="447"/>
      <c r="CT35" s="483"/>
      <c r="CV35" s="447"/>
      <c r="CW35" s="447"/>
      <c r="DD35" s="447"/>
      <c r="DE35" s="447"/>
      <c r="DJ35" s="448"/>
      <c r="DU35" s="448"/>
      <c r="EF35" s="447"/>
      <c r="EP35" s="483"/>
      <c r="FA35" s="446"/>
      <c r="FB35" s="392"/>
      <c r="FC35" s="392"/>
      <c r="FD35" s="392"/>
      <c r="FE35" s="392"/>
      <c r="FF35" s="392"/>
      <c r="FG35" s="392"/>
      <c r="FH35" s="392"/>
      <c r="FI35" s="392"/>
      <c r="FJ35" s="392"/>
      <c r="FK35" s="392"/>
      <c r="FL35" s="445"/>
      <c r="FM35" s="392"/>
      <c r="FN35" s="392"/>
      <c r="FO35" s="392"/>
      <c r="FP35" s="392"/>
      <c r="FQ35" s="392"/>
      <c r="FR35" s="392"/>
      <c r="FS35" s="392"/>
      <c r="FT35" s="392"/>
      <c r="FU35" s="392"/>
    </row>
    <row r="36" spans="2:177">
      <c r="B36" s="288">
        <v>1960</v>
      </c>
      <c r="C36" s="344">
        <v>479.9</v>
      </c>
      <c r="D36" s="352">
        <v>54.7</v>
      </c>
      <c r="E36" s="361">
        <f>D36/C36</f>
        <v>0.11398207959991666</v>
      </c>
      <c r="F36" s="333">
        <f>D36-(G36+I36)</f>
        <v>0</v>
      </c>
      <c r="G36" s="342">
        <f>D36-I36</f>
        <v>51.6</v>
      </c>
      <c r="H36" s="302">
        <f>G36/C36</f>
        <v>0.1075224005001042</v>
      </c>
      <c r="I36" s="292">
        <v>3.1</v>
      </c>
      <c r="J36" s="343">
        <f>I36/C36</f>
        <v>6.4596790998124615E-3</v>
      </c>
      <c r="K36" s="361">
        <f>I36/D36</f>
        <v>5.6672760511882997E-2</v>
      </c>
      <c r="L36" s="371">
        <v>3.8</v>
      </c>
      <c r="M36" s="343">
        <f>L36/C36</f>
        <v>7.9183163158991453E-3</v>
      </c>
      <c r="N36" s="370">
        <f>L36/D36</f>
        <v>6.9469835466179158E-2</v>
      </c>
      <c r="O36" s="352">
        <f>D36</f>
        <v>54.7</v>
      </c>
      <c r="P36" s="366">
        <f>O36-(Q36+R36+T36+U36+X36-V36)</f>
        <v>0</v>
      </c>
      <c r="Q36" s="278">
        <v>44.5</v>
      </c>
      <c r="R36" s="376">
        <v>3</v>
      </c>
      <c r="S36" s="374">
        <f>R36/D36</f>
        <v>5.4844606946983544E-2</v>
      </c>
      <c r="T36" s="292">
        <v>0.9</v>
      </c>
      <c r="U36" s="292">
        <v>0.8</v>
      </c>
      <c r="V36" s="372">
        <v>2.6</v>
      </c>
      <c r="W36" s="374">
        <f>V36/D36</f>
        <v>4.7531992687385741E-2</v>
      </c>
      <c r="X36" s="366">
        <f>O36-(Q36+R36+T36+U36-V36)</f>
        <v>8.1000000000000085</v>
      </c>
      <c r="Y36" s="367"/>
      <c r="Z36" s="366"/>
      <c r="AA36" s="366"/>
      <c r="AB36" s="366"/>
      <c r="AC36" s="366">
        <v>0</v>
      </c>
      <c r="AD36" s="302">
        <f>AC36/D36</f>
        <v>0</v>
      </c>
      <c r="AE36" s="278"/>
      <c r="AF36" s="278"/>
      <c r="AG36" s="326">
        <v>22.8</v>
      </c>
      <c r="AH36" s="295">
        <f>AG36/C36</f>
        <v>4.7509897895394879E-2</v>
      </c>
      <c r="AI36" s="295">
        <f>(AG36-AN36)/C36</f>
        <v>4.5634507188997711E-2</v>
      </c>
      <c r="AJ36" s="357">
        <f>AG36-(AK36+AL36+AM36+AN36)</f>
        <v>0</v>
      </c>
      <c r="AK36" s="288">
        <v>20.599999999999998</v>
      </c>
      <c r="AL36" s="288">
        <v>1.2</v>
      </c>
      <c r="AM36" s="290">
        <v>0.1</v>
      </c>
      <c r="AN36" s="288">
        <v>0.9</v>
      </c>
      <c r="AO36" s="372">
        <v>1.2</v>
      </c>
      <c r="AP36" s="333">
        <v>21.224</v>
      </c>
      <c r="AQ36" s="333"/>
      <c r="AR36" s="333"/>
      <c r="AS36" s="333"/>
      <c r="AT36" s="361">
        <f>(O36-AG36)/C36</f>
        <v>6.6472181704521779E-2</v>
      </c>
      <c r="AU36" s="305">
        <v>0.52</v>
      </c>
      <c r="AV36" s="359">
        <f>(AK36+AL36)/(G36+L36-T36)</f>
        <v>0.39999999999999997</v>
      </c>
      <c r="AW36" s="353">
        <f>(AK36+AL36)/(G36+L36-T36-AE36)</f>
        <v>0.39999999999999997</v>
      </c>
      <c r="AX36" s="302">
        <f>(AG36-AN36-AM36)/(G36+L36-T36+V36)</f>
        <v>0.38178633975481613</v>
      </c>
      <c r="AY36" s="359">
        <f>(AG36-AN36-AM36+AO36)/(G36+L36-T36+AO36)</f>
        <v>0.41292639138240572</v>
      </c>
      <c r="AZ36" s="353">
        <f>(AG36-AN36-AM36+AO36)/(G36+L36-T36+AO36-AC36)</f>
        <v>0.41292639138240572</v>
      </c>
      <c r="BA36" s="302">
        <f>(AG36-AN36)/Q36</f>
        <v>0.49213483146067422</v>
      </c>
      <c r="BB36" s="302">
        <f>(AG36-AN36)/(Q36+R36)</f>
        <v>0.46105263157894744</v>
      </c>
      <c r="BC36" s="358">
        <f>D36</f>
        <v>54.7</v>
      </c>
      <c r="BD36" s="357">
        <f>BC36-(BE36+BF36+BG36)</f>
        <v>0</v>
      </c>
      <c r="BE36" s="356">
        <f>AG36</f>
        <v>22.8</v>
      </c>
      <c r="BF36" s="314">
        <v>13.4</v>
      </c>
      <c r="BG36" s="314">
        <v>18.5</v>
      </c>
      <c r="BH36" s="302">
        <f>BG36/D36</f>
        <v>0.33820840950639852</v>
      </c>
      <c r="BI36" s="288">
        <v>17.399999999999999</v>
      </c>
      <c r="BJ36" s="288">
        <f>BG36-BI36</f>
        <v>1.1000000000000014</v>
      </c>
      <c r="BK36" s="302">
        <f>BJ36/D36</f>
        <v>2.0109689213893993E-2</v>
      </c>
      <c r="BL36" s="302"/>
      <c r="BM36" s="302"/>
      <c r="BN36" s="302"/>
      <c r="BO36" s="302">
        <f>BJ36/I36</f>
        <v>0.35483870967741982</v>
      </c>
      <c r="BP36" s="294"/>
      <c r="BQ36" s="355">
        <f>L36</f>
        <v>3.8</v>
      </c>
      <c r="BR36" s="442"/>
      <c r="BX36" s="273"/>
      <c r="CT36" s="277"/>
      <c r="CU36" s="275"/>
      <c r="CV36" s="318"/>
      <c r="CW36" s="273"/>
      <c r="DD36" s="273"/>
      <c r="DE36" s="273"/>
      <c r="DJ36" s="281"/>
      <c r="DU36" s="281"/>
      <c r="EF36" s="273"/>
      <c r="EP36" s="277"/>
      <c r="FA36" s="289"/>
      <c r="FB36" s="288"/>
      <c r="FC36" s="288"/>
      <c r="FD36" s="288"/>
      <c r="FE36" s="288"/>
      <c r="FF36" s="288"/>
      <c r="FG36" s="288"/>
      <c r="FH36" s="288"/>
      <c r="FI36" s="288"/>
      <c r="FJ36" s="288"/>
      <c r="FK36" s="288"/>
      <c r="FL36" s="301"/>
      <c r="FM36" s="288"/>
      <c r="FN36" s="288"/>
      <c r="FO36" s="288"/>
      <c r="FP36" s="288"/>
      <c r="FQ36" s="288"/>
      <c r="FR36" s="288"/>
      <c r="FS36" s="288"/>
      <c r="FT36" s="288"/>
      <c r="FU36" s="288"/>
    </row>
    <row r="37" spans="2:177">
      <c r="B37" s="288">
        <v>1961</v>
      </c>
      <c r="C37" s="344">
        <v>497.2</v>
      </c>
      <c r="D37" s="352">
        <v>55.9</v>
      </c>
      <c r="E37" s="361">
        <f>D37/C37</f>
        <v>0.11242960579243765</v>
      </c>
      <c r="F37" s="333">
        <f>D37-(G37+I37)</f>
        <v>0</v>
      </c>
      <c r="G37" s="342">
        <f>D37-I37</f>
        <v>52.6</v>
      </c>
      <c r="H37" s="302">
        <f>G37/C37</f>
        <v>0.10579243765084474</v>
      </c>
      <c r="I37" s="292">
        <v>3.3</v>
      </c>
      <c r="J37" s="343">
        <f>I37/C37</f>
        <v>6.6371681415929203E-3</v>
      </c>
      <c r="K37" s="361">
        <f>I37/D37</f>
        <v>5.9033989266547404E-2</v>
      </c>
      <c r="L37" s="371">
        <v>4.0999999999999996</v>
      </c>
      <c r="M37" s="343">
        <f>L37/C37</f>
        <v>8.2461786001609E-3</v>
      </c>
      <c r="N37" s="370">
        <f>L37/D37</f>
        <v>7.3345259391771014E-2</v>
      </c>
      <c r="O37" s="352">
        <f>D37</f>
        <v>55.9</v>
      </c>
      <c r="P37" s="366">
        <f>O37-(Q37+R37+T37+U37+X37-V37)</f>
        <v>0</v>
      </c>
      <c r="Q37" s="278">
        <v>47</v>
      </c>
      <c r="R37" s="376">
        <v>3.1</v>
      </c>
      <c r="S37" s="374">
        <f>R37/D37</f>
        <v>5.5456171735241505E-2</v>
      </c>
      <c r="T37" s="292">
        <v>0.8</v>
      </c>
      <c r="U37" s="292">
        <v>2.1</v>
      </c>
      <c r="V37" s="372">
        <v>4</v>
      </c>
      <c r="W37" s="374">
        <f>V37/D37</f>
        <v>7.1556350626118065E-2</v>
      </c>
      <c r="X37" s="366">
        <f>O37-(Q37+R37+T37+U37-V37)</f>
        <v>6.8999999999999986</v>
      </c>
      <c r="Y37" s="367"/>
      <c r="Z37" s="366"/>
      <c r="AA37" s="366"/>
      <c r="AB37" s="366"/>
      <c r="AC37" s="366">
        <v>0</v>
      </c>
      <c r="AD37" s="302">
        <f>AC37/D37</f>
        <v>0</v>
      </c>
      <c r="AE37" s="278"/>
      <c r="AF37" s="278"/>
      <c r="AG37" s="326">
        <v>22.9</v>
      </c>
      <c r="AH37" s="295">
        <f>AG37/C37</f>
        <v>4.6057924376508443E-2</v>
      </c>
      <c r="AI37" s="295">
        <f>(AG37-AN37)/C37</f>
        <v>4.4650040225261464E-2</v>
      </c>
      <c r="AJ37" s="357">
        <f>AG37-(AK37+AL37+AM37+AN37)</f>
        <v>0</v>
      </c>
      <c r="AK37" s="288">
        <v>20.8</v>
      </c>
      <c r="AL37" s="288">
        <v>1.3</v>
      </c>
      <c r="AM37" s="290">
        <v>0.1</v>
      </c>
      <c r="AN37" s="288">
        <v>0.7</v>
      </c>
      <c r="AO37" s="372">
        <v>1.5</v>
      </c>
      <c r="AP37" s="333">
        <v>20.738499999999998</v>
      </c>
      <c r="AQ37" s="333"/>
      <c r="AR37" s="333"/>
      <c r="AS37" s="333"/>
      <c r="AT37" s="361">
        <f>(O37-AG37)/C37</f>
        <v>6.637168141592921E-2</v>
      </c>
      <c r="AU37" s="305">
        <v>0.52</v>
      </c>
      <c r="AV37" s="359">
        <f>(AK37+AL37)/(G37+L37-T37)</f>
        <v>0.39534883720930231</v>
      </c>
      <c r="AW37" s="353">
        <f>(AK37+AL37)/(G37+L37-T37-AE37)</f>
        <v>0.39534883720930231</v>
      </c>
      <c r="AX37" s="302">
        <f>(AG37-AN37-AM37)/(G37+L37-T37+V37)</f>
        <v>0.36894824707846402</v>
      </c>
      <c r="AY37" s="359">
        <f>(AG37-AN37-AM37+AO37)/(G37+L37-T37+AO37)</f>
        <v>0.41114982578397202</v>
      </c>
      <c r="AZ37" s="353">
        <f>(AG37-AN37-AM37+AO37)/(G37+L37-T37+AO37-AC37)</f>
        <v>0.41114982578397202</v>
      </c>
      <c r="BA37" s="302">
        <f>(AG37-AN37)/Q37</f>
        <v>0.47234042553191485</v>
      </c>
      <c r="BB37" s="302">
        <f>(AG37-AN37)/(Q37+R37)</f>
        <v>0.44311377245508982</v>
      </c>
      <c r="BC37" s="358">
        <f>D37</f>
        <v>55.9</v>
      </c>
      <c r="BD37" s="357">
        <f>BC37-(BE37+BF37+BG37)</f>
        <v>-0.10000000000000142</v>
      </c>
      <c r="BE37" s="356">
        <f>AG37</f>
        <v>22.9</v>
      </c>
      <c r="BF37" s="314">
        <v>13.9</v>
      </c>
      <c r="BG37" s="314">
        <v>19.2</v>
      </c>
      <c r="BH37" s="302">
        <f>BG37/D37</f>
        <v>0.3434704830053667</v>
      </c>
      <c r="BI37" s="288">
        <v>18.2</v>
      </c>
      <c r="BJ37" s="288">
        <f>BG37-BI37</f>
        <v>1</v>
      </c>
      <c r="BK37" s="302">
        <f>BJ37/D37</f>
        <v>1.7889087656529516E-2</v>
      </c>
      <c r="BL37" s="302"/>
      <c r="BM37" s="302"/>
      <c r="BN37" s="302"/>
      <c r="BO37" s="302">
        <f>BJ37/I37</f>
        <v>0.30303030303030304</v>
      </c>
      <c r="BP37" s="294"/>
      <c r="BQ37" s="355">
        <f>L37</f>
        <v>4.0999999999999996</v>
      </c>
      <c r="BR37" s="442"/>
      <c r="BX37" s="273"/>
      <c r="CT37" s="277"/>
      <c r="CU37" s="275"/>
      <c r="CV37" s="318"/>
      <c r="CW37" s="273"/>
      <c r="DD37" s="273"/>
      <c r="DE37" s="273"/>
      <c r="DJ37" s="281"/>
      <c r="DU37" s="281"/>
      <c r="EF37" s="273"/>
      <c r="EP37" s="277"/>
      <c r="FA37" s="289"/>
      <c r="FB37" s="288"/>
      <c r="FC37" s="288"/>
      <c r="FD37" s="288"/>
      <c r="FE37" s="288"/>
      <c r="FF37" s="288"/>
      <c r="FG37" s="288"/>
      <c r="FH37" s="288"/>
      <c r="FI37" s="288"/>
      <c r="FJ37" s="288"/>
      <c r="FK37" s="288"/>
      <c r="FL37" s="301"/>
      <c r="FM37" s="288"/>
      <c r="FN37" s="288"/>
      <c r="FO37" s="288"/>
      <c r="FP37" s="288"/>
      <c r="FQ37" s="288"/>
      <c r="FR37" s="288"/>
      <c r="FS37" s="288"/>
      <c r="FT37" s="288"/>
      <c r="FU37" s="288"/>
    </row>
    <row r="38" spans="2:177">
      <c r="B38" s="288">
        <v>1962</v>
      </c>
      <c r="C38" s="344">
        <v>535.20000000000005</v>
      </c>
      <c r="D38" s="352">
        <v>64</v>
      </c>
      <c r="E38" s="361">
        <f>D38/C38</f>
        <v>0.11958146487294469</v>
      </c>
      <c r="F38" s="333">
        <f>D38-(G38+I38)</f>
        <v>0</v>
      </c>
      <c r="G38" s="342">
        <f>D38-I38</f>
        <v>60.2</v>
      </c>
      <c r="H38" s="302">
        <f>G38/C38</f>
        <v>0.1124813153961136</v>
      </c>
      <c r="I38" s="292">
        <v>3.8</v>
      </c>
      <c r="J38" s="343">
        <f>I38/C38</f>
        <v>7.1001494768310903E-3</v>
      </c>
      <c r="K38" s="361">
        <f>I38/D38</f>
        <v>5.9374999999999997E-2</v>
      </c>
      <c r="L38" s="371">
        <v>4.5</v>
      </c>
      <c r="M38" s="343">
        <f>L38/C38</f>
        <v>8.4080717488789238E-3</v>
      </c>
      <c r="N38" s="370">
        <f>L38/D38</f>
        <v>7.03125E-2</v>
      </c>
      <c r="O38" s="352">
        <f>D38</f>
        <v>64</v>
      </c>
      <c r="P38" s="366">
        <f>O38-(Q38+R38+T38+U38+X38-V38)</f>
        <v>0</v>
      </c>
      <c r="Q38" s="278">
        <v>50.8</v>
      </c>
      <c r="R38" s="376">
        <v>3.6</v>
      </c>
      <c r="S38" s="374">
        <f>R38/D38</f>
        <v>5.6250000000000001E-2</v>
      </c>
      <c r="T38" s="292">
        <v>0.9</v>
      </c>
      <c r="U38" s="292">
        <v>4.8</v>
      </c>
      <c r="V38" s="372">
        <v>3.4</v>
      </c>
      <c r="W38" s="374">
        <f>V38/D38</f>
        <v>5.3124999999999999E-2</v>
      </c>
      <c r="X38" s="366">
        <f>O38-(Q38+R38+T38+U38-V38)</f>
        <v>7.3000000000000043</v>
      </c>
      <c r="Y38" s="367"/>
      <c r="Z38" s="366"/>
      <c r="AA38" s="366"/>
      <c r="AB38" s="366"/>
      <c r="AC38" s="366">
        <v>0</v>
      </c>
      <c r="AD38" s="302">
        <f>AC38/D38</f>
        <v>0</v>
      </c>
      <c r="AE38" s="278"/>
      <c r="AF38" s="278"/>
      <c r="AG38" s="326">
        <v>24.1</v>
      </c>
      <c r="AH38" s="295">
        <f>AG38/C38</f>
        <v>4.5029895366218237E-2</v>
      </c>
      <c r="AI38" s="295">
        <f>(AG38-AN38)/C38</f>
        <v>4.3535127055306426E-2</v>
      </c>
      <c r="AJ38" s="357">
        <f>AG38-(AK38+AL38+AM38+AN38)</f>
        <v>0.10000000000000142</v>
      </c>
      <c r="AK38" s="288">
        <v>21.599999999999998</v>
      </c>
      <c r="AL38" s="288">
        <v>1.5</v>
      </c>
      <c r="AM38" s="290">
        <v>0.1</v>
      </c>
      <c r="AN38" s="288">
        <v>0.8</v>
      </c>
      <c r="AO38" s="372">
        <v>1.6</v>
      </c>
      <c r="AP38" s="333">
        <v>21.050999999999998</v>
      </c>
      <c r="AQ38" s="333"/>
      <c r="AR38" s="333"/>
      <c r="AS38" s="333"/>
      <c r="AT38" s="361">
        <f>(O38-AG38)/C38</f>
        <v>7.4551569506726451E-2</v>
      </c>
      <c r="AU38" s="305">
        <v>0.52</v>
      </c>
      <c r="AV38" s="359">
        <f>(AK38+AL38)/(G38+L38-T38)</f>
        <v>0.36206896551724133</v>
      </c>
      <c r="AW38" s="353">
        <f>(AK38+AL38)/(G38+L38-T38-AE38)</f>
        <v>0.36206896551724133</v>
      </c>
      <c r="AX38" s="302">
        <f>(AG38-AN38-AM38)/(G38+L38-T38+V38)</f>
        <v>0.34523809523809523</v>
      </c>
      <c r="AY38" s="359">
        <f>(AG38-AN38-AM38+AO38)/(G38+L38-T38+AO38)</f>
        <v>0.37920489296636084</v>
      </c>
      <c r="AZ38" s="353">
        <f>(AG38-AN38-AM38+AO38)/(G38+L38-T38+AO38-AC38)</f>
        <v>0.37920489296636084</v>
      </c>
      <c r="BA38" s="302">
        <f>(AG38-AN38)/Q38</f>
        <v>0.45866141732283466</v>
      </c>
      <c r="BB38" s="302">
        <f>(AG38-AN38)/(Q38+R38)</f>
        <v>0.4283088235294118</v>
      </c>
      <c r="BC38" s="358">
        <f>D38</f>
        <v>64</v>
      </c>
      <c r="BD38" s="357">
        <f>BC38-(BE38+BF38+BG38)</f>
        <v>0</v>
      </c>
      <c r="BE38" s="356">
        <f>AG38</f>
        <v>24.1</v>
      </c>
      <c r="BF38" s="314">
        <v>15</v>
      </c>
      <c r="BG38" s="314">
        <v>24.9</v>
      </c>
      <c r="BH38" s="302">
        <f>BG38/D38</f>
        <v>0.38906249999999998</v>
      </c>
      <c r="BI38" s="288">
        <v>23.8</v>
      </c>
      <c r="BJ38" s="288">
        <f>BG38-BI38</f>
        <v>1.0999999999999979</v>
      </c>
      <c r="BK38" s="302">
        <f>BJ38/D38</f>
        <v>1.7187499999999967E-2</v>
      </c>
      <c r="BL38" s="302"/>
      <c r="BM38" s="302"/>
      <c r="BN38" s="302"/>
      <c r="BO38" s="302">
        <f>BJ38/I38</f>
        <v>0.28947368421052577</v>
      </c>
      <c r="BP38" s="294"/>
      <c r="BQ38" s="355">
        <f>L38</f>
        <v>4.5</v>
      </c>
      <c r="BR38" s="442"/>
      <c r="BX38" s="273"/>
      <c r="CT38" s="277"/>
      <c r="CU38" s="275"/>
      <c r="CV38" s="318"/>
      <c r="CW38" s="273"/>
      <c r="DD38" s="273"/>
      <c r="DE38" s="273"/>
      <c r="DJ38" s="281"/>
      <c r="DU38" s="281"/>
      <c r="EF38" s="273"/>
      <c r="EP38" s="277"/>
      <c r="FA38" s="289"/>
      <c r="FB38" s="288"/>
      <c r="FC38" s="288"/>
      <c r="FD38" s="288"/>
      <c r="FE38" s="288"/>
      <c r="FF38" s="288"/>
      <c r="FG38" s="288"/>
      <c r="FH38" s="288"/>
      <c r="FI38" s="288"/>
      <c r="FJ38" s="288"/>
      <c r="FK38" s="288"/>
      <c r="FL38" s="301"/>
      <c r="FM38" s="288"/>
      <c r="FN38" s="288"/>
      <c r="FO38" s="288"/>
      <c r="FP38" s="288"/>
      <c r="FQ38" s="288"/>
      <c r="FR38" s="288"/>
      <c r="FS38" s="288"/>
      <c r="FT38" s="288"/>
      <c r="FU38" s="288"/>
    </row>
    <row r="39" spans="2:177">
      <c r="B39" s="288">
        <v>1963</v>
      </c>
      <c r="C39" s="344">
        <v>566.6</v>
      </c>
      <c r="D39" s="352">
        <v>70.5</v>
      </c>
      <c r="E39" s="361">
        <f>D39/C39</f>
        <v>0.12442640310624779</v>
      </c>
      <c r="F39" s="333">
        <f>D39-(G39+I39)</f>
        <v>0</v>
      </c>
      <c r="G39" s="342">
        <f>D39-I39</f>
        <v>66.400000000000006</v>
      </c>
      <c r="H39" s="302">
        <f>G39/C39</f>
        <v>0.11719025767737382</v>
      </c>
      <c r="I39" s="292">
        <v>4.0999999999999996</v>
      </c>
      <c r="J39" s="343">
        <f>I39/C39</f>
        <v>7.2361454288739843E-3</v>
      </c>
      <c r="K39" s="361">
        <f>I39/D39</f>
        <v>5.815602836879432E-2</v>
      </c>
      <c r="L39" s="371">
        <v>4.8000000000000007</v>
      </c>
      <c r="M39" s="343">
        <f>L39/C39</f>
        <v>8.4715848923402771E-3</v>
      </c>
      <c r="N39" s="370">
        <f>L39/D39</f>
        <v>6.8085106382978738E-2</v>
      </c>
      <c r="O39" s="352">
        <f>D39</f>
        <v>70.5</v>
      </c>
      <c r="P39" s="366">
        <f>O39-(Q39+R39+T39+U39+X39-V39)</f>
        <v>0</v>
      </c>
      <c r="Q39" s="278">
        <v>55.7</v>
      </c>
      <c r="R39" s="376">
        <v>4.2</v>
      </c>
      <c r="S39" s="374">
        <f>R39/D39</f>
        <v>5.9574468085106386E-2</v>
      </c>
      <c r="T39" s="292">
        <v>1</v>
      </c>
      <c r="U39" s="292">
        <v>6.1</v>
      </c>
      <c r="V39" s="372">
        <v>3.6</v>
      </c>
      <c r="W39" s="374">
        <f>V39/D39</f>
        <v>5.1063829787234047E-2</v>
      </c>
      <c r="X39" s="366">
        <f>O39-(Q39+R39+T39+U39-V39)</f>
        <v>7.1000000000000014</v>
      </c>
      <c r="Y39" s="367"/>
      <c r="Z39" s="366"/>
      <c r="AA39" s="366"/>
      <c r="AB39" s="366"/>
      <c r="AC39" s="366">
        <v>0</v>
      </c>
      <c r="AD39" s="302">
        <f>AC39/D39</f>
        <v>0</v>
      </c>
      <c r="AE39" s="278"/>
      <c r="AF39" s="278"/>
      <c r="AG39" s="326">
        <v>26.4</v>
      </c>
      <c r="AH39" s="295">
        <f>AG39/C39</f>
        <v>4.6593716907871507E-2</v>
      </c>
      <c r="AI39" s="295">
        <f>(AG39-AN39)/C39</f>
        <v>4.5005294740557714E-2</v>
      </c>
      <c r="AJ39" s="357">
        <f>AG39-(AK39+AL39+AM39+AN39)</f>
        <v>0</v>
      </c>
      <c r="AK39" s="288">
        <v>23.7</v>
      </c>
      <c r="AL39" s="288">
        <v>1.7</v>
      </c>
      <c r="AM39" s="290">
        <v>0.1</v>
      </c>
      <c r="AN39" s="288">
        <v>0.9</v>
      </c>
      <c r="AO39" s="372">
        <v>1.9</v>
      </c>
      <c r="AP39" s="333">
        <v>22.536000000000001</v>
      </c>
      <c r="AQ39" s="333"/>
      <c r="AR39" s="333"/>
      <c r="AS39" s="333"/>
      <c r="AT39" s="361">
        <f>(O39-AG39)/C39</f>
        <v>7.7832686198376286E-2</v>
      </c>
      <c r="AU39" s="305">
        <v>0.52</v>
      </c>
      <c r="AV39" s="359">
        <f>(AK39+AL39)/(G39+L39-T39)</f>
        <v>0.36182336182336178</v>
      </c>
      <c r="AW39" s="353">
        <f>(AK39+AL39)/(G39+L39-T39-AE39)</f>
        <v>0.36182336182336178</v>
      </c>
      <c r="AX39" s="302">
        <f>(AG39-AN39-AM39)/(G39+L39-T39+V39)</f>
        <v>0.34417344173441733</v>
      </c>
      <c r="AY39" s="359">
        <f>(AG39-AN39-AM39+AO39)/(G39+L39-T39+AO39)</f>
        <v>0.37864077669902907</v>
      </c>
      <c r="AZ39" s="353">
        <f>(AG39-AN39-AM39+AO39)/(G39+L39-T39+AO39-AC39)</f>
        <v>0.37864077669902907</v>
      </c>
      <c r="BA39" s="302">
        <f>(AG39-AN39)/Q39</f>
        <v>0.45780969479353678</v>
      </c>
      <c r="BB39" s="302">
        <f>(AG39-AN39)/(Q39+R39)</f>
        <v>0.42570951585976624</v>
      </c>
      <c r="BC39" s="358">
        <f>D39</f>
        <v>70.5</v>
      </c>
      <c r="BD39" s="357">
        <f>BC39-(BE39+BF39+BG39)</f>
        <v>0</v>
      </c>
      <c r="BE39" s="356">
        <f>AG39</f>
        <v>26.4</v>
      </c>
      <c r="BF39" s="314">
        <v>16.2</v>
      </c>
      <c r="BG39" s="314">
        <v>27.9</v>
      </c>
      <c r="BH39" s="302">
        <f>BG39/D39</f>
        <v>0.39574468085106379</v>
      </c>
      <c r="BI39" s="288">
        <v>26.5</v>
      </c>
      <c r="BJ39" s="288">
        <f>BG39-BI39</f>
        <v>1.3999999999999986</v>
      </c>
      <c r="BK39" s="302">
        <f>BJ39/D39</f>
        <v>1.9858156028368774E-2</v>
      </c>
      <c r="BL39" s="302"/>
      <c r="BM39" s="302"/>
      <c r="BN39" s="302"/>
      <c r="BO39" s="302">
        <f>BJ39/I39</f>
        <v>0.34146341463414603</v>
      </c>
      <c r="BP39" s="294"/>
      <c r="BQ39" s="355">
        <f>L39</f>
        <v>4.8000000000000007</v>
      </c>
      <c r="BR39" s="442"/>
      <c r="BX39" s="273"/>
      <c r="CT39" s="281"/>
      <c r="CU39" s="275"/>
      <c r="CV39" s="318"/>
      <c r="CW39" s="273"/>
      <c r="DD39" s="273"/>
      <c r="DE39" s="273"/>
      <c r="DJ39" s="281"/>
      <c r="DU39" s="281"/>
      <c r="EF39" s="273"/>
      <c r="EP39" s="277"/>
      <c r="FA39" s="289"/>
      <c r="FB39" s="288"/>
      <c r="FC39" s="288"/>
      <c r="FD39" s="288"/>
      <c r="FE39" s="288"/>
      <c r="FF39" s="288"/>
      <c r="FG39" s="288"/>
      <c r="FH39" s="288"/>
      <c r="FI39" s="288"/>
      <c r="FJ39" s="288"/>
      <c r="FK39" s="288"/>
      <c r="FL39" s="301"/>
      <c r="FM39" s="288"/>
      <c r="FN39" s="288"/>
      <c r="FO39" s="288"/>
      <c r="FP39" s="288"/>
      <c r="FQ39" s="288"/>
      <c r="FR39" s="288"/>
      <c r="FS39" s="288"/>
      <c r="FT39" s="288"/>
      <c r="FU39" s="288"/>
    </row>
    <row r="40" spans="2:177">
      <c r="B40" s="288">
        <v>1964</v>
      </c>
      <c r="C40" s="344">
        <v>608.29999999999995</v>
      </c>
      <c r="D40" s="352">
        <v>77.7</v>
      </c>
      <c r="E40" s="361">
        <f>D40/C40</f>
        <v>0.12773302646720369</v>
      </c>
      <c r="F40" s="333">
        <f>D40-(G40+I40)</f>
        <v>0</v>
      </c>
      <c r="G40" s="342">
        <f>D40-I40</f>
        <v>73.2</v>
      </c>
      <c r="H40" s="302">
        <f>G40/C40</f>
        <v>0.12033536084168997</v>
      </c>
      <c r="I40" s="292">
        <v>4.5</v>
      </c>
      <c r="J40" s="343">
        <f>I40/C40</f>
        <v>7.3976656255137271E-3</v>
      </c>
      <c r="K40" s="361">
        <f>I40/D40</f>
        <v>5.791505791505791E-2</v>
      </c>
      <c r="L40" s="371">
        <v>5.4</v>
      </c>
      <c r="M40" s="343">
        <f>L40/C40</f>
        <v>8.8771987506164728E-3</v>
      </c>
      <c r="N40" s="370">
        <f>L40/D40</f>
        <v>6.9498069498069498E-2</v>
      </c>
      <c r="O40" s="352">
        <f>D40</f>
        <v>77.7</v>
      </c>
      <c r="P40" s="366">
        <f>O40-(Q40+R40+T40+U40+X40-V40)</f>
        <v>0</v>
      </c>
      <c r="Q40" s="278">
        <v>63.1</v>
      </c>
      <c r="R40" s="376">
        <v>3.8</v>
      </c>
      <c r="S40" s="374">
        <f>R40/D40</f>
        <v>4.8906048906048903E-2</v>
      </c>
      <c r="T40" s="292">
        <v>1.1000000000000001</v>
      </c>
      <c r="U40" s="292">
        <v>6.3</v>
      </c>
      <c r="V40" s="372">
        <v>3.9</v>
      </c>
      <c r="W40" s="374">
        <f>V40/D40</f>
        <v>5.019305019305019E-2</v>
      </c>
      <c r="X40" s="366">
        <f>O40-(Q40+R40+T40+U40-V40)</f>
        <v>7.3000000000000114</v>
      </c>
      <c r="Y40" s="367"/>
      <c r="Z40" s="366"/>
      <c r="AA40" s="366"/>
      <c r="AB40" s="366"/>
      <c r="AC40" s="366">
        <v>0</v>
      </c>
      <c r="AD40" s="302">
        <f>AC40/D40</f>
        <v>0</v>
      </c>
      <c r="AE40" s="278"/>
      <c r="AF40" s="278">
        <v>0</v>
      </c>
      <c r="AG40" s="326">
        <v>28.2</v>
      </c>
      <c r="AH40" s="295">
        <f>AG40/C40</f>
        <v>4.6358704586552689E-2</v>
      </c>
      <c r="AI40" s="295">
        <f>(AG40-AN40)/C40</f>
        <v>4.3728423475258918E-2</v>
      </c>
      <c r="AJ40" s="357">
        <f>AG40-(AK40+AL40+AM40+AN40)</f>
        <v>0</v>
      </c>
      <c r="AK40" s="288">
        <v>24.599999999999998</v>
      </c>
      <c r="AL40" s="288">
        <v>1.8</v>
      </c>
      <c r="AM40" s="290">
        <v>0.2</v>
      </c>
      <c r="AN40" s="288">
        <v>1.6</v>
      </c>
      <c r="AO40" s="372">
        <v>2.2999999999999998</v>
      </c>
      <c r="AP40" s="333">
        <v>24.477</v>
      </c>
      <c r="AQ40" s="333"/>
      <c r="AR40" s="333"/>
      <c r="AS40" s="333"/>
      <c r="AT40" s="361">
        <f>(O40-AG40)/C40</f>
        <v>8.1374321880650996E-2</v>
      </c>
      <c r="AU40" s="305">
        <v>0.5</v>
      </c>
      <c r="AV40" s="359">
        <f>(AK40+AL40)/(G40+L40-T40)</f>
        <v>0.34064516129032252</v>
      </c>
      <c r="AW40" s="353">
        <f>(AK40+AL40)/(G40+L40-T40-AE40)</f>
        <v>0.34064516129032252</v>
      </c>
      <c r="AX40" s="302">
        <f>(AG40-AN40-AM40)/(G40+L40-T40+V40)</f>
        <v>0.32432432432432423</v>
      </c>
      <c r="AY40" s="359">
        <f>(AG40-AN40-AM40+AO40)/(G40+L40-T40+AO40)</f>
        <v>0.3596491228070175</v>
      </c>
      <c r="AZ40" s="353">
        <f>(AG40-AN40-AM40+AO40)/(G40+L40-T40+AO40-AC40)</f>
        <v>0.3596491228070175</v>
      </c>
      <c r="BA40" s="302">
        <f>(AG40-AN40)/Q40</f>
        <v>0.42155309033280502</v>
      </c>
      <c r="BB40" s="302">
        <f>(AG40-AN40)/(Q40+R40)</f>
        <v>0.39760837070254101</v>
      </c>
      <c r="BC40" s="358">
        <f>D40</f>
        <v>77.7</v>
      </c>
      <c r="BD40" s="357">
        <f>BC40-(BE40+BF40+BG40)</f>
        <v>-9.9999999999994316E-2</v>
      </c>
      <c r="BE40" s="356">
        <f>AG40</f>
        <v>28.2</v>
      </c>
      <c r="BF40" s="314">
        <v>18.2</v>
      </c>
      <c r="BG40" s="314">
        <v>31.4</v>
      </c>
      <c r="BH40" s="302">
        <f>BG40/D40</f>
        <v>0.40411840411840411</v>
      </c>
      <c r="BI40" s="288">
        <v>30.1</v>
      </c>
      <c r="BJ40" s="288">
        <f>BG40-BI40</f>
        <v>1.2999999999999972</v>
      </c>
      <c r="BK40" s="302">
        <f>BJ40/D40</f>
        <v>1.6731016731016693E-2</v>
      </c>
      <c r="BL40" s="302"/>
      <c r="BM40" s="302"/>
      <c r="BN40" s="302"/>
      <c r="BO40" s="302">
        <f>BJ40/I40</f>
        <v>0.28888888888888825</v>
      </c>
      <c r="BP40" s="294"/>
      <c r="BQ40" s="355">
        <f>L40</f>
        <v>5.4</v>
      </c>
      <c r="BR40" s="442"/>
      <c r="BX40" s="273"/>
      <c r="CT40" s="281"/>
      <c r="CU40" s="275"/>
      <c r="CV40" s="318"/>
      <c r="CW40" s="273"/>
      <c r="DD40" s="273"/>
      <c r="DE40" s="273"/>
      <c r="DJ40" s="281"/>
      <c r="DU40" s="281"/>
      <c r="EF40" s="273"/>
      <c r="EP40" s="277"/>
      <c r="FA40" s="289"/>
      <c r="FB40" s="288"/>
      <c r="FC40" s="288"/>
      <c r="FD40" s="288"/>
      <c r="FE40" s="288"/>
      <c r="FF40" s="288"/>
      <c r="FG40" s="288"/>
      <c r="FH40" s="288"/>
      <c r="FI40" s="288"/>
      <c r="FJ40" s="288"/>
      <c r="FK40" s="288"/>
      <c r="FL40" s="301"/>
      <c r="FM40" s="288"/>
      <c r="FN40" s="288"/>
      <c r="FO40" s="288"/>
      <c r="FP40" s="288"/>
      <c r="FQ40" s="288"/>
      <c r="FR40" s="288"/>
      <c r="FS40" s="288"/>
      <c r="FT40" s="288"/>
      <c r="FU40" s="288"/>
    </row>
    <row r="41" spans="2:177">
      <c r="B41" s="288">
        <v>1965</v>
      </c>
      <c r="C41" s="344">
        <v>660.3</v>
      </c>
      <c r="D41" s="352">
        <v>89.3</v>
      </c>
      <c r="E41" s="361">
        <f>D41/C41</f>
        <v>0.13524155686809028</v>
      </c>
      <c r="F41" s="333">
        <f>D41-(G41+I41)</f>
        <v>0</v>
      </c>
      <c r="G41" s="342">
        <f>D41-I41</f>
        <v>84.6</v>
      </c>
      <c r="H41" s="302">
        <f>G41/C41</f>
        <v>0.12812358019082234</v>
      </c>
      <c r="I41" s="292">
        <v>4.7</v>
      </c>
      <c r="J41" s="343">
        <f>I41/C41</f>
        <v>7.1179766772679091E-3</v>
      </c>
      <c r="K41" s="361">
        <f>I41/D41</f>
        <v>5.2631578947368425E-2</v>
      </c>
      <c r="L41" s="371">
        <v>5.7</v>
      </c>
      <c r="M41" s="343">
        <f>L41/C41</f>
        <v>8.632439800090869E-3</v>
      </c>
      <c r="N41" s="370">
        <f>L41/D41</f>
        <v>6.3829787234042562E-2</v>
      </c>
      <c r="O41" s="352">
        <f>D41</f>
        <v>89.3</v>
      </c>
      <c r="P41" s="366">
        <f>O41-(Q41+R41+T41+U41+X41-V41)</f>
        <v>0</v>
      </c>
      <c r="Q41" s="278">
        <v>74.7</v>
      </c>
      <c r="R41" s="376">
        <v>3.9</v>
      </c>
      <c r="S41" s="374">
        <f>R41/D41</f>
        <v>4.3673012318029114E-2</v>
      </c>
      <c r="T41" s="292">
        <v>1.3</v>
      </c>
      <c r="U41" s="292">
        <v>6.2</v>
      </c>
      <c r="V41" s="372">
        <v>5.2</v>
      </c>
      <c r="W41" s="374">
        <f>V41/D41</f>
        <v>5.823068309070549E-2</v>
      </c>
      <c r="X41" s="366">
        <f>O41-(Q41+R41+T41+U41-V41)</f>
        <v>8.3999999999999915</v>
      </c>
      <c r="Y41" s="367"/>
      <c r="Z41" s="366"/>
      <c r="AA41" s="366"/>
      <c r="AB41" s="366"/>
      <c r="AC41" s="366">
        <f>AC42*AF41/AF42</f>
        <v>0</v>
      </c>
      <c r="AD41" s="302">
        <f>AC41/D41</f>
        <v>0</v>
      </c>
      <c r="AE41" s="278"/>
      <c r="AF41" s="278">
        <v>0</v>
      </c>
      <c r="AG41" s="326">
        <v>31.1</v>
      </c>
      <c r="AH41" s="295">
        <f>AG41/C41</f>
        <v>4.7099803119794038E-2</v>
      </c>
      <c r="AI41" s="295">
        <f>(AG41-AN41)/C41</f>
        <v>4.5131001060124187E-2</v>
      </c>
      <c r="AJ41" s="357">
        <f>AG41-(AK41+AL41+AM41+AN41)</f>
        <v>-9.9999999999997868E-2</v>
      </c>
      <c r="AK41" s="288">
        <v>27.7</v>
      </c>
      <c r="AL41" s="288">
        <v>2</v>
      </c>
      <c r="AM41" s="290">
        <v>0.2</v>
      </c>
      <c r="AN41" s="288">
        <v>1.3</v>
      </c>
      <c r="AO41" s="372">
        <v>2.6</v>
      </c>
      <c r="AP41" s="333">
        <v>27.766999999999999</v>
      </c>
      <c r="AQ41" s="333"/>
      <c r="AR41" s="333"/>
      <c r="AS41" s="333"/>
      <c r="AT41" s="361">
        <f>(O41-AG41)/C41</f>
        <v>8.8141753748296234E-2</v>
      </c>
      <c r="AU41" s="305">
        <v>0.48</v>
      </c>
      <c r="AV41" s="359">
        <f>(AK41+AL41)/(G41+L41-T41)</f>
        <v>0.33370786516853934</v>
      </c>
      <c r="AW41" s="353">
        <f>(AK41+AL41)/(G41+L41-T41-AE41)</f>
        <v>0.33370786516853934</v>
      </c>
      <c r="AX41" s="302">
        <f>(AG41-AN41-AM41)/(G41+L41-T41+V41)</f>
        <v>0.31422505307855625</v>
      </c>
      <c r="AY41" s="359">
        <f>(AG41-AN41-AM41+AO41)/(G41+L41-T41+AO41)</f>
        <v>0.35152838427947602</v>
      </c>
      <c r="AZ41" s="353">
        <f>(AG41-AN41-AM41+AO41)/(G41+L41-T41+AO41-AC41)</f>
        <v>0.35152838427947602</v>
      </c>
      <c r="BA41" s="302">
        <f>(AG41-AN41)/Q41</f>
        <v>0.39892904953145919</v>
      </c>
      <c r="BB41" s="302">
        <f>(AG41-AN41)/(Q41+R41)</f>
        <v>0.37913486005089053</v>
      </c>
      <c r="BC41" s="358">
        <f>D41</f>
        <v>89.3</v>
      </c>
      <c r="BD41" s="357">
        <f>BC41-(BE41+BF41+BG41)</f>
        <v>0</v>
      </c>
      <c r="BE41" s="356">
        <f>AG41</f>
        <v>31.1</v>
      </c>
      <c r="BF41" s="314">
        <v>20.2</v>
      </c>
      <c r="BG41" s="314">
        <v>38</v>
      </c>
      <c r="BH41" s="302">
        <f>BG41/D41</f>
        <v>0.42553191489361702</v>
      </c>
      <c r="BI41" s="288">
        <v>36.6</v>
      </c>
      <c r="BJ41" s="288">
        <f>BG41-BI41</f>
        <v>1.3999999999999986</v>
      </c>
      <c r="BK41" s="302">
        <f>BJ41/D41</f>
        <v>1.5677491601343768E-2</v>
      </c>
      <c r="BL41" s="302"/>
      <c r="BM41" s="302"/>
      <c r="BN41" s="302"/>
      <c r="BO41" s="302">
        <f>BJ41/I41</f>
        <v>0.29787234042553162</v>
      </c>
      <c r="BP41" s="294"/>
      <c r="BQ41" s="355">
        <f>L41</f>
        <v>5.7</v>
      </c>
      <c r="BR41" s="442"/>
      <c r="BX41" s="273"/>
      <c r="CT41" s="281"/>
      <c r="CU41" s="275"/>
      <c r="CV41" s="318"/>
      <c r="CW41" s="273"/>
      <c r="DD41" s="273"/>
      <c r="DE41" s="273"/>
      <c r="DJ41" s="281"/>
      <c r="DU41" s="281"/>
      <c r="EF41" s="273"/>
      <c r="EP41" s="277"/>
      <c r="FA41" s="289"/>
      <c r="FB41" s="288"/>
      <c r="FC41" s="288"/>
      <c r="FD41" s="288"/>
      <c r="FE41" s="288"/>
      <c r="FF41" s="288"/>
      <c r="FG41" s="288"/>
      <c r="FH41" s="288"/>
      <c r="FI41" s="288"/>
      <c r="FJ41" s="288"/>
      <c r="FK41" s="288"/>
      <c r="FL41" s="301"/>
      <c r="FM41" s="288"/>
      <c r="FN41" s="288"/>
      <c r="FO41" s="288"/>
      <c r="FP41" s="288"/>
      <c r="FQ41" s="288"/>
      <c r="FR41" s="288"/>
      <c r="FS41" s="288"/>
      <c r="FT41" s="288"/>
      <c r="FU41" s="288"/>
    </row>
    <row r="42" spans="2:177">
      <c r="B42" s="288">
        <v>1966</v>
      </c>
      <c r="C42" s="344">
        <v>719.7</v>
      </c>
      <c r="D42" s="352">
        <v>96.1</v>
      </c>
      <c r="E42" s="361">
        <f>D42/C42</f>
        <v>0.13352785883006807</v>
      </c>
      <c r="F42" s="333">
        <f>D42-(G42+I42)</f>
        <v>0</v>
      </c>
      <c r="G42" s="342">
        <f>D42-I42</f>
        <v>91.6</v>
      </c>
      <c r="H42" s="302">
        <f>G42/C42</f>
        <v>0.12727525357787967</v>
      </c>
      <c r="I42" s="292">
        <v>4.5</v>
      </c>
      <c r="J42" s="343">
        <f>I42/C42</f>
        <v>6.2526052521884113E-3</v>
      </c>
      <c r="K42" s="361">
        <f>I42/D42</f>
        <v>4.6826222684703434E-2</v>
      </c>
      <c r="L42" s="371">
        <v>5.6</v>
      </c>
      <c r="M42" s="343">
        <f>L42/C42</f>
        <v>7.7810198693900228E-3</v>
      </c>
      <c r="N42" s="370">
        <f>L42/D42</f>
        <v>5.8272632674297609E-2</v>
      </c>
      <c r="O42" s="352">
        <f>D42</f>
        <v>96.1</v>
      </c>
      <c r="P42" s="366">
        <f>O42-(Q42+R42+T42+U42+X42-V42)</f>
        <v>0</v>
      </c>
      <c r="Q42" s="278">
        <v>81.3</v>
      </c>
      <c r="R42" s="376">
        <v>4.3</v>
      </c>
      <c r="S42" s="374">
        <f>R42/D42</f>
        <v>4.4745057232049947E-2</v>
      </c>
      <c r="T42" s="292">
        <v>1.7</v>
      </c>
      <c r="U42" s="292">
        <v>5.6999999999999993</v>
      </c>
      <c r="V42" s="372">
        <v>5.4</v>
      </c>
      <c r="W42" s="374">
        <f>V42/D42</f>
        <v>5.6191467221644129E-2</v>
      </c>
      <c r="X42" s="366">
        <f>O42-(Q42+R42+T42+U42-V42)</f>
        <v>8.5</v>
      </c>
      <c r="Y42" s="367"/>
      <c r="Z42" s="366"/>
      <c r="AA42" s="366"/>
      <c r="AB42" s="366"/>
      <c r="AC42" s="366">
        <f>AC43*AF42/AF43</f>
        <v>1.4492672896783683</v>
      </c>
      <c r="AD42" s="302">
        <f>AC42/D42</f>
        <v>1.5080825074696861E-2</v>
      </c>
      <c r="AE42" s="278"/>
      <c r="AF42" s="278">
        <v>1.5810475020199974</v>
      </c>
      <c r="AG42" s="326">
        <v>33.9</v>
      </c>
      <c r="AH42" s="295">
        <f>AG42/C42</f>
        <v>4.7102959566486031E-2</v>
      </c>
      <c r="AI42" s="295">
        <f>(AG42-AN42)/C42</f>
        <v>4.4879811032374595E-2</v>
      </c>
      <c r="AJ42" s="357">
        <f>AG42-(AK42+AL42+AM42+AN42)</f>
        <v>0.19999999999999574</v>
      </c>
      <c r="AK42" s="288">
        <v>29.700000000000003</v>
      </c>
      <c r="AL42" s="288">
        <v>2.2000000000000002</v>
      </c>
      <c r="AM42" s="290">
        <v>0.2</v>
      </c>
      <c r="AN42" s="288">
        <v>1.6</v>
      </c>
      <c r="AO42" s="372">
        <v>2.9</v>
      </c>
      <c r="AP42" s="333">
        <v>32.021999999999998</v>
      </c>
      <c r="AQ42" s="333"/>
      <c r="AR42" s="333"/>
      <c r="AS42" s="333"/>
      <c r="AT42" s="361">
        <f>(O42-AG42)/C42</f>
        <v>8.6424899263582031E-2</v>
      </c>
      <c r="AU42" s="305">
        <v>0.48</v>
      </c>
      <c r="AV42" s="359">
        <f>(AK42+AL42)/(G42+L42-T42)</f>
        <v>0.3340314136125655</v>
      </c>
      <c r="AW42" s="353">
        <f>(AK42+AL42)/(G42+L42-T42-AE42)</f>
        <v>0.3340314136125655</v>
      </c>
      <c r="AX42" s="302">
        <f>(AG42-AN42-AM42)/(G42+L42-T42+V42)</f>
        <v>0.3181367690782953</v>
      </c>
      <c r="AY42" s="359">
        <f>(AG42-AN42-AM42+AO42)/(G42+L42-T42+AO42)</f>
        <v>0.35569105691056907</v>
      </c>
      <c r="AZ42" s="353">
        <f>(AG42-AN42-AM42+AO42)/(G42+L42-T42+AO42-AC42)</f>
        <v>0.36100810196634858</v>
      </c>
      <c r="BA42" s="302">
        <f>(AG42-AN42)/Q42</f>
        <v>0.3972939729397294</v>
      </c>
      <c r="BB42" s="302">
        <f>(AG42-AN42)/(Q42+R42)</f>
        <v>0.37733644859813081</v>
      </c>
      <c r="BC42" s="358">
        <f>D42</f>
        <v>96.1</v>
      </c>
      <c r="BD42" s="357">
        <f>BC42-(BE42+BF42+BG42)</f>
        <v>-9.9999999999994316E-2</v>
      </c>
      <c r="BE42" s="356">
        <f>AG42</f>
        <v>33.9</v>
      </c>
      <c r="BF42" s="314">
        <v>20.7</v>
      </c>
      <c r="BG42" s="314">
        <v>41.6</v>
      </c>
      <c r="BH42" s="302">
        <f>BG42/D42</f>
        <v>0.43288241415192513</v>
      </c>
      <c r="BI42" s="288">
        <v>39.9</v>
      </c>
      <c r="BJ42" s="288">
        <f>BG42-BI42</f>
        <v>1.7000000000000028</v>
      </c>
      <c r="BK42" s="302">
        <f>BJ42/D42</f>
        <v>1.768990634755466E-2</v>
      </c>
      <c r="BL42" s="302"/>
      <c r="BM42" s="302"/>
      <c r="BN42" s="302"/>
      <c r="BO42" s="302">
        <f>BJ42/I42</f>
        <v>0.37777777777777843</v>
      </c>
      <c r="BP42" s="294"/>
      <c r="BQ42" s="355">
        <f>L42</f>
        <v>5.6</v>
      </c>
      <c r="BR42" s="442"/>
      <c r="BX42" s="273"/>
      <c r="CT42" s="281"/>
      <c r="CU42" s="275"/>
      <c r="CV42" s="318"/>
      <c r="CW42" s="273"/>
      <c r="DD42" s="273"/>
      <c r="DE42" s="273"/>
      <c r="DJ42" s="281"/>
      <c r="DU42" s="281"/>
      <c r="EF42" s="273"/>
      <c r="EP42" s="277"/>
      <c r="FA42" s="289"/>
      <c r="FB42" s="288"/>
      <c r="FC42" s="288"/>
      <c r="FD42" s="288"/>
      <c r="FE42" s="288"/>
      <c r="FF42" s="288"/>
      <c r="FG42" s="288"/>
      <c r="FH42" s="288"/>
      <c r="FI42" s="288"/>
      <c r="FJ42" s="288"/>
      <c r="FK42" s="288"/>
      <c r="FL42" s="301"/>
      <c r="FM42" s="288"/>
      <c r="FN42" s="288"/>
      <c r="FO42" s="288"/>
      <c r="FP42" s="288"/>
      <c r="FQ42" s="288"/>
      <c r="FR42" s="288"/>
      <c r="FS42" s="288"/>
      <c r="FT42" s="288"/>
      <c r="FU42" s="288"/>
    </row>
    <row r="43" spans="2:177">
      <c r="B43" s="288">
        <v>1967</v>
      </c>
      <c r="C43" s="344">
        <v>760.2</v>
      </c>
      <c r="D43" s="352">
        <v>93.9</v>
      </c>
      <c r="E43" s="361">
        <f>D43/C43</f>
        <v>0.12352012628255722</v>
      </c>
      <c r="F43" s="333">
        <f>D43-(G43+I43)</f>
        <v>0</v>
      </c>
      <c r="G43" s="342">
        <f>D43-I43</f>
        <v>89.100000000000009</v>
      </c>
      <c r="H43" s="302">
        <f>G43/C43</f>
        <v>0.11720599842146803</v>
      </c>
      <c r="I43" s="292">
        <v>4.8</v>
      </c>
      <c r="J43" s="343">
        <f>I43/C43</f>
        <v>6.3141278610891862E-3</v>
      </c>
      <c r="K43" s="361">
        <f>I43/D43</f>
        <v>5.1118210862619806E-2</v>
      </c>
      <c r="L43" s="371">
        <v>5.9</v>
      </c>
      <c r="M43" s="343">
        <f>L43/C43</f>
        <v>7.7611154959221261E-3</v>
      </c>
      <c r="N43" s="370">
        <f>L43/D43</f>
        <v>6.2832800851970183E-2</v>
      </c>
      <c r="O43" s="352">
        <f>D43</f>
        <v>93.9</v>
      </c>
      <c r="P43" s="366">
        <f>O43-(Q43+R43+T43+U43+X43-V43)</f>
        <v>0</v>
      </c>
      <c r="Q43" s="278">
        <v>79.3</v>
      </c>
      <c r="R43" s="376">
        <v>5</v>
      </c>
      <c r="S43" s="374">
        <f>R43/D43</f>
        <v>5.3248136315228962E-2</v>
      </c>
      <c r="T43" s="292">
        <v>2</v>
      </c>
      <c r="U43" s="292">
        <v>6.1999999999999993</v>
      </c>
      <c r="V43" s="372">
        <v>7.5</v>
      </c>
      <c r="W43" s="374">
        <f>V43/D43</f>
        <v>7.9872204472843447E-2</v>
      </c>
      <c r="X43" s="366">
        <f>O43-(Q43+R43+T43+U43-V43)</f>
        <v>8.9000000000000057</v>
      </c>
      <c r="Y43" s="367"/>
      <c r="Z43" s="366"/>
      <c r="AA43" s="366"/>
      <c r="AB43" s="366"/>
      <c r="AC43" s="366">
        <f>AC44*AF43/AF44</f>
        <v>1.397216151335279</v>
      </c>
      <c r="AD43" s="302">
        <f>AC43/D43</f>
        <v>1.4879831217628103E-2</v>
      </c>
      <c r="AE43" s="278"/>
      <c r="AF43" s="278">
        <v>1.5242634133699995</v>
      </c>
      <c r="AG43" s="326">
        <v>32.9</v>
      </c>
      <c r="AH43" s="295">
        <f>AG43/C43</f>
        <v>4.3278084714548797E-2</v>
      </c>
      <c r="AI43" s="295">
        <f>(AG43-AN43)/C43</f>
        <v>4.0778742436200999E-2</v>
      </c>
      <c r="AJ43" s="357">
        <f>AG43-(AK43+AL43+AM43+AN43)</f>
        <v>0.10000000000000142</v>
      </c>
      <c r="AK43" s="288">
        <v>28.099999999999998</v>
      </c>
      <c r="AL43" s="288">
        <v>2.6</v>
      </c>
      <c r="AM43" s="290">
        <v>0.2</v>
      </c>
      <c r="AN43" s="288">
        <v>1.9</v>
      </c>
      <c r="AO43" s="372">
        <v>3.2</v>
      </c>
      <c r="AP43" s="333">
        <v>31.318000000000001</v>
      </c>
      <c r="AQ43" s="333"/>
      <c r="AR43" s="333"/>
      <c r="AS43" s="333"/>
      <c r="AT43" s="361">
        <f>(O43-AG43)/C43</f>
        <v>8.0242041568008418E-2</v>
      </c>
      <c r="AU43" s="305">
        <v>0.48</v>
      </c>
      <c r="AV43" s="359">
        <f>(AK43+AL43)/(G43+L43-T43)</f>
        <v>0.33010752688172035</v>
      </c>
      <c r="AW43" s="353">
        <f>(AK43+AL43)/(G43+L43-T43-AE43)</f>
        <v>0.33010752688172035</v>
      </c>
      <c r="AX43" s="302">
        <f>(AG43-AN43-AM43)/(G43+L43-T43+V43)</f>
        <v>0.30646766169154227</v>
      </c>
      <c r="AY43" s="359">
        <f>(AG43-AN43-AM43+AO43)/(G43+L43-T43+AO43)</f>
        <v>0.35343035343035339</v>
      </c>
      <c r="AZ43" s="353">
        <f>(AG43-AN43-AM43+AO43)/(G43+L43-T43+AO43-AC43)</f>
        <v>0.35863925741120395</v>
      </c>
      <c r="BA43" s="302">
        <f>(AG43-AN43)/Q43</f>
        <v>0.39092055485498112</v>
      </c>
      <c r="BB43" s="302">
        <f>(AG43-AN43)/(Q43+R43)</f>
        <v>0.36773428232502969</v>
      </c>
      <c r="BC43" s="358">
        <f>D43</f>
        <v>93.9</v>
      </c>
      <c r="BD43" s="357">
        <f>BC43-(BE43+BF43+BG43)</f>
        <v>0</v>
      </c>
      <c r="BE43" s="356">
        <f>AG43</f>
        <v>32.9</v>
      </c>
      <c r="BF43" s="314">
        <v>21.5</v>
      </c>
      <c r="BG43" s="314">
        <v>39.5</v>
      </c>
      <c r="BH43" s="302">
        <f>BG43/D43</f>
        <v>0.42066027689030883</v>
      </c>
      <c r="BI43" s="288">
        <v>37.9</v>
      </c>
      <c r="BJ43" s="288">
        <f>BG43-BI43</f>
        <v>1.6000000000000014</v>
      </c>
      <c r="BK43" s="302">
        <f>BJ43/D43</f>
        <v>1.7039403620873285E-2</v>
      </c>
      <c r="BL43" s="302"/>
      <c r="BM43" s="302"/>
      <c r="BN43" s="302"/>
      <c r="BO43" s="302">
        <f>BJ43/I43</f>
        <v>0.33333333333333365</v>
      </c>
      <c r="BP43" s="294"/>
      <c r="BQ43" s="355">
        <f>L43</f>
        <v>5.9</v>
      </c>
      <c r="BR43" s="442"/>
      <c r="BX43" s="273"/>
      <c r="CT43" s="281"/>
      <c r="CU43" s="275"/>
      <c r="CV43" s="318"/>
      <c r="CW43" s="273"/>
      <c r="DD43" s="273"/>
      <c r="DE43" s="273"/>
      <c r="DJ43" s="281"/>
      <c r="DU43" s="281"/>
      <c r="EF43" s="273"/>
      <c r="EP43" s="277"/>
      <c r="FA43" s="289"/>
      <c r="FB43" s="288"/>
      <c r="FC43" s="288"/>
      <c r="FD43" s="288"/>
      <c r="FE43" s="288"/>
      <c r="FF43" s="288"/>
      <c r="FG43" s="288"/>
      <c r="FH43" s="288"/>
      <c r="FI43" s="288"/>
      <c r="FJ43" s="288"/>
      <c r="FK43" s="288"/>
      <c r="FL43" s="301"/>
      <c r="FM43" s="288"/>
      <c r="FN43" s="288"/>
      <c r="FO43" s="288"/>
      <c r="FP43" s="288"/>
      <c r="FQ43" s="288"/>
      <c r="FR43" s="288"/>
      <c r="FS43" s="288"/>
      <c r="FT43" s="288"/>
      <c r="FU43" s="288"/>
    </row>
    <row r="44" spans="2:177">
      <c r="B44" s="288">
        <v>1968</v>
      </c>
      <c r="C44" s="344">
        <v>832.1</v>
      </c>
      <c r="D44" s="352">
        <v>101.7</v>
      </c>
      <c r="E44" s="361">
        <f>D44/C44</f>
        <v>0.12222088691263069</v>
      </c>
      <c r="F44" s="333">
        <f>D44-(G44+I44)</f>
        <v>0</v>
      </c>
      <c r="G44" s="342">
        <f>D44-I44</f>
        <v>96.100000000000009</v>
      </c>
      <c r="H44" s="302">
        <f>G44/C44</f>
        <v>0.11549092657132556</v>
      </c>
      <c r="I44" s="292">
        <v>5.6</v>
      </c>
      <c r="J44" s="343">
        <f>I44/C44</f>
        <v>6.729960341305131E-3</v>
      </c>
      <c r="K44" s="361">
        <f>I44/D44</f>
        <v>5.5063913470993112E-2</v>
      </c>
      <c r="L44" s="371">
        <v>7</v>
      </c>
      <c r="M44" s="343">
        <f>L44/C44</f>
        <v>8.4124504266314144E-3</v>
      </c>
      <c r="N44" s="370">
        <f>L44/D44</f>
        <v>6.88298918387414E-2</v>
      </c>
      <c r="O44" s="352">
        <f>D44</f>
        <v>101.7</v>
      </c>
      <c r="P44" s="366">
        <f>O44-(Q44+R44+T44+U44+X44-V44)</f>
        <v>0</v>
      </c>
      <c r="Q44" s="278">
        <v>87.5</v>
      </c>
      <c r="R44" s="376">
        <v>5.4</v>
      </c>
      <c r="S44" s="374">
        <f>R44/D44</f>
        <v>5.3097345132743362E-2</v>
      </c>
      <c r="T44" s="292">
        <v>2.5</v>
      </c>
      <c r="U44" s="292">
        <v>3.8</v>
      </c>
      <c r="V44" s="372">
        <v>8.9</v>
      </c>
      <c r="W44" s="374">
        <f>V44/D44</f>
        <v>8.7512291052114055E-2</v>
      </c>
      <c r="X44" s="366">
        <f>O44-(Q44+R44+T44+U44-V44)</f>
        <v>11.400000000000006</v>
      </c>
      <c r="Y44" s="367"/>
      <c r="Z44" s="366"/>
      <c r="AA44" s="366"/>
      <c r="AB44" s="366"/>
      <c r="AC44" s="366">
        <f>AC45*AF44/AF45</f>
        <v>1.5324177122888891</v>
      </c>
      <c r="AD44" s="302">
        <f>AC44/D44</f>
        <v>1.5068020769802253E-2</v>
      </c>
      <c r="AE44" s="278"/>
      <c r="AF44" s="278">
        <f>(AF45+AF43)/2</f>
        <v>1.6717586971850014</v>
      </c>
      <c r="AG44" s="326">
        <v>39.6</v>
      </c>
      <c r="AH44" s="295">
        <f>AG44/C44</f>
        <v>4.7590433842086291E-2</v>
      </c>
      <c r="AI44" s="295">
        <f>(AG44-AN44)/C44</f>
        <v>4.4585987261146494E-2</v>
      </c>
      <c r="AJ44" s="357">
        <f>AG44-(AK44+AL44+AM44+AN44)</f>
        <v>0</v>
      </c>
      <c r="AK44" s="288">
        <v>33.5</v>
      </c>
      <c r="AL44" s="288">
        <v>3.3</v>
      </c>
      <c r="AM44" s="290">
        <v>0.3</v>
      </c>
      <c r="AN44" s="288">
        <v>2.5</v>
      </c>
      <c r="AO44" s="372">
        <v>3.7</v>
      </c>
      <c r="AP44" s="333">
        <v>32.671500000000002</v>
      </c>
      <c r="AQ44" s="333"/>
      <c r="AR44" s="333"/>
      <c r="AS44" s="333"/>
      <c r="AT44" s="361">
        <f>(O44-AG44)/C44</f>
        <v>7.4630453070544403E-2</v>
      </c>
      <c r="AU44" s="305">
        <v>0.52800000000000002</v>
      </c>
      <c r="AV44" s="359">
        <f>(AK44+AL44)/(G44+L44-T44)</f>
        <v>0.36580516898608345</v>
      </c>
      <c r="AW44" s="353">
        <f>(AK44+AL44)/(G44+L44-T44-AE44)</f>
        <v>0.36580516898608345</v>
      </c>
      <c r="AX44" s="302">
        <f>(AG44-AN44-AM44)/(G44+L44-T44+V44)</f>
        <v>0.33607305936073056</v>
      </c>
      <c r="AY44" s="359">
        <f>(AG44-AN44-AM44+AO44)/(G44+L44-T44+AO44)</f>
        <v>0.38830297219558968</v>
      </c>
      <c r="AZ44" s="353">
        <f>(AG44-AN44-AM44+AO44)/(G44+L44-T44+AO44-AC44)</f>
        <v>0.39409314784320826</v>
      </c>
      <c r="BA44" s="302">
        <f>(AG44-AN44)/Q44</f>
        <v>0.42400000000000004</v>
      </c>
      <c r="BB44" s="302">
        <f>(AG44-AN44)/(Q44+R44)</f>
        <v>0.39935414424111948</v>
      </c>
      <c r="BC44" s="358">
        <f>D44</f>
        <v>101.7</v>
      </c>
      <c r="BD44" s="357">
        <f>BC44-(BE44+BF44+BG44)</f>
        <v>0</v>
      </c>
      <c r="BE44" s="356">
        <f>AG44</f>
        <v>39.6</v>
      </c>
      <c r="BF44" s="314">
        <v>23.5</v>
      </c>
      <c r="BG44" s="314">
        <v>38.6</v>
      </c>
      <c r="BH44" s="302">
        <f>BG44/D44</f>
        <v>0.37954768928220256</v>
      </c>
      <c r="BI44" s="288">
        <v>36.299999999999997</v>
      </c>
      <c r="BJ44" s="288">
        <f>BG44-BI44</f>
        <v>2.3000000000000043</v>
      </c>
      <c r="BK44" s="302">
        <f>BJ44/D44</f>
        <v>2.2615535889872213E-2</v>
      </c>
      <c r="BL44" s="302"/>
      <c r="BM44" s="302"/>
      <c r="BN44" s="302"/>
      <c r="BO44" s="302">
        <f>BJ44/I44</f>
        <v>0.41071428571428648</v>
      </c>
      <c r="BP44" s="294"/>
      <c r="BQ44" s="355">
        <f>L44</f>
        <v>7</v>
      </c>
      <c r="BR44" s="442"/>
      <c r="BX44" s="273"/>
      <c r="CT44" s="281"/>
      <c r="CU44" s="275"/>
      <c r="CV44" s="318"/>
      <c r="CW44" s="273"/>
      <c r="DD44" s="273"/>
      <c r="DE44" s="273"/>
      <c r="DJ44" s="281"/>
      <c r="DU44" s="281"/>
      <c r="EF44" s="273"/>
      <c r="EP44" s="277"/>
      <c r="FA44" s="289"/>
      <c r="FB44" s="288"/>
      <c r="FC44" s="288"/>
      <c r="FD44" s="288"/>
      <c r="FE44" s="288"/>
      <c r="FF44" s="288"/>
      <c r="FG44" s="288"/>
      <c r="FH44" s="288"/>
      <c r="FI44" s="288"/>
      <c r="FJ44" s="288"/>
      <c r="FK44" s="288"/>
      <c r="FL44" s="301"/>
      <c r="FM44" s="288"/>
      <c r="FN44" s="288"/>
      <c r="FO44" s="288"/>
      <c r="FP44" s="288"/>
      <c r="FQ44" s="288"/>
      <c r="FR44" s="288"/>
      <c r="FS44" s="288"/>
      <c r="FT44" s="288"/>
      <c r="FU44" s="288"/>
    </row>
    <row r="45" spans="2:177">
      <c r="B45" s="288">
        <v>1969</v>
      </c>
      <c r="C45" s="344">
        <v>899.5</v>
      </c>
      <c r="D45" s="352">
        <v>98.4</v>
      </c>
      <c r="E45" s="361">
        <f>D45/C45</f>
        <v>0.1093941078376876</v>
      </c>
      <c r="F45" s="333">
        <f>D45-(G45+I45)</f>
        <v>0</v>
      </c>
      <c r="G45" s="342">
        <f>D45-I45</f>
        <v>91.800000000000011</v>
      </c>
      <c r="H45" s="302">
        <f>G45/C45</f>
        <v>0.10205669816564759</v>
      </c>
      <c r="I45" s="292">
        <v>6.6</v>
      </c>
      <c r="J45" s="343">
        <f>I45/C45</f>
        <v>7.3374096720400222E-3</v>
      </c>
      <c r="K45" s="361">
        <f>I45/D45</f>
        <v>6.7073170731707307E-2</v>
      </c>
      <c r="L45" s="371">
        <v>8</v>
      </c>
      <c r="M45" s="343">
        <f>L45/C45</f>
        <v>8.8938299055030569E-3</v>
      </c>
      <c r="N45" s="370">
        <f>L45/D45</f>
        <v>8.1300813008130079E-2</v>
      </c>
      <c r="O45" s="352">
        <f>D45</f>
        <v>98.4</v>
      </c>
      <c r="P45" s="366">
        <f>O45-(Q45+R45+T45+U45+X45-V45)</f>
        <v>0</v>
      </c>
      <c r="Q45" s="278">
        <v>82.1</v>
      </c>
      <c r="R45" s="376">
        <v>6.5</v>
      </c>
      <c r="S45" s="374">
        <f>R45/D45</f>
        <v>6.605691056910569E-2</v>
      </c>
      <c r="T45" s="292">
        <v>3.1</v>
      </c>
      <c r="U45" s="292">
        <v>1.6999999999999993</v>
      </c>
      <c r="V45" s="372">
        <v>7.8</v>
      </c>
      <c r="W45" s="374">
        <f>V45/D45</f>
        <v>7.9268292682926816E-2</v>
      </c>
      <c r="X45" s="366">
        <f>O45-(Q45+R45+T45+U45-V45)</f>
        <v>12.800000000000011</v>
      </c>
      <c r="Y45" s="367"/>
      <c r="Z45" s="366"/>
      <c r="AA45" s="366"/>
      <c r="AB45" s="366"/>
      <c r="AC45" s="366">
        <f>AC46*AF45/AF46</f>
        <v>1.6676192732424993</v>
      </c>
      <c r="AD45" s="302">
        <f>AC45/D45</f>
        <v>1.6947350337830278E-2</v>
      </c>
      <c r="AE45" s="278"/>
      <c r="AF45" s="278">
        <v>1.8192539810000032</v>
      </c>
      <c r="AG45" s="326">
        <v>40</v>
      </c>
      <c r="AH45" s="295">
        <f>AG45/C45</f>
        <v>4.4469149527515288E-2</v>
      </c>
      <c r="AI45" s="295">
        <f>(AG45-AN45)/C45</f>
        <v>4.1133963312951639E-2</v>
      </c>
      <c r="AJ45" s="357">
        <f>AG45-(AK45+AL45+AM45+AN45)</f>
        <v>0</v>
      </c>
      <c r="AK45" s="288">
        <v>33.1</v>
      </c>
      <c r="AL45" s="288">
        <v>3.6</v>
      </c>
      <c r="AM45" s="290">
        <v>0.3</v>
      </c>
      <c r="AN45" s="288">
        <v>3</v>
      </c>
      <c r="AO45" s="372">
        <v>4</v>
      </c>
      <c r="AP45" s="333">
        <v>34.753500000000003</v>
      </c>
      <c r="AQ45" s="333"/>
      <c r="AR45" s="333"/>
      <c r="AS45" s="333"/>
      <c r="AT45" s="361">
        <f>(O45-AG45)/C45</f>
        <v>6.4924958310172323E-2</v>
      </c>
      <c r="AU45" s="305">
        <v>0.52800000000000002</v>
      </c>
      <c r="AV45" s="359">
        <f>(AK45+AL45)/(G45+L45-T45)</f>
        <v>0.37952430196483966</v>
      </c>
      <c r="AW45" s="353">
        <f>(AK45+AL45)/(G45+L45-T45-AE45)</f>
        <v>0.37952430196483966</v>
      </c>
      <c r="AX45" s="302">
        <f>(AG45-AN45-AM45)/(G45+L45-T45+V45)</f>
        <v>0.35119617224880378</v>
      </c>
      <c r="AY45" s="359">
        <f>(AG45-AN45-AM45+AO45)/(G45+L45-T45+AO45)</f>
        <v>0.40417080436941405</v>
      </c>
      <c r="AZ45" s="353">
        <f>(AG45-AN45-AM45+AO45)/(G45+L45-T45+AO45-AC45)</f>
        <v>0.41097668965766149</v>
      </c>
      <c r="BA45" s="302">
        <f>(AG45-AN45)/Q45</f>
        <v>0.45066991473812429</v>
      </c>
      <c r="BB45" s="302">
        <f>(AG45-AN45)/(Q45+R45)</f>
        <v>0.41760722347629797</v>
      </c>
      <c r="BC45" s="358">
        <f>D45</f>
        <v>98.4</v>
      </c>
      <c r="BD45" s="357">
        <f>BC45-(BE45+BF45+BG45)</f>
        <v>0</v>
      </c>
      <c r="BE45" s="356">
        <f>AG45</f>
        <v>40</v>
      </c>
      <c r="BF45" s="314">
        <v>24.2</v>
      </c>
      <c r="BG45" s="314">
        <v>34.200000000000003</v>
      </c>
      <c r="BH45" s="302">
        <f>BG45/D45</f>
        <v>0.34756097560975613</v>
      </c>
      <c r="BI45" s="288">
        <v>31.4</v>
      </c>
      <c r="BJ45" s="288">
        <f>BG45-BI45</f>
        <v>2.8000000000000043</v>
      </c>
      <c r="BK45" s="302">
        <f>BJ45/D45</f>
        <v>2.8455284552845569E-2</v>
      </c>
      <c r="BL45" s="302"/>
      <c r="BM45" s="302"/>
      <c r="BN45" s="302"/>
      <c r="BO45" s="302">
        <f>BJ45/I45</f>
        <v>0.42424242424242492</v>
      </c>
      <c r="BP45" s="294"/>
      <c r="BQ45" s="355">
        <f>L45</f>
        <v>8</v>
      </c>
      <c r="BR45" s="442"/>
      <c r="BX45" s="273"/>
      <c r="CT45" s="281"/>
      <c r="CU45" s="275"/>
      <c r="CV45" s="318"/>
      <c r="CW45" s="273"/>
      <c r="DD45" s="273"/>
      <c r="DE45" s="273"/>
      <c r="DJ45" s="281"/>
      <c r="DU45" s="281"/>
      <c r="EF45" s="273"/>
      <c r="EP45" s="277"/>
      <c r="FA45" s="289"/>
      <c r="FB45" s="288"/>
      <c r="FC45" s="288"/>
      <c r="FD45" s="288"/>
      <c r="FE45" s="288"/>
      <c r="FF45" s="288"/>
      <c r="FG45" s="288"/>
      <c r="FH45" s="288"/>
      <c r="FI45" s="288"/>
      <c r="FJ45" s="288"/>
      <c r="FK45" s="288"/>
      <c r="FL45" s="301"/>
      <c r="FM45" s="288"/>
      <c r="FN45" s="288"/>
      <c r="FO45" s="288"/>
      <c r="FP45" s="288"/>
      <c r="FQ45" s="288"/>
      <c r="FR45" s="288"/>
      <c r="FS45" s="288"/>
      <c r="FT45" s="288"/>
      <c r="FU45" s="288"/>
    </row>
    <row r="46" spans="2:177" s="455" customFormat="1">
      <c r="B46" s="456">
        <v>1970</v>
      </c>
      <c r="C46" s="482">
        <v>940.1</v>
      </c>
      <c r="D46" s="480">
        <v>86.2</v>
      </c>
      <c r="E46" s="465">
        <f>D46/C46</f>
        <v>9.1692373151792364E-2</v>
      </c>
      <c r="F46" s="473">
        <f>D46-(G46+I46)</f>
        <v>0</v>
      </c>
      <c r="G46" s="473">
        <f>D46-I46</f>
        <v>79.100000000000009</v>
      </c>
      <c r="H46" s="465">
        <f>G46/C46</f>
        <v>8.4139985107967247E-2</v>
      </c>
      <c r="I46" s="456">
        <v>7.1</v>
      </c>
      <c r="J46" s="475">
        <f>I46/C46</f>
        <v>7.5523880438251242E-3</v>
      </c>
      <c r="K46" s="465">
        <f>I46/D46</f>
        <v>8.2366589327146161E-2</v>
      </c>
      <c r="L46" s="466">
        <v>8.6</v>
      </c>
      <c r="M46" s="475">
        <f>L46/C46</f>
        <v>9.1479629826614183E-3</v>
      </c>
      <c r="N46" s="481">
        <f>L46/D46</f>
        <v>9.9767981438515077E-2</v>
      </c>
      <c r="O46" s="480">
        <f>D46</f>
        <v>86.2</v>
      </c>
      <c r="P46" s="477">
        <f>O46-(Q46+R46+T46+U46+X46-V46)</f>
        <v>0</v>
      </c>
      <c r="Q46" s="477">
        <v>68</v>
      </c>
      <c r="R46" s="479">
        <v>7.6</v>
      </c>
      <c r="S46" s="470">
        <f>R46/D46</f>
        <v>8.8167053364269138E-2</v>
      </c>
      <c r="T46" s="456">
        <v>3.5</v>
      </c>
      <c r="U46" s="456">
        <v>-9.9999999999999645E-2</v>
      </c>
      <c r="V46" s="474">
        <v>5.2</v>
      </c>
      <c r="W46" s="470">
        <f>V46/D46</f>
        <v>6.0324825986078884E-2</v>
      </c>
      <c r="X46" s="477">
        <f>O46-(Q46+R46+T46+U46-V46)</f>
        <v>12.400000000000006</v>
      </c>
      <c r="Y46" s="478"/>
      <c r="Z46" s="477"/>
      <c r="AA46" s="477"/>
      <c r="AB46" s="477"/>
      <c r="AC46" s="477">
        <f>AC47*AF46/AF47</f>
        <v>1.5487007684809952</v>
      </c>
      <c r="AD46" s="465">
        <f>AC46/D46</f>
        <v>1.7966366223677439E-2</v>
      </c>
      <c r="AE46" s="477"/>
      <c r="AF46" s="477">
        <v>1.6895223529999985</v>
      </c>
      <c r="AG46" s="476">
        <v>34.799999999999997</v>
      </c>
      <c r="AH46" s="475">
        <f>AG46/C46</f>
        <v>3.7017338581002014E-2</v>
      </c>
      <c r="AI46" s="475">
        <f>(AG46-AN46)/C46</f>
        <v>3.3294330390384E-2</v>
      </c>
      <c r="AJ46" s="468">
        <f>AG46-(AK46+AL46+AM46+AN46)</f>
        <v>9.9999999999994316E-2</v>
      </c>
      <c r="AK46" s="456">
        <v>27.1</v>
      </c>
      <c r="AL46" s="456">
        <v>3.7</v>
      </c>
      <c r="AM46" s="474">
        <v>0.4</v>
      </c>
      <c r="AN46" s="456">
        <v>3.5</v>
      </c>
      <c r="AO46" s="474">
        <v>4.5</v>
      </c>
      <c r="AP46" s="473">
        <v>29.806999999999999</v>
      </c>
      <c r="AQ46" s="473"/>
      <c r="AR46" s="473"/>
      <c r="AS46" s="473"/>
      <c r="AT46" s="465">
        <f>(O46-AG46)/C46</f>
        <v>5.4675034570790343E-2</v>
      </c>
      <c r="AU46" s="472">
        <v>0.49200000000000005</v>
      </c>
      <c r="AV46" s="471">
        <f>(AK46+AL46)/(G46+L46-T46)</f>
        <v>0.36579572446555819</v>
      </c>
      <c r="AW46" s="470">
        <f>(AK46+AL46)/(G46+L46-T46-AE46)</f>
        <v>0.36579572446555819</v>
      </c>
      <c r="AX46" s="465">
        <f>(AG46-AN46-AM46)/(G46+L46-T46+V46)</f>
        <v>0.34563758389261739</v>
      </c>
      <c r="AY46" s="471">
        <f>(AG46-AN46-AM46+AO46)/(G46+L46-T46+AO46)</f>
        <v>0.39909808342728292</v>
      </c>
      <c r="AZ46" s="470">
        <f>(AG46-AN46-AM46+AO46)/(G46+L46-T46+AO46-AC46)</f>
        <v>0.4061901579454284</v>
      </c>
      <c r="BA46" s="465">
        <f>(AG46-AN46)/Q46</f>
        <v>0.4602941176470588</v>
      </c>
      <c r="BB46" s="465">
        <f>(AG46-AN46)/(Q46+R46)</f>
        <v>0.41402116402116401</v>
      </c>
      <c r="BC46" s="469">
        <f>D46</f>
        <v>86.2</v>
      </c>
      <c r="BD46" s="468">
        <f>BC46-(BE46+BF46+BG46)</f>
        <v>-9.9999999999994316E-2</v>
      </c>
      <c r="BE46" s="467">
        <f>AG46</f>
        <v>34.799999999999997</v>
      </c>
      <c r="BF46" s="466">
        <v>24.3</v>
      </c>
      <c r="BG46" s="466">
        <v>27.2</v>
      </c>
      <c r="BH46" s="465">
        <f>BG46/D46</f>
        <v>0.31554524361948955</v>
      </c>
      <c r="BI46" s="456">
        <v>24</v>
      </c>
      <c r="BJ46" s="456">
        <f>BG46-BI46</f>
        <v>3.1999999999999993</v>
      </c>
      <c r="BK46" s="465">
        <f>BJ46/D46</f>
        <v>3.7122969837586998E-2</v>
      </c>
      <c r="BL46" s="465"/>
      <c r="BM46" s="465"/>
      <c r="BN46" s="465"/>
      <c r="BO46" s="465">
        <f>BJ46/I46</f>
        <v>0.45070422535211258</v>
      </c>
      <c r="BP46" s="464"/>
      <c r="BQ46" s="463">
        <f>L46</f>
        <v>8.6</v>
      </c>
      <c r="BR46" s="462"/>
      <c r="BX46" s="460"/>
      <c r="CT46" s="461"/>
      <c r="CV46" s="460"/>
      <c r="CW46" s="460"/>
      <c r="DD46" s="460"/>
      <c r="DE46" s="460"/>
      <c r="DJ46" s="461"/>
      <c r="DU46" s="461"/>
      <c r="EF46" s="460"/>
      <c r="EP46" s="459"/>
      <c r="FA46" s="458"/>
      <c r="FB46" s="456"/>
      <c r="FC46" s="456"/>
      <c r="FD46" s="456"/>
      <c r="FE46" s="456"/>
      <c r="FF46" s="456"/>
      <c r="FG46" s="456"/>
      <c r="FH46" s="456"/>
      <c r="FI46" s="456"/>
      <c r="FJ46" s="456"/>
      <c r="FK46" s="456"/>
      <c r="FL46" s="457"/>
      <c r="FM46" s="456"/>
      <c r="FN46" s="456"/>
      <c r="FO46" s="456"/>
      <c r="FP46" s="456"/>
      <c r="FQ46" s="456"/>
      <c r="FR46" s="456"/>
      <c r="FS46" s="456"/>
      <c r="FT46" s="456"/>
      <c r="FU46" s="456"/>
    </row>
    <row r="47" spans="2:177" s="275" customFormat="1">
      <c r="B47" s="292">
        <v>1971</v>
      </c>
      <c r="C47" s="344">
        <v>1017</v>
      </c>
      <c r="D47" s="352">
        <v>100.6</v>
      </c>
      <c r="E47" s="361">
        <f>D47/C47</f>
        <v>9.8918387413962625E-2</v>
      </c>
      <c r="F47" s="333">
        <f>D47-(G47+I47)</f>
        <v>0</v>
      </c>
      <c r="G47" s="333">
        <f>D47-I47</f>
        <v>92.699999999999989</v>
      </c>
      <c r="H47" s="361">
        <f>G47/C47</f>
        <v>9.1150442477876098E-2</v>
      </c>
      <c r="I47" s="292">
        <v>7.9</v>
      </c>
      <c r="J47" s="343">
        <f>I47/C47</f>
        <v>7.7679449360865292E-3</v>
      </c>
      <c r="K47" s="361">
        <f>I47/D47</f>
        <v>7.8528827037773363E-2</v>
      </c>
      <c r="L47" s="371">
        <v>9.8000000000000007</v>
      </c>
      <c r="M47" s="343">
        <f>L47/C47</f>
        <v>9.6361848574237959E-3</v>
      </c>
      <c r="N47" s="370">
        <f>L47/D47</f>
        <v>9.7415506958250506E-2</v>
      </c>
      <c r="O47" s="352">
        <f>D47</f>
        <v>100.6</v>
      </c>
      <c r="P47" s="366">
        <f>O47-(Q47+R47+T47+U47+X47-V47)</f>
        <v>0</v>
      </c>
      <c r="Q47" s="366">
        <v>81.900000000000006</v>
      </c>
      <c r="R47" s="376">
        <v>7.3</v>
      </c>
      <c r="S47" s="374">
        <f>R47/D47</f>
        <v>7.2564612326043734E-2</v>
      </c>
      <c r="T47" s="292">
        <v>3.3</v>
      </c>
      <c r="U47" s="292">
        <v>1.4000000000000004</v>
      </c>
      <c r="V47" s="372">
        <v>7.4</v>
      </c>
      <c r="W47" s="374">
        <f>V47/D47</f>
        <v>7.3558648111332017E-2</v>
      </c>
      <c r="X47" s="366">
        <f>O47-(Q47+R47+T47+U47-V47)</f>
        <v>14.099999999999994</v>
      </c>
      <c r="Y47" s="367"/>
      <c r="Z47" s="366"/>
      <c r="AA47" s="366"/>
      <c r="AB47" s="366"/>
      <c r="AC47" s="366">
        <f>AC48*AF47/AF48</f>
        <v>1.8141238702750324</v>
      </c>
      <c r="AD47" s="361">
        <f>AC47/D47</f>
        <v>1.8033040459990383E-2</v>
      </c>
      <c r="AE47" s="366"/>
      <c r="AF47" s="366">
        <v>1.9790800730000082</v>
      </c>
      <c r="AG47" s="326">
        <v>38.200000000000003</v>
      </c>
      <c r="AH47" s="343">
        <f>AG47/C47</f>
        <v>3.7561455260570309E-2</v>
      </c>
      <c r="AI47" s="343">
        <f>(AG47-AN47)/C47</f>
        <v>3.4218289085545729E-2</v>
      </c>
      <c r="AJ47" s="453">
        <f>AG47-(AK47+AL47+AM47+AN47)</f>
        <v>0</v>
      </c>
      <c r="AK47" s="292">
        <v>30.099999999999998</v>
      </c>
      <c r="AL47" s="292">
        <v>4.3</v>
      </c>
      <c r="AM47" s="372">
        <v>0.4</v>
      </c>
      <c r="AN47" s="292">
        <v>3.4</v>
      </c>
      <c r="AO47" s="372">
        <v>5.7</v>
      </c>
      <c r="AP47" s="333">
        <v>29.4755</v>
      </c>
      <c r="AQ47" s="333"/>
      <c r="AR47" s="333"/>
      <c r="AS47" s="333"/>
      <c r="AT47" s="361">
        <f>(O47-AG47)/C47</f>
        <v>6.1356932153392323E-2</v>
      </c>
      <c r="AU47" s="305">
        <v>0.48</v>
      </c>
      <c r="AV47" s="454">
        <f>(AK47+AL47)/(G47+L47-T47)</f>
        <v>0.34677419354838712</v>
      </c>
      <c r="AW47" s="374">
        <f>(AK47+AL47)/(G47+L47-T47-AE47)</f>
        <v>0.34677419354838712</v>
      </c>
      <c r="AX47" s="361">
        <f>(AG47-AN47-AM47)/(G47+L47-T47+V47)</f>
        <v>0.32270168855534714</v>
      </c>
      <c r="AY47" s="454">
        <f>(AG47-AN47-AM47+AO47)/(G47+L47-T47+AO47)</f>
        <v>0.38226882745471891</v>
      </c>
      <c r="AZ47" s="374">
        <f>(AG47-AN47-AM47+AO47)/(G47+L47-T47+AO47-AC47)</f>
        <v>0.38899606333594633</v>
      </c>
      <c r="BA47" s="361">
        <f>(AG47-AN47)/Q47</f>
        <v>0.42490842490842495</v>
      </c>
      <c r="BB47" s="361">
        <f>(AG47-AN47)/(Q47+R47)</f>
        <v>0.39013452914798208</v>
      </c>
      <c r="BC47" s="358">
        <f>D47</f>
        <v>100.6</v>
      </c>
      <c r="BD47" s="453">
        <f>BC47-(BE47+BF47+BG47)</f>
        <v>-0.10000000000000853</v>
      </c>
      <c r="BE47" s="452">
        <f>AG47</f>
        <v>38.200000000000003</v>
      </c>
      <c r="BF47" s="371">
        <v>25</v>
      </c>
      <c r="BG47" s="371">
        <v>37.5</v>
      </c>
      <c r="BH47" s="361">
        <f>BG47/D47</f>
        <v>0.37276341948310143</v>
      </c>
      <c r="BI47" s="292">
        <v>34.299999999999997</v>
      </c>
      <c r="BJ47" s="292">
        <f>BG47-BI47</f>
        <v>3.2000000000000028</v>
      </c>
      <c r="BK47" s="361">
        <f>BJ47/D47</f>
        <v>3.1809145129224684E-2</v>
      </c>
      <c r="BL47" s="361"/>
      <c r="BM47" s="361"/>
      <c r="BN47" s="361"/>
      <c r="BO47" s="361">
        <f>BJ47/I47</f>
        <v>0.40506329113924083</v>
      </c>
      <c r="BP47" s="451"/>
      <c r="BQ47" s="355">
        <f>L47</f>
        <v>9.8000000000000007</v>
      </c>
      <c r="BR47" s="442"/>
      <c r="BX47" s="318"/>
      <c r="CT47" s="281"/>
      <c r="CV47" s="318"/>
      <c r="CW47" s="318"/>
      <c r="DD47" s="318"/>
      <c r="DE47" s="318"/>
      <c r="DJ47" s="281"/>
      <c r="DU47" s="281"/>
      <c r="EF47" s="318"/>
      <c r="EP47" s="277"/>
      <c r="FA47" s="289"/>
      <c r="FB47" s="292"/>
      <c r="FC47" s="292"/>
      <c r="FD47" s="292"/>
      <c r="FE47" s="292"/>
      <c r="FF47" s="292"/>
      <c r="FG47" s="292"/>
      <c r="FH47" s="292"/>
      <c r="FI47" s="292"/>
      <c r="FJ47" s="292"/>
      <c r="FK47" s="292"/>
      <c r="FL47" s="450"/>
      <c r="FM47" s="292"/>
      <c r="FN47" s="292"/>
      <c r="FO47" s="292"/>
      <c r="FP47" s="292"/>
      <c r="FQ47" s="292"/>
      <c r="FR47" s="292"/>
      <c r="FS47" s="292"/>
      <c r="FT47" s="292"/>
      <c r="FU47" s="292"/>
    </row>
    <row r="48" spans="2:177" s="275" customFormat="1">
      <c r="B48" s="292">
        <v>1972</v>
      </c>
      <c r="C48" s="344">
        <v>1123</v>
      </c>
      <c r="D48" s="352">
        <v>117.2</v>
      </c>
      <c r="E48" s="361">
        <f>D48/C48</f>
        <v>0.10436331255565449</v>
      </c>
      <c r="F48" s="333">
        <f>D48-(G48+I48)</f>
        <v>0</v>
      </c>
      <c r="G48" s="333">
        <f>D48-I48</f>
        <v>107.7</v>
      </c>
      <c r="H48" s="361">
        <f>G48/C48</f>
        <v>9.5903829029385573E-2</v>
      </c>
      <c r="I48" s="292">
        <v>9.5</v>
      </c>
      <c r="J48" s="343">
        <f>I48/C48</f>
        <v>8.4594835262689228E-3</v>
      </c>
      <c r="K48" s="361">
        <f>I48/D48</f>
        <v>8.1058020477815698E-2</v>
      </c>
      <c r="L48" s="371">
        <v>11.7</v>
      </c>
      <c r="M48" s="343">
        <f>L48/C48</f>
        <v>1.0418521816562777E-2</v>
      </c>
      <c r="N48" s="370">
        <f>L48/D48</f>
        <v>9.9829351535836164E-2</v>
      </c>
      <c r="O48" s="352">
        <f>D48</f>
        <v>117.2</v>
      </c>
      <c r="P48" s="366">
        <f>O48-(Q48+R48+T48+U48+X48-V48)</f>
        <v>0</v>
      </c>
      <c r="Q48" s="366">
        <v>99.5</v>
      </c>
      <c r="R48" s="376">
        <v>7.2</v>
      </c>
      <c r="S48" s="374">
        <f>R48/D48</f>
        <v>6.1433447098976107E-2</v>
      </c>
      <c r="T48" s="292">
        <v>3.3</v>
      </c>
      <c r="U48" s="292">
        <v>1.3000000000000007</v>
      </c>
      <c r="V48" s="372">
        <v>10.1</v>
      </c>
      <c r="W48" s="374">
        <f>V48/D48</f>
        <v>8.6177474402730367E-2</v>
      </c>
      <c r="X48" s="366">
        <f>O48-(Q48+R48+T48+U48-V48)</f>
        <v>16</v>
      </c>
      <c r="Y48" s="367"/>
      <c r="Z48" s="366"/>
      <c r="AA48" s="366"/>
      <c r="AB48" s="366"/>
      <c r="AC48" s="366">
        <f>AC49*AF48/AF49</f>
        <v>2.0350358704821496</v>
      </c>
      <c r="AD48" s="361">
        <f>AC48/D48</f>
        <v>1.7363787290803324E-2</v>
      </c>
      <c r="AE48" s="366"/>
      <c r="AF48" s="366">
        <v>2.2200793480000094</v>
      </c>
      <c r="AG48" s="326">
        <v>42.3</v>
      </c>
      <c r="AH48" s="343">
        <f>AG48/C48</f>
        <v>3.7666963490650039E-2</v>
      </c>
      <c r="AI48" s="343">
        <f>(AG48-AN48)/C48</f>
        <v>3.4817453250222612E-2</v>
      </c>
      <c r="AJ48" s="453">
        <f>AG48-(AK48+AL48+AM48+AN48)</f>
        <v>-0.10000000000000142</v>
      </c>
      <c r="AK48" s="292">
        <v>33.4</v>
      </c>
      <c r="AL48" s="292">
        <v>5.3</v>
      </c>
      <c r="AM48" s="372">
        <v>0.5</v>
      </c>
      <c r="AN48" s="292">
        <v>3.2</v>
      </c>
      <c r="AO48" s="372">
        <v>6.3</v>
      </c>
      <c r="AP48" s="333">
        <v>34.159500000000001</v>
      </c>
      <c r="AQ48" s="333"/>
      <c r="AR48" s="333"/>
      <c r="AS48" s="333"/>
      <c r="AT48" s="361">
        <f>(O48-AG48)/C48</f>
        <v>6.6696349065004462E-2</v>
      </c>
      <c r="AU48" s="305">
        <v>0.48</v>
      </c>
      <c r="AV48" s="454">
        <f>(AK48+AL48)/(G48+L48-T48)</f>
        <v>0.33333333333333326</v>
      </c>
      <c r="AW48" s="374">
        <f>(AK48+AL48)/(G48+L48-T48-AE48)</f>
        <v>0.33333333333333326</v>
      </c>
      <c r="AX48" s="361">
        <f>(AG48-AN48-AM48)/(G48+L48-T48+V48)</f>
        <v>0.30586370839936605</v>
      </c>
      <c r="AY48" s="454">
        <f>(AG48-AN48-AM48+AO48)/(G48+L48-T48+AO48)</f>
        <v>0.36683006535947704</v>
      </c>
      <c r="AZ48" s="374">
        <f>(AG48-AN48-AM48+AO48)/(G48+L48-T48+AO48-AC48)</f>
        <v>0.37303213875165259</v>
      </c>
      <c r="BA48" s="361">
        <f>(AG48-AN48)/Q48</f>
        <v>0.39296482412060296</v>
      </c>
      <c r="BB48" s="361">
        <f>(AG48-AN48)/(Q48+R48)</f>
        <v>0.36644798500468595</v>
      </c>
      <c r="BC48" s="358">
        <f>D48</f>
        <v>117.2</v>
      </c>
      <c r="BD48" s="453">
        <f>BC48-(BE48+BF48+BG48)</f>
        <v>0.10000000000000853</v>
      </c>
      <c r="BE48" s="452">
        <f>AG48</f>
        <v>42.3</v>
      </c>
      <c r="BF48" s="371">
        <v>26.8</v>
      </c>
      <c r="BG48" s="371">
        <v>48</v>
      </c>
      <c r="BH48" s="361">
        <f>BG48/D48</f>
        <v>0.40955631399317405</v>
      </c>
      <c r="BI48" s="292">
        <v>43.4</v>
      </c>
      <c r="BJ48" s="292">
        <f>BG48-BI48</f>
        <v>4.6000000000000014</v>
      </c>
      <c r="BK48" s="361">
        <f>BJ48/D48</f>
        <v>3.9249146757679189E-2</v>
      </c>
      <c r="BL48" s="361"/>
      <c r="BM48" s="361"/>
      <c r="BN48" s="361"/>
      <c r="BO48" s="361">
        <f>BJ48/I48</f>
        <v>0.48421052631578965</v>
      </c>
      <c r="BP48" s="451"/>
      <c r="BQ48" s="355">
        <f>L48</f>
        <v>11.7</v>
      </c>
      <c r="BR48" s="442"/>
      <c r="BX48" s="318"/>
      <c r="CT48" s="281"/>
      <c r="CV48" s="318"/>
      <c r="CW48" s="318"/>
      <c r="DD48" s="318"/>
      <c r="DE48" s="318"/>
      <c r="DJ48" s="281"/>
      <c r="DU48" s="281"/>
      <c r="EF48" s="318"/>
      <c r="EP48" s="277"/>
      <c r="FA48" s="289"/>
      <c r="FB48" s="292"/>
      <c r="FC48" s="292"/>
      <c r="FD48" s="292"/>
      <c r="FE48" s="292"/>
      <c r="FF48" s="292"/>
      <c r="FG48" s="292"/>
      <c r="FH48" s="292"/>
      <c r="FI48" s="292"/>
      <c r="FJ48" s="292"/>
      <c r="FK48" s="292"/>
      <c r="FL48" s="450"/>
      <c r="FM48" s="292"/>
      <c r="FN48" s="292"/>
      <c r="FO48" s="292"/>
      <c r="FP48" s="292"/>
      <c r="FQ48" s="292"/>
      <c r="FR48" s="292"/>
      <c r="FS48" s="292"/>
      <c r="FT48" s="292"/>
      <c r="FU48" s="292"/>
    </row>
    <row r="49" spans="2:177" s="275" customFormat="1">
      <c r="B49" s="292">
        <v>1973</v>
      </c>
      <c r="C49" s="344">
        <v>1257</v>
      </c>
      <c r="D49" s="352">
        <v>133.4</v>
      </c>
      <c r="E49" s="361">
        <f>D49/C49</f>
        <v>0.10612569610182976</v>
      </c>
      <c r="F49" s="333">
        <f>D49-(G49+I49)</f>
        <v>0</v>
      </c>
      <c r="G49" s="333">
        <f>D49-I49</f>
        <v>118.5</v>
      </c>
      <c r="H49" s="361">
        <f>G49/C49</f>
        <v>9.4272076372315036E-2</v>
      </c>
      <c r="I49" s="292">
        <v>14.9</v>
      </c>
      <c r="J49" s="343">
        <f>I49/C49</f>
        <v>1.1853619729514717E-2</v>
      </c>
      <c r="K49" s="361">
        <f>I49/D49</f>
        <v>0.11169415292353822</v>
      </c>
      <c r="L49" s="371">
        <v>17.600000000000001</v>
      </c>
      <c r="M49" s="343">
        <f>L49/C49</f>
        <v>1.400159108989658E-2</v>
      </c>
      <c r="N49" s="370">
        <f>L49/D49</f>
        <v>0.13193403298350825</v>
      </c>
      <c r="O49" s="352">
        <f>D49</f>
        <v>133.4</v>
      </c>
      <c r="P49" s="366">
        <f>O49-(Q49+R49+T49+U49+X49-V49)</f>
        <v>0</v>
      </c>
      <c r="Q49" s="366">
        <v>122.6</v>
      </c>
      <c r="R49" s="376">
        <v>9.6</v>
      </c>
      <c r="S49" s="374">
        <f>R49/D49</f>
        <v>7.1964017991004492E-2</v>
      </c>
      <c r="T49" s="292">
        <v>4.5</v>
      </c>
      <c r="U49" s="292">
        <v>-12.8</v>
      </c>
      <c r="V49" s="372">
        <v>9.5</v>
      </c>
      <c r="W49" s="374">
        <f>V49/D49</f>
        <v>7.1214392803598203E-2</v>
      </c>
      <c r="X49" s="366">
        <f>O49-(Q49+R49+T49+U49-V49)</f>
        <v>19.000000000000014</v>
      </c>
      <c r="Y49" s="367"/>
      <c r="Z49" s="366"/>
      <c r="AA49" s="366"/>
      <c r="AB49" s="366"/>
      <c r="AC49" s="366">
        <f>AC50*AF49/AF50</f>
        <v>2.0284704597495398</v>
      </c>
      <c r="AD49" s="361">
        <f>AC49/D49</f>
        <v>1.5205925485378859E-2</v>
      </c>
      <c r="AE49" s="366"/>
      <c r="AF49" s="366">
        <v>2.2129169520000058</v>
      </c>
      <c r="AG49" s="326">
        <v>50</v>
      </c>
      <c r="AH49" s="343">
        <f>AG49/C49</f>
        <v>3.9777247414478918E-2</v>
      </c>
      <c r="AI49" s="343">
        <f>(AG49-AN49)/C49</f>
        <v>3.6356404136833734E-2</v>
      </c>
      <c r="AJ49" s="453">
        <f>AG49-(AK49+AL49+AM49+AN49)</f>
        <v>0.10000000000000142</v>
      </c>
      <c r="AK49" s="292">
        <v>38.9</v>
      </c>
      <c r="AL49" s="292">
        <v>6</v>
      </c>
      <c r="AM49" s="372">
        <v>0.7</v>
      </c>
      <c r="AN49" s="292">
        <v>4.3</v>
      </c>
      <c r="AO49" s="372">
        <v>9.6</v>
      </c>
      <c r="AP49" s="333">
        <v>37.386499999999998</v>
      </c>
      <c r="AQ49" s="333"/>
      <c r="AR49" s="333"/>
      <c r="AS49" s="333"/>
      <c r="AT49" s="361">
        <f>(O49-AG49)/C49</f>
        <v>6.6348448687350833E-2</v>
      </c>
      <c r="AU49" s="305">
        <v>0.48</v>
      </c>
      <c r="AV49" s="454">
        <f>(AK49+AL49)/(G49+L49-T49)</f>
        <v>0.34118541033434652</v>
      </c>
      <c r="AW49" s="374">
        <f>(AK49+AL49)/(G49+L49-T49-AE49)</f>
        <v>0.34118541033434652</v>
      </c>
      <c r="AX49" s="361">
        <f>(AG49-AN49-AM49)/(G49+L49-T49+V49)</f>
        <v>0.31892274982282071</v>
      </c>
      <c r="AY49" s="454">
        <f>(AG49-AN49-AM49+AO49)/(G49+L49-T49+AO49)</f>
        <v>0.38668555240793206</v>
      </c>
      <c r="AZ49" s="374">
        <f>(AG49-AN49-AM49+AO49)/(G49+L49-T49+AO49-AC49)</f>
        <v>0.39232162052375003</v>
      </c>
      <c r="BA49" s="361">
        <f>(AG49-AN49)/Q49</f>
        <v>0.37275693311582386</v>
      </c>
      <c r="BB49" s="361">
        <f>(AG49-AN49)/(Q49+R49)</f>
        <v>0.34568835098335859</v>
      </c>
      <c r="BC49" s="358">
        <f>D49</f>
        <v>133.4</v>
      </c>
      <c r="BD49" s="453">
        <f>BC49-(BE49+BF49+BG49)</f>
        <v>0</v>
      </c>
      <c r="BE49" s="452">
        <f>AG49</f>
        <v>50</v>
      </c>
      <c r="BF49" s="371">
        <v>29.9</v>
      </c>
      <c r="BG49" s="371">
        <v>53.5</v>
      </c>
      <c r="BH49" s="361">
        <f>BG49/D49</f>
        <v>0.40104947526236878</v>
      </c>
      <c r="BI49" s="292">
        <v>45.4</v>
      </c>
      <c r="BJ49" s="292">
        <f>BG49-BI49</f>
        <v>8.1000000000000014</v>
      </c>
      <c r="BK49" s="361">
        <f>BJ49/D49</f>
        <v>6.071964017991005E-2</v>
      </c>
      <c r="BL49" s="361"/>
      <c r="BM49" s="361"/>
      <c r="BN49" s="361"/>
      <c r="BO49" s="361">
        <f>BJ49/I49</f>
        <v>0.54362416107382561</v>
      </c>
      <c r="BP49" s="451"/>
      <c r="BQ49" s="355">
        <f>L49</f>
        <v>17.600000000000001</v>
      </c>
      <c r="BR49" s="442"/>
      <c r="BX49" s="318"/>
      <c r="CT49" s="281"/>
      <c r="CV49" s="318"/>
      <c r="CW49" s="318"/>
      <c r="DD49" s="318"/>
      <c r="DE49" s="318"/>
      <c r="DJ49" s="281"/>
      <c r="DU49" s="281"/>
      <c r="EF49" s="318"/>
      <c r="EP49" s="277"/>
      <c r="FA49" s="289"/>
      <c r="FB49" s="292"/>
      <c r="FC49" s="292"/>
      <c r="FD49" s="292"/>
      <c r="FE49" s="292"/>
      <c r="FF49" s="292"/>
      <c r="FG49" s="292"/>
      <c r="FH49" s="292"/>
      <c r="FI49" s="292"/>
      <c r="FJ49" s="292"/>
      <c r="FK49" s="292"/>
      <c r="FL49" s="450"/>
      <c r="FM49" s="292"/>
      <c r="FN49" s="292"/>
      <c r="FO49" s="292"/>
      <c r="FP49" s="292"/>
      <c r="FQ49" s="292"/>
      <c r="FR49" s="292"/>
      <c r="FS49" s="292"/>
      <c r="FT49" s="292"/>
      <c r="FU49" s="292"/>
    </row>
    <row r="50" spans="2:177" s="275" customFormat="1">
      <c r="B50" s="292">
        <v>1974</v>
      </c>
      <c r="C50" s="344">
        <v>1350.8</v>
      </c>
      <c r="D50" s="352">
        <v>125.7</v>
      </c>
      <c r="E50" s="361">
        <f>D50/C50</f>
        <v>9.305596683446847E-2</v>
      </c>
      <c r="F50" s="333">
        <f>D50-(G50+I50)</f>
        <v>0</v>
      </c>
      <c r="G50" s="333">
        <f>D50-I50</f>
        <v>108.2</v>
      </c>
      <c r="H50" s="361">
        <f>G50/C50</f>
        <v>8.0100681077879779E-2</v>
      </c>
      <c r="I50" s="292">
        <v>17.5</v>
      </c>
      <c r="J50" s="343">
        <f>I50/C50</f>
        <v>1.2955285756588688E-2</v>
      </c>
      <c r="K50" s="361">
        <f>I50/D50</f>
        <v>0.13922036595067622</v>
      </c>
      <c r="L50" s="371">
        <v>20.399999999999999</v>
      </c>
      <c r="M50" s="343">
        <f>L50/C50</f>
        <v>1.5102161681966242E-2</v>
      </c>
      <c r="N50" s="370">
        <f>L50/D50</f>
        <v>0.16229116945107397</v>
      </c>
      <c r="O50" s="352">
        <f>D50</f>
        <v>125.7</v>
      </c>
      <c r="P50" s="366">
        <f>O50-(Q50+R50+T50+U50+X50-V50)</f>
        <v>0</v>
      </c>
      <c r="Q50" s="366">
        <v>148.19999999999999</v>
      </c>
      <c r="R50" s="376">
        <v>10.4</v>
      </c>
      <c r="S50" s="374">
        <f>R50/D50</f>
        <v>8.2736674622116146E-2</v>
      </c>
      <c r="T50" s="292">
        <v>5.7</v>
      </c>
      <c r="U50" s="292">
        <v>-35.800000000000004</v>
      </c>
      <c r="V50" s="372">
        <v>7.7</v>
      </c>
      <c r="W50" s="374">
        <f>V50/D50</f>
        <v>6.1256961018297536E-2</v>
      </c>
      <c r="X50" s="366">
        <f>O50-(Q50+R50+T50+U50-V50)</f>
        <v>4.9000000000000341</v>
      </c>
      <c r="Y50" s="367"/>
      <c r="Z50" s="366"/>
      <c r="AA50" s="366"/>
      <c r="AB50" s="366"/>
      <c r="AC50" s="366">
        <f>AC51*AF50/AF51</f>
        <v>2.4859606522834303</v>
      </c>
      <c r="AD50" s="361">
        <f>AC50/D50</f>
        <v>1.9776934385707479E-2</v>
      </c>
      <c r="AE50" s="366"/>
      <c r="AF50" s="366">
        <v>2.7120062029999912</v>
      </c>
      <c r="AG50" s="326">
        <v>52.8</v>
      </c>
      <c r="AH50" s="343">
        <f>AG50/C50</f>
        <v>3.9087947882736153E-2</v>
      </c>
      <c r="AI50" s="343">
        <f>(AG50-AN50)/C50</f>
        <v>3.4942256440627775E-2</v>
      </c>
      <c r="AJ50" s="453">
        <f>AG50-(AK50+AL50+AM50+AN50)</f>
        <v>0</v>
      </c>
      <c r="AK50" s="292">
        <v>39.5</v>
      </c>
      <c r="AL50" s="292">
        <v>6.7</v>
      </c>
      <c r="AM50" s="372">
        <v>1</v>
      </c>
      <c r="AN50" s="292">
        <v>5.6</v>
      </c>
      <c r="AO50" s="372">
        <v>20.8</v>
      </c>
      <c r="AP50" s="333">
        <v>39.6205</v>
      </c>
      <c r="AQ50" s="333"/>
      <c r="AR50" s="333"/>
      <c r="AS50" s="333"/>
      <c r="AT50" s="361">
        <f>(O50-AG50)/C50</f>
        <v>5.3968018951732311E-2</v>
      </c>
      <c r="AU50" s="305">
        <v>0.48</v>
      </c>
      <c r="AV50" s="454">
        <f>(AK50+AL50)/(G50+L50-T50)</f>
        <v>0.37591537835638733</v>
      </c>
      <c r="AW50" s="374">
        <f>(AK50+AL50)/(G50+L50-T50-AE50)</f>
        <v>0.37591537835638733</v>
      </c>
      <c r="AX50" s="361">
        <f>(AG50-AN50-AM50)/(G50+L50-T50+V50)</f>
        <v>0.35375191424196017</v>
      </c>
      <c r="AY50" s="454">
        <f>(AG50-AN50-AM50+AO50)/(G50+L50-T50+AO50)</f>
        <v>0.46624913013221991</v>
      </c>
      <c r="AZ50" s="374">
        <f>(AG50-AN50-AM50+AO50)/(G50+L50-T50+AO50-AC50)</f>
        <v>0.47445707459032044</v>
      </c>
      <c r="BA50" s="361">
        <f>(AG50-AN50)/Q50</f>
        <v>0.31848852901484481</v>
      </c>
      <c r="BB50" s="361">
        <f>(AG50-AN50)/(Q50+R50)</f>
        <v>0.29760403530895335</v>
      </c>
      <c r="BC50" s="358">
        <f>D50</f>
        <v>125.7</v>
      </c>
      <c r="BD50" s="453">
        <f>BC50-(BE50+BF50+BG50)</f>
        <v>0</v>
      </c>
      <c r="BE50" s="452">
        <f>AG50</f>
        <v>52.8</v>
      </c>
      <c r="BF50" s="371">
        <v>33.200000000000003</v>
      </c>
      <c r="BG50" s="371">
        <v>39.700000000000003</v>
      </c>
      <c r="BH50" s="361">
        <f>BG50/D50</f>
        <v>0.31583134447096262</v>
      </c>
      <c r="BI50" s="292">
        <v>32</v>
      </c>
      <c r="BJ50" s="292">
        <f>BG50-BI50</f>
        <v>7.7000000000000028</v>
      </c>
      <c r="BK50" s="361">
        <f>BJ50/D50</f>
        <v>6.1256961018297557E-2</v>
      </c>
      <c r="BL50" s="361"/>
      <c r="BM50" s="361"/>
      <c r="BN50" s="361"/>
      <c r="BO50" s="361">
        <f>BJ50/I50</f>
        <v>0.44000000000000017</v>
      </c>
      <c r="BP50" s="451"/>
      <c r="BQ50" s="355">
        <f>L50</f>
        <v>20.399999999999999</v>
      </c>
      <c r="BR50" s="442"/>
      <c r="BX50" s="318"/>
      <c r="CT50" s="281"/>
      <c r="CV50" s="318"/>
      <c r="CW50" s="318"/>
      <c r="DD50" s="318"/>
      <c r="DE50" s="318"/>
      <c r="DJ50" s="281"/>
      <c r="DU50" s="281"/>
      <c r="EF50" s="318"/>
      <c r="EP50" s="277"/>
      <c r="FA50" s="289"/>
      <c r="FB50" s="292"/>
      <c r="FC50" s="292"/>
      <c r="FD50" s="292"/>
      <c r="FE50" s="292"/>
      <c r="FF50" s="292"/>
      <c r="FG50" s="292"/>
      <c r="FH50" s="292"/>
      <c r="FI50" s="292"/>
      <c r="FJ50" s="292"/>
      <c r="FK50" s="292"/>
      <c r="FL50" s="450"/>
      <c r="FM50" s="292"/>
      <c r="FN50" s="292"/>
      <c r="FO50" s="292"/>
      <c r="FP50" s="292"/>
      <c r="FQ50" s="292"/>
      <c r="FR50" s="292"/>
      <c r="FS50" s="292"/>
      <c r="FT50" s="292"/>
      <c r="FU50" s="292"/>
    </row>
    <row r="51" spans="2:177" s="275" customFormat="1">
      <c r="B51" s="292">
        <v>1975</v>
      </c>
      <c r="C51" s="344">
        <v>1451.1</v>
      </c>
      <c r="D51" s="352">
        <v>138.9</v>
      </c>
      <c r="E51" s="361">
        <f>D51/C51</f>
        <v>9.5720487905726695E-2</v>
      </c>
      <c r="F51" s="333">
        <f>D51-(G51+I51)</f>
        <v>0</v>
      </c>
      <c r="G51" s="333">
        <f>D51-I51</f>
        <v>124.30000000000001</v>
      </c>
      <c r="H51" s="361">
        <f>G51/C51</f>
        <v>8.5659155123699274E-2</v>
      </c>
      <c r="I51" s="292">
        <v>14.6</v>
      </c>
      <c r="J51" s="343">
        <f>I51/C51</f>
        <v>1.0061332782027428E-2</v>
      </c>
      <c r="K51" s="361">
        <f>I51/D51</f>
        <v>0.10511159107271417</v>
      </c>
      <c r="L51" s="371">
        <v>17.899999999999999</v>
      </c>
      <c r="M51" s="343">
        <f>L51/C51</f>
        <v>1.2335469643718558E-2</v>
      </c>
      <c r="N51" s="370">
        <f>L51/D51</f>
        <v>0.12886969042476601</v>
      </c>
      <c r="O51" s="352">
        <f>D51</f>
        <v>138.9</v>
      </c>
      <c r="P51" s="366">
        <f>O51-(Q51+R51+T51+U51+X51-V51)</f>
        <v>0</v>
      </c>
      <c r="Q51" s="366">
        <v>146</v>
      </c>
      <c r="R51" s="376">
        <v>10</v>
      </c>
      <c r="S51" s="374">
        <f>R51/D51</f>
        <v>7.1994240460763137E-2</v>
      </c>
      <c r="T51" s="292">
        <v>5.6</v>
      </c>
      <c r="U51" s="292">
        <v>-15.9</v>
      </c>
      <c r="V51" s="372">
        <v>8.9</v>
      </c>
      <c r="W51" s="374">
        <f>V51/D51</f>
        <v>6.4074874010079191E-2</v>
      </c>
      <c r="X51" s="366">
        <f>O51-(Q51+R51+T51+U51-V51)</f>
        <v>2.1000000000000227</v>
      </c>
      <c r="Y51" s="367"/>
      <c r="Z51" s="366"/>
      <c r="AA51" s="366"/>
      <c r="AB51" s="366"/>
      <c r="AC51" s="366">
        <f>AC52*AF51/AF52</f>
        <v>1.8552536881147497</v>
      </c>
      <c r="AD51" s="361">
        <f>AC51/D51</f>
        <v>1.3356758013785094E-2</v>
      </c>
      <c r="AE51" s="366"/>
      <c r="AF51" s="366">
        <v>2.0239497780000111</v>
      </c>
      <c r="AG51" s="326">
        <v>51.6</v>
      </c>
      <c r="AH51" s="343">
        <f>AG51/C51</f>
        <v>3.5559230928261319E-2</v>
      </c>
      <c r="AI51" s="343">
        <f>(AG51-AN51)/C51</f>
        <v>3.1837916063675836E-2</v>
      </c>
      <c r="AJ51" s="453">
        <f>AG51-(AK51+AL51+AM51+AN51)</f>
        <v>0.10000000000000853</v>
      </c>
      <c r="AK51" s="292">
        <v>38.099999999999994</v>
      </c>
      <c r="AL51" s="292">
        <v>7.3</v>
      </c>
      <c r="AM51" s="372">
        <v>0.7</v>
      </c>
      <c r="AN51" s="292">
        <v>5.4</v>
      </c>
      <c r="AO51" s="372">
        <v>20</v>
      </c>
      <c r="AP51" s="333">
        <v>41.015000000000001</v>
      </c>
      <c r="AQ51" s="333"/>
      <c r="AR51" s="333"/>
      <c r="AS51" s="333"/>
      <c r="AT51" s="361">
        <f>(O51-AG51)/C51</f>
        <v>6.0161256977465383E-2</v>
      </c>
      <c r="AU51" s="305">
        <v>0.48</v>
      </c>
      <c r="AV51" s="454">
        <f>(AK51+AL51)/(G51+L51-T51)</f>
        <v>0.33235724743777439</v>
      </c>
      <c r="AW51" s="374">
        <f>(AK51+AL51)/(G51+L51-T51-AE51)</f>
        <v>0.33235724743777439</v>
      </c>
      <c r="AX51" s="361">
        <f>(AG51-AN51-AM51)/(G51+L51-T51+V51)</f>
        <v>0.31271477663230235</v>
      </c>
      <c r="AY51" s="454">
        <f>(AG51-AN51-AM51+AO51)/(G51+L51-T51+AO51)</f>
        <v>0.41826309067688372</v>
      </c>
      <c r="AZ51" s="374">
        <f>(AG51-AN51-AM51+AO51)/(G51+L51-T51+AO51-AC51)</f>
        <v>0.42327769802269033</v>
      </c>
      <c r="BA51" s="361">
        <f>(AG51-AN51)/Q51</f>
        <v>0.31643835616438359</v>
      </c>
      <c r="BB51" s="361">
        <f>(AG51-AN51)/(Q51+R51)</f>
        <v>0.29615384615384616</v>
      </c>
      <c r="BC51" s="358">
        <f>D51</f>
        <v>138.9</v>
      </c>
      <c r="BD51" s="453">
        <f>BC51-(BE51+BF51+BG51)</f>
        <v>0</v>
      </c>
      <c r="BE51" s="452">
        <f>AG51</f>
        <v>51.6</v>
      </c>
      <c r="BF51" s="371">
        <v>33</v>
      </c>
      <c r="BG51" s="371">
        <v>54.3</v>
      </c>
      <c r="BH51" s="361">
        <f>BG51/D51</f>
        <v>0.39092872570194381</v>
      </c>
      <c r="BI51" s="292">
        <v>46.2</v>
      </c>
      <c r="BJ51" s="292">
        <f>BG51-BI51</f>
        <v>8.0999999999999943</v>
      </c>
      <c r="BK51" s="361">
        <f>BJ51/D51</f>
        <v>5.8315334773218097E-2</v>
      </c>
      <c r="BL51" s="361"/>
      <c r="BM51" s="361"/>
      <c r="BN51" s="361"/>
      <c r="BO51" s="361">
        <f>BJ51/I51</f>
        <v>0.55479452054794487</v>
      </c>
      <c r="BP51" s="451"/>
      <c r="BQ51" s="355">
        <f>L51</f>
        <v>17.899999999999999</v>
      </c>
      <c r="BR51" s="442"/>
      <c r="BX51" s="318"/>
      <c r="CT51" s="281"/>
      <c r="CV51" s="318"/>
      <c r="CW51" s="318"/>
      <c r="DD51" s="318"/>
      <c r="DE51" s="318"/>
      <c r="DJ51" s="281"/>
      <c r="DU51" s="281"/>
      <c r="EF51" s="318"/>
      <c r="EP51" s="277"/>
      <c r="FA51" s="289"/>
      <c r="FB51" s="292"/>
      <c r="FC51" s="292"/>
      <c r="FD51" s="292"/>
      <c r="FE51" s="292"/>
      <c r="FF51" s="292"/>
      <c r="FG51" s="292"/>
      <c r="FH51" s="292"/>
      <c r="FI51" s="292"/>
      <c r="FJ51" s="292"/>
      <c r="FK51" s="292"/>
      <c r="FL51" s="450"/>
      <c r="FM51" s="292"/>
      <c r="FN51" s="292"/>
      <c r="FO51" s="292"/>
      <c r="FP51" s="292"/>
      <c r="FQ51" s="292"/>
      <c r="FR51" s="292"/>
      <c r="FS51" s="292"/>
      <c r="FT51" s="292"/>
      <c r="FU51" s="292"/>
    </row>
    <row r="52" spans="2:177" s="275" customFormat="1">
      <c r="B52" s="292">
        <v>1976</v>
      </c>
      <c r="C52" s="344">
        <v>1614.8</v>
      </c>
      <c r="D52" s="352">
        <v>174.3</v>
      </c>
      <c r="E52" s="361">
        <f>D52/C52</f>
        <v>0.10793906366113451</v>
      </c>
      <c r="F52" s="333">
        <f>D52-(G52+I52)</f>
        <v>0</v>
      </c>
      <c r="G52" s="366">
        <f>D52-I52</f>
        <v>157.80000000000001</v>
      </c>
      <c r="H52" s="361">
        <f>G52/C52</f>
        <v>9.7721080009908354E-2</v>
      </c>
      <c r="I52" s="292">
        <v>16.5</v>
      </c>
      <c r="J52" s="343">
        <f>I52/C52</f>
        <v>1.0217983651226158E-2</v>
      </c>
      <c r="K52" s="361">
        <f>I52/D52</f>
        <v>9.4664371772805497E-2</v>
      </c>
      <c r="L52" s="371">
        <v>21</v>
      </c>
      <c r="M52" s="343">
        <f>L52/C52</f>
        <v>1.3004706465196929E-2</v>
      </c>
      <c r="N52" s="370">
        <f>L52/D52</f>
        <v>0.12048192771084336</v>
      </c>
      <c r="O52" s="352">
        <f>D52</f>
        <v>174.3</v>
      </c>
      <c r="P52" s="366">
        <f>O52-(Q52+R52+T52+U52+X52-V52)</f>
        <v>0</v>
      </c>
      <c r="Q52" s="366">
        <v>186.6</v>
      </c>
      <c r="R52" s="376">
        <v>11.6</v>
      </c>
      <c r="S52" s="374">
        <f>R52/D52</f>
        <v>6.6551921973608708E-2</v>
      </c>
      <c r="T52" s="292">
        <v>5.9</v>
      </c>
      <c r="U52" s="292">
        <v>-21.9</v>
      </c>
      <c r="V52" s="372">
        <v>10.6</v>
      </c>
      <c r="W52" s="374">
        <f>V52/D52</f>
        <v>6.0814687320711408E-2</v>
      </c>
      <c r="X52" s="366">
        <f>O52-(Q52+R52+T52+U52-V52)</f>
        <v>2.7000000000000171</v>
      </c>
      <c r="Y52" s="367"/>
      <c r="Z52" s="366"/>
      <c r="AA52" s="366"/>
      <c r="AB52" s="366"/>
      <c r="AC52" s="366">
        <f>AC53*AF52/AF53</f>
        <v>1.7193835020234705</v>
      </c>
      <c r="AD52" s="361">
        <f>AC52/D52</f>
        <v>9.8645066094289746E-3</v>
      </c>
      <c r="AE52" s="366"/>
      <c r="AF52" s="366">
        <v>1.8757250717304843</v>
      </c>
      <c r="AG52" s="326">
        <v>65.3</v>
      </c>
      <c r="AH52" s="343">
        <f>AG52/C52</f>
        <v>4.0438444389398066E-2</v>
      </c>
      <c r="AI52" s="343">
        <f>(AG52-AN52)/C52</f>
        <v>3.6784741144414171E-2</v>
      </c>
      <c r="AJ52" s="453">
        <f>AG52-(AK52+AL52+AM52+AN52)</f>
        <v>9.9999999999994316E-2</v>
      </c>
      <c r="AK52" s="292">
        <v>48.6</v>
      </c>
      <c r="AL52" s="292">
        <v>9.6</v>
      </c>
      <c r="AM52" s="372">
        <v>1.1000000000000001</v>
      </c>
      <c r="AN52" s="292">
        <v>5.9</v>
      </c>
      <c r="AO52" s="372">
        <v>24.3</v>
      </c>
      <c r="AP52" s="369">
        <f>AP51+(AP$54-AP$51)/3</f>
        <v>47.804416666666668</v>
      </c>
      <c r="AQ52" s="369"/>
      <c r="AR52" s="369"/>
      <c r="AS52" s="369"/>
      <c r="AT52" s="368">
        <f>(O52-AG52)/C52</f>
        <v>6.7500619271736451E-2</v>
      </c>
      <c r="AU52" s="305">
        <v>0.48</v>
      </c>
      <c r="AV52" s="454">
        <f>(AK52+AL52)/(G52+L52-T52)</f>
        <v>0.33661075766338927</v>
      </c>
      <c r="AW52" s="374">
        <f>(AK52+AL52)/(G52+L52-T52-AE52)</f>
        <v>0.33661075766338927</v>
      </c>
      <c r="AX52" s="361">
        <f>(AG52-AN52-AM52)/(G52+L52-T52+V52)</f>
        <v>0.31771117166212531</v>
      </c>
      <c r="AY52" s="454">
        <f>(AG52-AN52-AM52+AO52)/(G52+L52-T52+AO52)</f>
        <v>0.41886409736308311</v>
      </c>
      <c r="AZ52" s="374">
        <f>(AG52-AN52-AM52+AO52)/(G52+L52-T52+AO52-AC52)</f>
        <v>0.42254828882665718</v>
      </c>
      <c r="BA52" s="361">
        <f>(AG52-AN52)/Q52</f>
        <v>0.31832797427652731</v>
      </c>
      <c r="BB52" s="361">
        <f>(AG52-AN52)/(Q52+R52)</f>
        <v>0.29969727547931385</v>
      </c>
      <c r="BC52" s="358">
        <f>D52</f>
        <v>174.3</v>
      </c>
      <c r="BD52" s="453">
        <f>BC52-(BE52+BF52+BG52)</f>
        <v>0</v>
      </c>
      <c r="BE52" s="452">
        <f>AG52</f>
        <v>65.3</v>
      </c>
      <c r="BF52" s="371">
        <v>39</v>
      </c>
      <c r="BG52" s="371">
        <v>70</v>
      </c>
      <c r="BH52" s="361">
        <f>BG52/D52</f>
        <v>0.40160642570281124</v>
      </c>
      <c r="BI52" s="292">
        <v>62.4</v>
      </c>
      <c r="BJ52" s="292">
        <f>BG52-BI52</f>
        <v>7.6000000000000014</v>
      </c>
      <c r="BK52" s="361">
        <f>BJ52/D52</f>
        <v>4.360298336201951E-2</v>
      </c>
      <c r="BL52" s="361"/>
      <c r="BM52" s="361"/>
      <c r="BN52" s="361"/>
      <c r="BO52" s="361">
        <f>BJ52/I52</f>
        <v>0.46060606060606069</v>
      </c>
      <c r="BP52" s="451"/>
      <c r="BQ52" s="355">
        <f>L52</f>
        <v>21</v>
      </c>
      <c r="BR52" s="442"/>
      <c r="BX52" s="318"/>
      <c r="CT52" s="281"/>
      <c r="CV52" s="318"/>
      <c r="CW52" s="318"/>
      <c r="DD52" s="318"/>
      <c r="DE52" s="318"/>
      <c r="DJ52" s="281"/>
      <c r="DU52" s="281"/>
      <c r="EF52" s="318"/>
      <c r="EP52" s="277"/>
      <c r="FA52" s="289"/>
      <c r="FB52" s="292"/>
      <c r="FC52" s="292"/>
      <c r="FD52" s="292"/>
      <c r="FE52" s="292"/>
      <c r="FF52" s="292"/>
      <c r="FG52" s="292"/>
      <c r="FH52" s="292"/>
      <c r="FI52" s="292"/>
      <c r="FJ52" s="292"/>
      <c r="FK52" s="292"/>
      <c r="FL52" s="450"/>
      <c r="FM52" s="292"/>
      <c r="FN52" s="292"/>
      <c r="FO52" s="292"/>
      <c r="FP52" s="292"/>
      <c r="FQ52" s="292"/>
      <c r="FR52" s="292"/>
      <c r="FS52" s="292"/>
      <c r="FT52" s="292"/>
      <c r="FU52" s="292"/>
    </row>
    <row r="53" spans="2:177" s="275" customFormat="1">
      <c r="B53" s="292">
        <v>1977</v>
      </c>
      <c r="C53" s="344">
        <v>1798.7</v>
      </c>
      <c r="D53" s="352">
        <v>205.8</v>
      </c>
      <c r="E53" s="361">
        <f>D53/C53</f>
        <v>0.11441596708734086</v>
      </c>
      <c r="F53" s="333">
        <f>D53-(G53+I53)</f>
        <v>0</v>
      </c>
      <c r="G53" s="366">
        <f>D53-I53</f>
        <v>186.70000000000002</v>
      </c>
      <c r="H53" s="361">
        <f>G53/C53</f>
        <v>0.10379718685717464</v>
      </c>
      <c r="I53" s="292">
        <v>19.100000000000001</v>
      </c>
      <c r="J53" s="343">
        <f>I53/C53</f>
        <v>1.0618780230166231E-2</v>
      </c>
      <c r="K53" s="361">
        <f>I53/D53</f>
        <v>9.2808551992225458E-2</v>
      </c>
      <c r="L53" s="371">
        <v>23.7</v>
      </c>
      <c r="M53" s="343">
        <f>L53/C53</f>
        <v>1.317618279868794E-2</v>
      </c>
      <c r="N53" s="370">
        <f>L53/D53</f>
        <v>0.11516034985422739</v>
      </c>
      <c r="O53" s="352">
        <f>D53</f>
        <v>205.8</v>
      </c>
      <c r="P53" s="366">
        <f>O53-(Q53+R53+T53+U53+X53-V53)</f>
        <v>0</v>
      </c>
      <c r="Q53" s="366">
        <v>219.5</v>
      </c>
      <c r="R53" s="376">
        <v>12.2</v>
      </c>
      <c r="S53" s="374">
        <f>R53/D53</f>
        <v>5.9280855199222542E-2</v>
      </c>
      <c r="T53" s="292">
        <v>6.1</v>
      </c>
      <c r="U53" s="292">
        <v>-22.7</v>
      </c>
      <c r="V53" s="372">
        <v>14</v>
      </c>
      <c r="W53" s="374">
        <f>V53/D53</f>
        <v>6.8027210884353734E-2</v>
      </c>
      <c r="X53" s="366">
        <f>O53-(Q53+R53+T53+U53-V53)</f>
        <v>4.7000000000000171</v>
      </c>
      <c r="Y53" s="367"/>
      <c r="Z53" s="366"/>
      <c r="AA53" s="366"/>
      <c r="AB53" s="366"/>
      <c r="AC53" s="366">
        <f>AC54*AF53/AF54</f>
        <v>1.8094899005145804</v>
      </c>
      <c r="AD53" s="361">
        <f>AC53/D53</f>
        <v>8.7924679325295449E-3</v>
      </c>
      <c r="AE53" s="366"/>
      <c r="AF53" s="366">
        <v>1.9740247416843988</v>
      </c>
      <c r="AG53" s="326">
        <v>74.400000000000006</v>
      </c>
      <c r="AH53" s="343">
        <f>AG53/C53</f>
        <v>4.1363206760438094E-2</v>
      </c>
      <c r="AI53" s="343">
        <f>(AG53-AN53)/C53</f>
        <v>3.8083059987768945E-2</v>
      </c>
      <c r="AJ53" s="453">
        <f>AG53-(AK53+AL53+AM53+AN53)</f>
        <v>0</v>
      </c>
      <c r="AK53" s="292">
        <v>55.7</v>
      </c>
      <c r="AL53" s="292">
        <v>11.4</v>
      </c>
      <c r="AM53" s="372">
        <v>1.4</v>
      </c>
      <c r="AN53" s="292">
        <v>5.9</v>
      </c>
      <c r="AO53" s="372">
        <v>26.8</v>
      </c>
      <c r="AP53" s="369">
        <f>AP52+(AP$54-AP$51)/3</f>
        <v>54.593833333333336</v>
      </c>
      <c r="AQ53" s="369"/>
      <c r="AR53" s="369"/>
      <c r="AS53" s="369"/>
      <c r="AT53" s="368">
        <f>(O53-AG53)/C53</f>
        <v>7.3052760326902763E-2</v>
      </c>
      <c r="AU53" s="305">
        <v>0.48</v>
      </c>
      <c r="AV53" s="454">
        <f>(AK53+AL53)/(G53+L53-T53)</f>
        <v>0.32843857072931965</v>
      </c>
      <c r="AW53" s="374">
        <f>(AK53+AL53)/(G53+L53-T53-AE53)</f>
        <v>0.32843857072931965</v>
      </c>
      <c r="AX53" s="361">
        <f>(AG53-AN53-AM53)/(G53+L53-T53+V53)</f>
        <v>0.3073751717819514</v>
      </c>
      <c r="AY53" s="454">
        <f>(AG53-AN53-AM53+AO53)/(G53+L53-T53+AO53)</f>
        <v>0.40631761142362605</v>
      </c>
      <c r="AZ53" s="374">
        <f>(AG53-AN53-AM53+AO53)/(G53+L53-T53+AO53-AC53)</f>
        <v>0.40952414454160491</v>
      </c>
      <c r="BA53" s="361">
        <f>(AG53-AN53)/Q53</f>
        <v>0.3120728929384966</v>
      </c>
      <c r="BB53" s="361">
        <f>(AG53-AN53)/(Q53+R53)</f>
        <v>0.29564091497626244</v>
      </c>
      <c r="BC53" s="358">
        <f>D53</f>
        <v>205.8</v>
      </c>
      <c r="BD53" s="453">
        <f>BC53-(BE53+BF53+BG53)</f>
        <v>0</v>
      </c>
      <c r="BE53" s="452">
        <f>AG53</f>
        <v>74.400000000000006</v>
      </c>
      <c r="BF53" s="371">
        <v>44.8</v>
      </c>
      <c r="BG53" s="371">
        <v>86.6</v>
      </c>
      <c r="BH53" s="361">
        <f>BG53/D53</f>
        <v>0.42079689018464522</v>
      </c>
      <c r="BI53" s="292">
        <v>78.5</v>
      </c>
      <c r="BJ53" s="292">
        <f>BG53-BI53</f>
        <v>8.0999999999999943</v>
      </c>
      <c r="BK53" s="361">
        <f>BJ53/D53</f>
        <v>3.9358600583090347E-2</v>
      </c>
      <c r="BL53" s="361"/>
      <c r="BM53" s="361"/>
      <c r="BN53" s="361"/>
      <c r="BO53" s="361">
        <f>BJ53/I53</f>
        <v>0.42408376963350752</v>
      </c>
      <c r="BP53" s="451"/>
      <c r="BQ53" s="355">
        <f>L53</f>
        <v>23.7</v>
      </c>
      <c r="BR53" s="442"/>
      <c r="BX53" s="318"/>
      <c r="CT53" s="281"/>
      <c r="CV53" s="318"/>
      <c r="CW53" s="318"/>
      <c r="DD53" s="318"/>
      <c r="DE53" s="318"/>
      <c r="DJ53" s="281"/>
      <c r="DU53" s="281"/>
      <c r="EF53" s="318"/>
      <c r="EP53" s="367"/>
      <c r="EQ53" s="366"/>
      <c r="ER53" s="366"/>
      <c r="ES53" s="366"/>
      <c r="ET53" s="366"/>
      <c r="EU53" s="366"/>
      <c r="EV53" s="366"/>
      <c r="EW53" s="366"/>
      <c r="EX53" s="366"/>
      <c r="EY53" s="366"/>
      <c r="FA53" s="289"/>
      <c r="FB53" s="292"/>
      <c r="FC53" s="292"/>
      <c r="FD53" s="292"/>
      <c r="FE53" s="292"/>
      <c r="FF53" s="292"/>
      <c r="FG53" s="292"/>
      <c r="FH53" s="292"/>
      <c r="FI53" s="292"/>
      <c r="FJ53" s="292"/>
      <c r="FK53" s="292"/>
      <c r="FL53" s="450"/>
      <c r="FM53" s="292"/>
      <c r="FN53" s="292"/>
      <c r="FO53" s="292"/>
      <c r="FP53" s="292"/>
      <c r="FQ53" s="292"/>
      <c r="FR53" s="292"/>
      <c r="FS53" s="292"/>
      <c r="FT53" s="292"/>
      <c r="FU53" s="292"/>
    </row>
    <row r="54" spans="2:177" s="275" customFormat="1">
      <c r="B54" s="292">
        <v>1978</v>
      </c>
      <c r="C54" s="344">
        <v>2029.9</v>
      </c>
      <c r="D54" s="352">
        <v>238.6</v>
      </c>
      <c r="E54" s="361">
        <f>D54/C54</f>
        <v>0.11754273609537415</v>
      </c>
      <c r="F54" s="333">
        <f>D54-(G54+I54)</f>
        <v>0</v>
      </c>
      <c r="G54" s="366">
        <f>D54-I54</f>
        <v>215.7</v>
      </c>
      <c r="H54" s="361">
        <f>G54/C54</f>
        <v>0.10626139218680722</v>
      </c>
      <c r="I54" s="292">
        <v>22.9</v>
      </c>
      <c r="J54" s="343">
        <f>I54/C54</f>
        <v>1.1281343908566924E-2</v>
      </c>
      <c r="K54" s="361">
        <f>I54/D54</f>
        <v>9.5976529756915341E-2</v>
      </c>
      <c r="L54" s="371">
        <v>29</v>
      </c>
      <c r="M54" s="343">
        <f>L54/C54</f>
        <v>1.4286418050150252E-2</v>
      </c>
      <c r="N54" s="370">
        <f>L54/D54</f>
        <v>0.12154233025984912</v>
      </c>
      <c r="O54" s="352">
        <f>D54</f>
        <v>238.6</v>
      </c>
      <c r="P54" s="366">
        <f>O54-(Q54+R54+T54+U54+X54-V54)</f>
        <v>0</v>
      </c>
      <c r="Q54" s="366">
        <v>247.4</v>
      </c>
      <c r="R54" s="376">
        <v>14.8</v>
      </c>
      <c r="S54" s="374">
        <f>R54/D54</f>
        <v>6.2028499580888519E-2</v>
      </c>
      <c r="T54" s="292">
        <v>7.6</v>
      </c>
      <c r="U54" s="292">
        <v>-31.799999999999997</v>
      </c>
      <c r="V54" s="372">
        <v>16.7</v>
      </c>
      <c r="W54" s="374">
        <f>V54/D54</f>
        <v>6.9991617770326905E-2</v>
      </c>
      <c r="X54" s="366">
        <f>O54-(Q54+R54+T54+U54-V54)</f>
        <v>17.299999999999983</v>
      </c>
      <c r="Y54" s="367"/>
      <c r="Z54" s="366"/>
      <c r="AA54" s="366"/>
      <c r="AB54" s="366"/>
      <c r="AC54" s="366">
        <f>AC55*AF54/AF55</f>
        <v>2.0938779062091926</v>
      </c>
      <c r="AD54" s="361">
        <f>AC54/D54</f>
        <v>8.775682758630313E-3</v>
      </c>
      <c r="AE54" s="366"/>
      <c r="AF54" s="366">
        <v>2.284271822543928</v>
      </c>
      <c r="AG54" s="326">
        <v>84.9</v>
      </c>
      <c r="AH54" s="343">
        <f>AG54/C54</f>
        <v>4.1824720429577814E-2</v>
      </c>
      <c r="AI54" s="343">
        <f>(AG54-AN54)/C54</f>
        <v>3.8376274693334649E-2</v>
      </c>
      <c r="AJ54" s="453">
        <f>AG54-(AK54+AL54+AM54+AN54)</f>
        <v>0</v>
      </c>
      <c r="AK54" s="292">
        <v>64.400000000000006</v>
      </c>
      <c r="AL54" s="292">
        <v>12.1</v>
      </c>
      <c r="AM54" s="372">
        <v>1.4</v>
      </c>
      <c r="AN54" s="292">
        <v>7</v>
      </c>
      <c r="AO54" s="372">
        <v>27.5</v>
      </c>
      <c r="AP54" s="333">
        <v>61.383249999999997</v>
      </c>
      <c r="AQ54" s="333"/>
      <c r="AR54" s="333"/>
      <c r="AS54" s="333"/>
      <c r="AT54" s="361">
        <f>(O54-AG54)/C54</f>
        <v>7.5718015665796334E-2</v>
      </c>
      <c r="AU54" s="305">
        <v>0.48</v>
      </c>
      <c r="AV54" s="454">
        <f>(AK54+AL54)/(G54+L54-T54)</f>
        <v>0.322648671446647</v>
      </c>
      <c r="AW54" s="374">
        <f>(AK54+AL54)/(G54+L54-T54-AE54)</f>
        <v>0.322648671446647</v>
      </c>
      <c r="AX54" s="361">
        <f>(AG54-AN54-AM54)/(G54+L54-T54+V54)</f>
        <v>0.3014184397163121</v>
      </c>
      <c r="AY54" s="454">
        <f>(AG54-AN54-AM54+AO54)/(G54+L54-T54+AO54)</f>
        <v>0.3930461073318216</v>
      </c>
      <c r="AZ54" s="374">
        <f>(AG54-AN54-AM54+AO54)/(G54+L54-T54+AO54-AC54)</f>
        <v>0.39618123634785868</v>
      </c>
      <c r="BA54" s="361">
        <f>(AG54-AN54)/Q54</f>
        <v>0.31487469684721103</v>
      </c>
      <c r="BB54" s="361">
        <f>(AG54-AN54)/(Q54+R54)</f>
        <v>0.29710144927536236</v>
      </c>
      <c r="BC54" s="358">
        <f>D54</f>
        <v>238.6</v>
      </c>
      <c r="BD54" s="453">
        <f>BC54-(BE54+BF54+BG54)</f>
        <v>0</v>
      </c>
      <c r="BE54" s="452">
        <f>AG54</f>
        <v>84.9</v>
      </c>
      <c r="BF54" s="371">
        <v>50.8</v>
      </c>
      <c r="BG54" s="371">
        <v>102.9</v>
      </c>
      <c r="BH54" s="361">
        <f>BG54/D54</f>
        <v>0.43126571668063707</v>
      </c>
      <c r="BI54" s="292">
        <v>91.2</v>
      </c>
      <c r="BJ54" s="292">
        <f>BG54-BI54</f>
        <v>11.700000000000003</v>
      </c>
      <c r="BK54" s="361">
        <f>BJ54/D54</f>
        <v>4.9036043587594315E-2</v>
      </c>
      <c r="BL54" s="361"/>
      <c r="BM54" s="361"/>
      <c r="BN54" s="361"/>
      <c r="BO54" s="361">
        <f>BJ54/I54</f>
        <v>0.51091703056768578</v>
      </c>
      <c r="BP54" s="451"/>
      <c r="BQ54" s="355">
        <f>L54</f>
        <v>29</v>
      </c>
      <c r="BR54" s="442"/>
      <c r="BX54" s="318"/>
      <c r="CT54" s="281"/>
      <c r="CV54" s="318"/>
      <c r="CW54" s="318"/>
      <c r="DD54" s="318"/>
      <c r="DE54" s="318"/>
      <c r="DJ54" s="281"/>
      <c r="DU54" s="281"/>
      <c r="EF54" s="318"/>
      <c r="EP54" s="367"/>
      <c r="EQ54" s="366"/>
      <c r="ER54" s="366"/>
      <c r="ES54" s="366"/>
      <c r="ET54" s="366"/>
      <c r="EU54" s="366"/>
      <c r="EV54" s="366"/>
      <c r="EW54" s="366"/>
      <c r="EX54" s="366"/>
      <c r="EY54" s="366"/>
      <c r="FA54" s="289"/>
      <c r="FB54" s="292"/>
      <c r="FC54" s="292"/>
      <c r="FD54" s="292"/>
      <c r="FE54" s="292"/>
      <c r="FF54" s="292"/>
      <c r="FG54" s="292"/>
      <c r="FH54" s="292"/>
      <c r="FI54" s="292"/>
      <c r="FJ54" s="292"/>
      <c r="FK54" s="292"/>
      <c r="FL54" s="450"/>
      <c r="FM54" s="292"/>
      <c r="FN54" s="292"/>
      <c r="FO54" s="292"/>
      <c r="FP54" s="292"/>
      <c r="FQ54" s="292"/>
      <c r="FR54" s="292"/>
      <c r="FS54" s="292"/>
      <c r="FT54" s="292"/>
      <c r="FU54" s="292"/>
    </row>
    <row r="55" spans="2:177" s="377" customFormat="1">
      <c r="B55" s="392">
        <v>1979</v>
      </c>
      <c r="C55" s="405">
        <v>2248.1999999999998</v>
      </c>
      <c r="D55" s="382">
        <v>249</v>
      </c>
      <c r="E55" s="378">
        <f>D55/C55</f>
        <v>0.11075527088337338</v>
      </c>
      <c r="F55" s="389">
        <f>D55-(G55+I55)</f>
        <v>0</v>
      </c>
      <c r="G55" s="381">
        <f>D55-I55</f>
        <v>214.4</v>
      </c>
      <c r="H55" s="378">
        <f>G55/C55</f>
        <v>9.5365181033715871E-2</v>
      </c>
      <c r="I55" s="392">
        <v>34.6</v>
      </c>
      <c r="J55" s="400">
        <f>I55/C55</f>
        <v>1.5390089849657505E-2</v>
      </c>
      <c r="K55" s="378">
        <f>I55/D55</f>
        <v>0.13895582329317269</v>
      </c>
      <c r="L55" s="383">
        <v>42.599999999999994</v>
      </c>
      <c r="M55" s="400">
        <f>L55/C55</f>
        <v>1.894849212703496E-2</v>
      </c>
      <c r="N55" s="404">
        <f>L55/D55</f>
        <v>0.17108433734939757</v>
      </c>
      <c r="O55" s="382">
        <f>D55</f>
        <v>249</v>
      </c>
      <c r="P55" s="381">
        <f>O55-(Q55+R55+T55+U55+X55-V55)</f>
        <v>0</v>
      </c>
      <c r="Q55" s="381">
        <v>283</v>
      </c>
      <c r="R55" s="403">
        <v>16.5</v>
      </c>
      <c r="S55" s="396">
        <f>R55/D55</f>
        <v>6.6265060240963861E-2</v>
      </c>
      <c r="T55" s="392">
        <v>9.4</v>
      </c>
      <c r="U55" s="392">
        <v>-52.1</v>
      </c>
      <c r="V55" s="399">
        <v>21</v>
      </c>
      <c r="W55" s="396">
        <f>V55/D55</f>
        <v>8.4337349397590355E-2</v>
      </c>
      <c r="X55" s="381">
        <f>O55-(Q55+R55+T55+U55-V55)</f>
        <v>13.200000000000045</v>
      </c>
      <c r="Y55" s="402"/>
      <c r="Z55" s="381"/>
      <c r="AA55" s="381"/>
      <c r="AB55" s="381"/>
      <c r="AC55" s="381">
        <f>AC56*AF55/AF56</f>
        <v>2.0447713640314307</v>
      </c>
      <c r="AD55" s="378">
        <f>AC55/D55</f>
        <v>8.2119331888812468E-3</v>
      </c>
      <c r="AE55" s="381"/>
      <c r="AF55" s="381">
        <v>2.2307000788111204</v>
      </c>
      <c r="AG55" s="401">
        <v>90</v>
      </c>
      <c r="AH55" s="400">
        <f>AG55/C55</f>
        <v>4.0032025620496403E-2</v>
      </c>
      <c r="AI55" s="400">
        <f>(AG55-AN55)/C55</f>
        <v>3.5895382973045106E-2</v>
      </c>
      <c r="AJ55" s="394">
        <f>AG55-(AK55+AL55+AM55+AN55)</f>
        <v>-9.9999999999994316E-2</v>
      </c>
      <c r="AK55" s="392">
        <v>65.2</v>
      </c>
      <c r="AL55" s="392">
        <v>13.6</v>
      </c>
      <c r="AM55" s="399">
        <v>2</v>
      </c>
      <c r="AN55" s="392">
        <v>9.3000000000000007</v>
      </c>
      <c r="AO55" s="399">
        <v>38.200000000000003</v>
      </c>
      <c r="AP55" s="389">
        <v>65.407749999999993</v>
      </c>
      <c r="AQ55" s="389"/>
      <c r="AR55" s="389"/>
      <c r="AS55" s="389"/>
      <c r="AT55" s="378">
        <f>(O55-AG55)/C55</f>
        <v>7.0723245262876974E-2</v>
      </c>
      <c r="AU55" s="449">
        <v>0.46</v>
      </c>
      <c r="AV55" s="397">
        <f>(AK55+AL55)/(G55+L55-T55)</f>
        <v>0.3182552504038772</v>
      </c>
      <c r="AW55" s="396">
        <f>(AK55+AL55)/(G55+L55-T55-AE55)</f>
        <v>0.3182552504038772</v>
      </c>
      <c r="AX55" s="378">
        <f>(AG55-AN55-AM55)/(G55+L55-T55+V55)</f>
        <v>0.29300074460163811</v>
      </c>
      <c r="AY55" s="397">
        <f>(AG55-AN55-AM55+AO55)/(G55+L55-T55+AO55)</f>
        <v>0.40902729181245628</v>
      </c>
      <c r="AZ55" s="396">
        <f>(AG55-AN55-AM55+AO55)/(G55+L55-T55+AO55-AC55)</f>
        <v>0.41197478743192345</v>
      </c>
      <c r="BA55" s="378">
        <f>(AG55-AN55)/Q55</f>
        <v>0.2851590106007067</v>
      </c>
      <c r="BB55" s="378">
        <f>(AG55-AN55)/(Q55+R55)</f>
        <v>0.26944908180300503</v>
      </c>
      <c r="BC55" s="395">
        <f>D55</f>
        <v>249</v>
      </c>
      <c r="BD55" s="394">
        <f>BC55-(BE55+BF55+BG55)</f>
        <v>9.9999999999994316E-2</v>
      </c>
      <c r="BE55" s="393">
        <f>AG55</f>
        <v>90</v>
      </c>
      <c r="BF55" s="383">
        <v>57.5</v>
      </c>
      <c r="BG55" s="383">
        <v>101.4</v>
      </c>
      <c r="BH55" s="378">
        <f>BG55/D55</f>
        <v>0.40722891566265063</v>
      </c>
      <c r="BI55" s="392">
        <v>82.9</v>
      </c>
      <c r="BJ55" s="392">
        <f>BG55-BI55</f>
        <v>18.5</v>
      </c>
      <c r="BK55" s="378">
        <f>BJ55/D55</f>
        <v>7.4297188755020074E-2</v>
      </c>
      <c r="BL55" s="378"/>
      <c r="BM55" s="378"/>
      <c r="BN55" s="378"/>
      <c r="BO55" s="378">
        <f>BJ55/I55</f>
        <v>0.53468208092485547</v>
      </c>
      <c r="BP55" s="391"/>
      <c r="BQ55" s="390">
        <f>L55</f>
        <v>42.599999999999994</v>
      </c>
      <c r="BR55" s="444"/>
      <c r="BX55" s="447"/>
      <c r="CT55" s="448"/>
      <c r="CV55" s="447"/>
      <c r="CW55" s="447"/>
      <c r="DD55" s="447"/>
      <c r="DE55" s="447"/>
      <c r="DJ55" s="448"/>
      <c r="DU55" s="401"/>
      <c r="EF55" s="447"/>
      <c r="EP55" s="402"/>
      <c r="EQ55" s="381"/>
      <c r="ER55" s="381"/>
      <c r="ES55" s="381"/>
      <c r="ET55" s="381"/>
      <c r="EU55" s="381"/>
      <c r="EV55" s="381"/>
      <c r="EW55" s="381"/>
      <c r="EX55" s="381"/>
      <c r="EY55" s="381"/>
      <c r="FA55" s="446"/>
      <c r="FB55" s="392"/>
      <c r="FC55" s="392"/>
      <c r="FD55" s="392"/>
      <c r="FE55" s="392"/>
      <c r="FF55" s="392"/>
      <c r="FG55" s="392"/>
      <c r="FH55" s="392"/>
      <c r="FI55" s="392"/>
      <c r="FJ55" s="392"/>
      <c r="FK55" s="392"/>
      <c r="FL55" s="445"/>
      <c r="FM55" s="392"/>
      <c r="FN55" s="392"/>
      <c r="FO55" s="392"/>
      <c r="FP55" s="392"/>
      <c r="FQ55" s="392"/>
      <c r="FR55" s="392"/>
      <c r="FS55" s="392"/>
      <c r="FT55" s="392"/>
      <c r="FU55" s="392"/>
    </row>
    <row r="56" spans="2:177">
      <c r="B56" s="288">
        <v>1980</v>
      </c>
      <c r="C56" s="344">
        <v>2426.8000000000002</v>
      </c>
      <c r="D56" s="352">
        <v>223.6</v>
      </c>
      <c r="E56" s="361">
        <f>D56/C56</f>
        <v>9.2137794626668851E-2</v>
      </c>
      <c r="F56" s="333">
        <f>D56-(G56+I56)</f>
        <v>0</v>
      </c>
      <c r="G56" s="278">
        <f>D56-I56</f>
        <v>188.1</v>
      </c>
      <c r="H56" s="302">
        <f>G56/C56</f>
        <v>7.7509477501236185E-2</v>
      </c>
      <c r="I56" s="292">
        <v>35.5</v>
      </c>
      <c r="J56" s="343">
        <f>I56/C56</f>
        <v>1.4628317125432668E-2</v>
      </c>
      <c r="K56" s="361">
        <f>I56/D56</f>
        <v>0.15876565295169948</v>
      </c>
      <c r="L56" s="371">
        <v>43.9</v>
      </c>
      <c r="M56" s="343">
        <f>L56/C56</f>
        <v>1.8089665402999833E-2</v>
      </c>
      <c r="N56" s="370">
        <f>L56/D56</f>
        <v>0.19633273703041146</v>
      </c>
      <c r="O56" s="352">
        <f>D56</f>
        <v>223.6</v>
      </c>
      <c r="P56" s="366">
        <f>O56-(Q56+R56+T56+U56+X56-V56)</f>
        <v>0</v>
      </c>
      <c r="Q56" s="278">
        <v>235.9</v>
      </c>
      <c r="R56" s="376">
        <v>20.100000000000001</v>
      </c>
      <c r="S56" s="374">
        <f>R56/D56</f>
        <v>8.9892665474060829E-2</v>
      </c>
      <c r="T56" s="292">
        <v>11.8</v>
      </c>
      <c r="U56" s="292">
        <v>-59.2</v>
      </c>
      <c r="V56" s="372">
        <v>27.1</v>
      </c>
      <c r="W56" s="374">
        <f>V56/D56</f>
        <v>0.12119856887298748</v>
      </c>
      <c r="X56" s="366">
        <f>O56-(Q56+R56+T56+U56-V56)</f>
        <v>42.099999999999966</v>
      </c>
      <c r="Y56" s="367"/>
      <c r="Z56" s="366"/>
      <c r="AA56" s="366"/>
      <c r="AB56" s="366"/>
      <c r="AC56" s="366">
        <f>AC57*AF56/AF57</f>
        <v>0.61430886845127586</v>
      </c>
      <c r="AD56" s="302">
        <f>AC56/D56</f>
        <v>2.7473562989770834E-3</v>
      </c>
      <c r="AE56" s="278"/>
      <c r="AF56" s="278">
        <v>0.67016726924759862</v>
      </c>
      <c r="AG56" s="326">
        <v>87.2</v>
      </c>
      <c r="AH56" s="295">
        <f>AG56/C56</f>
        <v>3.5932091643316302E-2</v>
      </c>
      <c r="AI56" s="295">
        <f>(AG56-AN56)/C56</f>
        <v>3.1110927970990604E-2</v>
      </c>
      <c r="AJ56" s="357">
        <f>AG56-(AK56+AL56+AM56+AN56)</f>
        <v>0</v>
      </c>
      <c r="AK56" s="288">
        <v>58.59999999999998</v>
      </c>
      <c r="AL56" s="288">
        <v>14.5</v>
      </c>
      <c r="AM56" s="290">
        <v>2.4</v>
      </c>
      <c r="AN56" s="288">
        <v>11.7</v>
      </c>
      <c r="AO56" s="372">
        <v>26.4</v>
      </c>
      <c r="AP56" s="333">
        <v>63.734250000000003</v>
      </c>
      <c r="AQ56" s="333"/>
      <c r="AR56" s="333"/>
      <c r="AS56" s="333"/>
      <c r="AT56" s="361">
        <f>(O56-AG56)/C56</f>
        <v>5.6205702983352548E-2</v>
      </c>
      <c r="AU56" s="305">
        <v>0.46</v>
      </c>
      <c r="AV56" s="359">
        <f>(AK56+AL56)/(G56+L56-T56)</f>
        <v>0.33197093551316975</v>
      </c>
      <c r="AW56" s="353">
        <f>(AK56+AL56)/(G56+L56-T56-AE56)</f>
        <v>0.33197093551316975</v>
      </c>
      <c r="AX56" s="302">
        <f>(AG56-AN56-AM56)/(G56+L56-T56+V56)</f>
        <v>0.29559239789729075</v>
      </c>
      <c r="AY56" s="359">
        <f>(AG56-AN56-AM56+AO56)/(G56+L56-T56+AO56)</f>
        <v>0.40348742903487428</v>
      </c>
      <c r="AZ56" s="353">
        <f>(AG56-AN56-AM56+AO56)/(G56+L56-T56+AO56-AC56)</f>
        <v>0.40449507262920098</v>
      </c>
      <c r="BA56" s="302">
        <f>(AG56-AN56)/Q56</f>
        <v>0.32005086901229335</v>
      </c>
      <c r="BB56" s="302">
        <f>(AG56-AN56)/(Q56+R56)</f>
        <v>0.294921875</v>
      </c>
      <c r="BC56" s="358">
        <f>D56</f>
        <v>223.6</v>
      </c>
      <c r="BD56" s="357">
        <f>BC56-(BE56+BF56+BG56)</f>
        <v>0</v>
      </c>
      <c r="BE56" s="356">
        <f>AG56</f>
        <v>87.2</v>
      </c>
      <c r="BF56" s="314">
        <v>64.099999999999994</v>
      </c>
      <c r="BG56" s="314">
        <v>72.3</v>
      </c>
      <c r="BH56" s="302">
        <f>BG56/D56</f>
        <v>0.323345259391771</v>
      </c>
      <c r="BI56" s="288">
        <v>53.6</v>
      </c>
      <c r="BJ56" s="288">
        <f>BG56-BI56</f>
        <v>18.699999999999996</v>
      </c>
      <c r="BK56" s="302">
        <f>BJ56/D56</f>
        <v>8.3631484794275471E-2</v>
      </c>
      <c r="BL56" s="302"/>
      <c r="BM56" s="302"/>
      <c r="BN56" s="302"/>
      <c r="BO56" s="302">
        <f>BJ56/I56</f>
        <v>0.52676056338028154</v>
      </c>
      <c r="BP56" s="294"/>
      <c r="BQ56" s="355">
        <f>L56</f>
        <v>43.9</v>
      </c>
      <c r="BR56" s="442"/>
      <c r="BX56" s="273"/>
      <c r="CT56" s="281"/>
      <c r="CU56" s="275"/>
      <c r="CV56" s="318"/>
      <c r="CW56" s="273"/>
      <c r="DD56" s="273"/>
      <c r="DE56" s="273"/>
      <c r="DJ56" s="281"/>
      <c r="DU56" s="326"/>
      <c r="EF56" s="301"/>
      <c r="EP56" s="367"/>
      <c r="EQ56" s="278"/>
      <c r="ER56" s="278"/>
      <c r="ES56" s="278"/>
      <c r="ET56" s="278"/>
      <c r="EU56" s="278"/>
      <c r="EV56" s="278"/>
      <c r="EW56" s="278"/>
      <c r="EX56" s="278"/>
      <c r="EY56" s="278"/>
      <c r="FA56" s="289"/>
      <c r="FB56" s="288"/>
      <c r="FC56" s="288"/>
      <c r="FD56" s="288"/>
      <c r="FE56" s="288"/>
      <c r="FF56" s="288"/>
      <c r="FG56" s="288"/>
      <c r="FH56" s="288"/>
      <c r="FI56" s="288"/>
      <c r="FJ56" s="288"/>
      <c r="FK56" s="288"/>
      <c r="FL56" s="301"/>
      <c r="FM56" s="288"/>
      <c r="FN56" s="288"/>
      <c r="FO56" s="288"/>
      <c r="FP56" s="288"/>
      <c r="FQ56" s="288"/>
      <c r="FR56" s="288"/>
      <c r="FS56" s="288"/>
      <c r="FT56" s="288"/>
      <c r="FU56" s="288"/>
    </row>
    <row r="57" spans="2:177">
      <c r="B57" s="288">
        <v>1981</v>
      </c>
      <c r="C57" s="344">
        <v>2722.1</v>
      </c>
      <c r="D57" s="352">
        <v>247.5</v>
      </c>
      <c r="E57" s="361">
        <f>D57/C57</f>
        <v>9.0922449579368875E-2</v>
      </c>
      <c r="F57" s="333">
        <f>D57-(G57+I57)</f>
        <v>0</v>
      </c>
      <c r="G57" s="278">
        <f>D57-I57</f>
        <v>217.8</v>
      </c>
      <c r="H57" s="302">
        <f>G57/C57</f>
        <v>8.0011755629844611E-2</v>
      </c>
      <c r="I57" s="292">
        <v>29.7</v>
      </c>
      <c r="J57" s="343">
        <f>I57/C57</f>
        <v>1.0910693949524264E-2</v>
      </c>
      <c r="K57" s="361">
        <f>I57/D57</f>
        <v>0.12</v>
      </c>
      <c r="L57" s="371">
        <v>38</v>
      </c>
      <c r="M57" s="343">
        <f>L57/C57</f>
        <v>1.3959810440468757E-2</v>
      </c>
      <c r="N57" s="370">
        <f>L57/D57</f>
        <v>0.15353535353535352</v>
      </c>
      <c r="O57" s="352">
        <f>D57</f>
        <v>247.5</v>
      </c>
      <c r="P57" s="366">
        <f>O57-(Q57+R57+T57+U57+X57-V57)</f>
        <v>0</v>
      </c>
      <c r="Q57" s="278">
        <v>212.5</v>
      </c>
      <c r="R57" s="376">
        <v>26.3</v>
      </c>
      <c r="S57" s="374">
        <f>R57/D57</f>
        <v>0.10626262626262627</v>
      </c>
      <c r="T57" s="292">
        <v>14.4</v>
      </c>
      <c r="U57" s="292">
        <v>-29.1</v>
      </c>
      <c r="V57" s="372">
        <v>28.8</v>
      </c>
      <c r="W57" s="374">
        <f>V57/D57</f>
        <v>0.11636363636363636</v>
      </c>
      <c r="X57" s="366">
        <f>O57-(Q57+R57+T57+U57-V57)</f>
        <v>52.199999999999989</v>
      </c>
      <c r="Y57" s="367"/>
      <c r="Z57" s="366"/>
      <c r="AA57" s="366"/>
      <c r="AB57" s="366"/>
      <c r="AC57" s="366">
        <f>AC58*AF57/AF58</f>
        <v>-0.74822169282345263</v>
      </c>
      <c r="AD57" s="302">
        <f>AC57/D57</f>
        <v>-3.0231179508018288E-3</v>
      </c>
      <c r="AE57" s="278"/>
      <c r="AF57" s="278">
        <v>-0.81625663314199759</v>
      </c>
      <c r="AG57" s="326">
        <v>84.3</v>
      </c>
      <c r="AH57" s="295">
        <f>AG57/C57</f>
        <v>3.0968737371882004E-2</v>
      </c>
      <c r="AI57" s="295">
        <f>(AG57-AN57)/C57</f>
        <v>2.5825649314867197E-2</v>
      </c>
      <c r="AJ57" s="357">
        <f>AG57-(AK57+AL57+AM57+AN57)</f>
        <v>9.9999999999994316E-2</v>
      </c>
      <c r="AK57" s="288">
        <v>51.6</v>
      </c>
      <c r="AL57" s="288">
        <v>15.4</v>
      </c>
      <c r="AM57" s="290">
        <v>3.2</v>
      </c>
      <c r="AN57" s="288">
        <v>14</v>
      </c>
      <c r="AO57" s="372">
        <v>23.8</v>
      </c>
      <c r="AP57" s="333">
        <v>58.154499999999999</v>
      </c>
      <c r="AQ57" s="333"/>
      <c r="AR57" s="333"/>
      <c r="AS57" s="333"/>
      <c r="AT57" s="361">
        <f>(O57-AG57)/C57</f>
        <v>5.9953712207486867E-2</v>
      </c>
      <c r="AU57" s="305">
        <v>0.46</v>
      </c>
      <c r="AV57" s="359">
        <f>(AK57+AL57)/(G57+L57-T57)</f>
        <v>0.27754763877381938</v>
      </c>
      <c r="AW57" s="353">
        <f>(AK57+AL57)/(G57+L57-T57-AE57)</f>
        <v>0.27754763877381938</v>
      </c>
      <c r="AX57" s="302">
        <f>(AG57-AN57-AM57)/(G57+L57-T57+V57)</f>
        <v>0.24833456698741671</v>
      </c>
      <c r="AY57" s="359">
        <f>(AG57-AN57-AM57+AO57)/(G57+L57-T57+AO57)</f>
        <v>0.34276018099547512</v>
      </c>
      <c r="AZ57" s="353">
        <f>(AG57-AN57-AM57+AO57)/(G57+L57-T57+AO57-AC57)</f>
        <v>0.34179585567972576</v>
      </c>
      <c r="BA57" s="302">
        <f>(AG57-AN57)/Q57</f>
        <v>0.33082352941176468</v>
      </c>
      <c r="BB57" s="302">
        <f>(AG57-AN57)/(Q57+R57)</f>
        <v>0.29438860971524283</v>
      </c>
      <c r="BC57" s="358">
        <f>D57</f>
        <v>247.5</v>
      </c>
      <c r="BD57" s="357">
        <f>BC57-(BE57+BF57+BG57)</f>
        <v>0</v>
      </c>
      <c r="BE57" s="356">
        <f>AG57</f>
        <v>84.3</v>
      </c>
      <c r="BF57" s="314">
        <v>73.8</v>
      </c>
      <c r="BG57" s="314">
        <v>89.4</v>
      </c>
      <c r="BH57" s="302">
        <f>BG57/D57</f>
        <v>0.36121212121212126</v>
      </c>
      <c r="BI57" s="288">
        <v>75.2</v>
      </c>
      <c r="BJ57" s="288">
        <f>BG57-BI57</f>
        <v>14.200000000000003</v>
      </c>
      <c r="BK57" s="302">
        <f>BJ57/D57</f>
        <v>5.7373737373737382E-2</v>
      </c>
      <c r="BL57" s="302"/>
      <c r="BM57" s="302"/>
      <c r="BN57" s="302"/>
      <c r="BO57" s="302">
        <f>BJ57/I57</f>
        <v>0.47811447811447821</v>
      </c>
      <c r="BP57" s="294"/>
      <c r="BQ57" s="355">
        <f>L57</f>
        <v>38</v>
      </c>
      <c r="BR57" s="442"/>
      <c r="BX57" s="273"/>
      <c r="CT57" s="281"/>
      <c r="CU57" s="275"/>
      <c r="CV57" s="318"/>
      <c r="CW57" s="273"/>
      <c r="DD57" s="273"/>
      <c r="DE57" s="273"/>
      <c r="DJ57" s="281"/>
      <c r="DU57" s="326"/>
      <c r="DV57" s="288"/>
      <c r="DW57" s="288"/>
      <c r="DX57" s="288"/>
      <c r="DY57" s="288"/>
      <c r="DZ57" s="288"/>
      <c r="EA57" s="288"/>
      <c r="EB57" s="288"/>
      <c r="EC57" s="288"/>
      <c r="ED57" s="288"/>
      <c r="EF57" s="301"/>
      <c r="EG57" s="288"/>
      <c r="EH57" s="288"/>
      <c r="EI57" s="288"/>
      <c r="EJ57" s="288"/>
      <c r="EK57" s="288"/>
      <c r="EL57" s="288"/>
      <c r="EM57" s="288"/>
      <c r="EN57" s="288"/>
      <c r="EO57" s="288"/>
      <c r="EP57" s="367"/>
      <c r="EQ57" s="278"/>
      <c r="ER57" s="278"/>
      <c r="ES57" s="278"/>
      <c r="ET57" s="278"/>
      <c r="EU57" s="278"/>
      <c r="EV57" s="278"/>
      <c r="EW57" s="278"/>
      <c r="EX57" s="278"/>
      <c r="EY57" s="278"/>
      <c r="FA57" s="289"/>
      <c r="FB57" s="288"/>
      <c r="FC57" s="288"/>
      <c r="FD57" s="288"/>
      <c r="FE57" s="288"/>
      <c r="FF57" s="288"/>
      <c r="FG57" s="288"/>
      <c r="FH57" s="288"/>
      <c r="FI57" s="288"/>
      <c r="FJ57" s="288"/>
      <c r="FK57" s="288"/>
      <c r="FL57" s="301"/>
      <c r="FM57" s="288"/>
      <c r="FN57" s="288"/>
      <c r="FO57" s="288"/>
      <c r="FP57" s="288"/>
      <c r="FQ57" s="288"/>
      <c r="FR57" s="288"/>
      <c r="FS57" s="288"/>
      <c r="FT57" s="288"/>
      <c r="FU57" s="288"/>
    </row>
    <row r="58" spans="2:177">
      <c r="B58" s="288">
        <v>1982</v>
      </c>
      <c r="C58" s="344">
        <v>2840.4</v>
      </c>
      <c r="D58" s="352">
        <v>229.9</v>
      </c>
      <c r="E58" s="343">
        <f>D58/C58</f>
        <v>8.0939304323334738E-2</v>
      </c>
      <c r="F58" s="333">
        <f>D58-(G58+I58)</f>
        <v>0</v>
      </c>
      <c r="G58" s="278">
        <f>D58-I58</f>
        <v>197.3</v>
      </c>
      <c r="H58" s="302">
        <f>G58/C58</f>
        <v>6.9462047598929724E-2</v>
      </c>
      <c r="I58" s="292">
        <v>32.6</v>
      </c>
      <c r="J58" s="343">
        <f>I58/C58</f>
        <v>1.1477256724405013E-2</v>
      </c>
      <c r="K58" s="361">
        <f>I58/D58</f>
        <v>0.14180078294910831</v>
      </c>
      <c r="L58" s="371">
        <v>36.700000000000003</v>
      </c>
      <c r="M58" s="343">
        <f>L58/C58</f>
        <v>1.2920715392198282E-2</v>
      </c>
      <c r="N58" s="370">
        <f>L58/D58</f>
        <v>0.15963462374945631</v>
      </c>
      <c r="O58" s="352">
        <f>D58</f>
        <v>229.9</v>
      </c>
      <c r="P58" s="366">
        <f>O58-(Q58+R58+T58+U58+X58-V58)</f>
        <v>0</v>
      </c>
      <c r="Q58" s="278">
        <v>154.80000000000001</v>
      </c>
      <c r="R58" s="376">
        <v>29.8</v>
      </c>
      <c r="S58" s="374">
        <f>R58/D58</f>
        <v>0.12962157459765114</v>
      </c>
      <c r="T58" s="292">
        <v>15.2</v>
      </c>
      <c r="U58" s="292">
        <v>-2.5</v>
      </c>
      <c r="V58" s="372">
        <v>29.1</v>
      </c>
      <c r="W58" s="374">
        <f>V58/D58</f>
        <v>0.12657677250978686</v>
      </c>
      <c r="X58" s="366">
        <f>O58-(Q58+R58+T58+U58-V58)</f>
        <v>61.699999999999989</v>
      </c>
      <c r="Y58" s="367"/>
      <c r="Z58" s="366"/>
      <c r="AA58" s="366"/>
      <c r="AB58" s="366"/>
      <c r="AC58" s="366">
        <f>AC59*AF58/AF59</f>
        <v>-0.78325796472878984</v>
      </c>
      <c r="AD58" s="302">
        <f>AC58/D58</f>
        <v>-3.4069506947750753E-3</v>
      </c>
      <c r="AE58" s="278"/>
      <c r="AF58" s="278">
        <v>-0.85447871306510159</v>
      </c>
      <c r="AG58" s="326">
        <v>66.5</v>
      </c>
      <c r="AH58" s="295">
        <f>AG58/C58</f>
        <v>2.3412195465427405E-2</v>
      </c>
      <c r="AI58" s="295">
        <f>(AG58-AN58)/C58</f>
        <v>1.8060836501901139E-2</v>
      </c>
      <c r="AJ58" s="357">
        <f>AG58-(AK58+AL58+AM58+AN58)</f>
        <v>0</v>
      </c>
      <c r="AK58" s="288">
        <v>33.899999999999991</v>
      </c>
      <c r="AL58" s="288">
        <v>14</v>
      </c>
      <c r="AM58" s="290">
        <v>3.4</v>
      </c>
      <c r="AN58" s="288">
        <v>15.2</v>
      </c>
      <c r="AO58" s="372">
        <v>21.2</v>
      </c>
      <c r="AP58" s="333">
        <v>46.16075</v>
      </c>
      <c r="AQ58" s="333"/>
      <c r="AR58" s="333"/>
      <c r="AS58" s="333"/>
      <c r="AT58" s="361">
        <f>(O58-AG58)/C58</f>
        <v>5.7527108857907336E-2</v>
      </c>
      <c r="AU58" s="305">
        <v>0.46</v>
      </c>
      <c r="AV58" s="359">
        <f>(AK58+AL58)/(G58+L58-T58)</f>
        <v>0.21892138939670927</v>
      </c>
      <c r="AW58" s="353">
        <f>(AK58+AL58)/(G58+L58-T58-AE58)</f>
        <v>0.21892138939670927</v>
      </c>
      <c r="AX58" s="302">
        <f>(AG58-AN58-AM58)/(G58+L58-T58+V58)</f>
        <v>0.19322307382008874</v>
      </c>
      <c r="AY58" s="359">
        <f>(AG58-AN58-AM58+AO58)/(G58+L58-T58+AO58)</f>
        <v>0.28791666666666665</v>
      </c>
      <c r="AZ58" s="353">
        <f>(AG58-AN58-AM58+AO58)/(G58+L58-T58+AO58-AC58)</f>
        <v>0.28698008567573302</v>
      </c>
      <c r="BA58" s="302">
        <f>(AG58-AN58)/Q58</f>
        <v>0.33139534883720928</v>
      </c>
      <c r="BB58" s="302">
        <f>(AG58-AN58)/(Q58+R58)</f>
        <v>0.27789815817984825</v>
      </c>
      <c r="BC58" s="358">
        <f>D58</f>
        <v>229.9</v>
      </c>
      <c r="BD58" s="357">
        <f>BC58-(BE58+BF58+BG58)</f>
        <v>0.10000000000002274</v>
      </c>
      <c r="BE58" s="356">
        <f>AG58</f>
        <v>66.5</v>
      </c>
      <c r="BF58" s="314">
        <v>77.7</v>
      </c>
      <c r="BG58" s="314">
        <v>85.6</v>
      </c>
      <c r="BH58" s="302">
        <f>BG58/D58</f>
        <v>0.37233579817311874</v>
      </c>
      <c r="BI58" s="288">
        <v>69.400000000000006</v>
      </c>
      <c r="BJ58" s="288">
        <f>BG58-BI58</f>
        <v>16.199999999999989</v>
      </c>
      <c r="BK58" s="302">
        <f>BJ58/D58</f>
        <v>7.0465419747716349E-2</v>
      </c>
      <c r="BL58" s="302">
        <f>DD58/(D58)</f>
        <v>1.3471074380165288E-2</v>
      </c>
      <c r="BM58" s="302">
        <f>DD58/(CV58+CW58)</f>
        <v>0.11114699971289116</v>
      </c>
      <c r="BN58" s="302">
        <f>CQ58*DF58</f>
        <v>0.12473819880779764</v>
      </c>
      <c r="BO58" s="302">
        <f>BJ58/I58</f>
        <v>0.49693251533742294</v>
      </c>
      <c r="BP58" s="294">
        <v>23.058</v>
      </c>
      <c r="BQ58" s="355">
        <f>L58</f>
        <v>36.700000000000003</v>
      </c>
      <c r="BR58" s="442"/>
      <c r="BX58" s="315">
        <v>24.827999999999999</v>
      </c>
      <c r="BY58" s="314">
        <v>0.42099999999999999</v>
      </c>
      <c r="BZ58" s="314">
        <v>1.073</v>
      </c>
      <c r="CA58" s="314">
        <v>0.161</v>
      </c>
      <c r="CB58" s="314">
        <v>1.4339999999999999</v>
      </c>
      <c r="CC58" s="314">
        <f>CD58+CE58</f>
        <v>2.105</v>
      </c>
      <c r="CD58" s="314">
        <v>1.395</v>
      </c>
      <c r="CE58" s="314">
        <v>0.71</v>
      </c>
      <c r="CF58" s="314">
        <v>0.47299999999999998</v>
      </c>
      <c r="CG58" s="314">
        <f>BY58+BZ58+CA58+CB58+CD58+CE58+CF58</f>
        <v>5.6669999999999998</v>
      </c>
      <c r="CH58" s="314">
        <f>BX58-CG58</f>
        <v>19.161000000000001</v>
      </c>
      <c r="CI58" s="302">
        <f>BY58/$BX58</f>
        <v>1.6956661833413888E-2</v>
      </c>
      <c r="CJ58" s="302">
        <f>BZ58/$BX58</f>
        <v>4.3217335266634446E-2</v>
      </c>
      <c r="CK58" s="302">
        <f>CA58/$BX58</f>
        <v>6.4846141453198001E-3</v>
      </c>
      <c r="CL58" s="302">
        <f>CB58/$BX58</f>
        <v>5.7757370710488157E-2</v>
      </c>
      <c r="CM58" s="300">
        <f>CN58+CO58</f>
        <v>8.4783309167069443E-2</v>
      </c>
      <c r="CN58" s="302">
        <f>CD58/$BX58</f>
        <v>5.6186563557274048E-2</v>
      </c>
      <c r="CO58" s="302">
        <f>CE58/$BX58</f>
        <v>2.8596745609795391E-2</v>
      </c>
      <c r="CP58" s="302">
        <f>CF58/$BX58</f>
        <v>1.9051071371032704E-2</v>
      </c>
      <c r="CQ58" s="302">
        <f>CG58/$BX58</f>
        <v>0.22825036249395844</v>
      </c>
      <c r="CR58" s="302">
        <f>CQ58*N58</f>
        <v>3.6436660737400067E-2</v>
      </c>
      <c r="CS58" s="342">
        <f>BX58</f>
        <v>24.827999999999999</v>
      </c>
      <c r="CT58" s="355">
        <f>BX58</f>
        <v>24.827999999999999</v>
      </c>
      <c r="CU58" s="333">
        <f>CT58-(CV58+CW58)</f>
        <v>-3.0360000000000014</v>
      </c>
      <c r="CV58" s="347">
        <v>23.058</v>
      </c>
      <c r="CW58" s="315">
        <v>4.806</v>
      </c>
      <c r="CX58" s="314">
        <v>0.20200000000000001</v>
      </c>
      <c r="CY58" s="314">
        <v>-0.16</v>
      </c>
      <c r="CZ58" s="314">
        <v>0.125</v>
      </c>
      <c r="DA58" s="314">
        <v>0.80700000000000005</v>
      </c>
      <c r="DB58" s="314">
        <v>1.8759999999999999</v>
      </c>
      <c r="DC58" s="314">
        <v>0.247</v>
      </c>
      <c r="DD58" s="315">
        <f>DC58+DB58+DA58+CZ58+CY58+CX58</f>
        <v>3.0969999999999995</v>
      </c>
      <c r="DE58" s="315"/>
      <c r="DF58" s="302">
        <f>DD58/CG58</f>
        <v>0.54649726486677253</v>
      </c>
      <c r="DG58" s="314">
        <f>CW58-DD58</f>
        <v>1.7090000000000005</v>
      </c>
      <c r="DH58" s="302">
        <f>DD58/CW58</f>
        <v>0.64440282979608809</v>
      </c>
      <c r="DI58" s="302">
        <f>CW58/(CW58+CV58)</f>
        <v>0.17248062015503876</v>
      </c>
      <c r="DJ58" s="325">
        <v>1.0780000000000001</v>
      </c>
      <c r="DK58" s="322">
        <v>0.33300000000000002</v>
      </c>
      <c r="DL58" s="322">
        <v>-0.105</v>
      </c>
      <c r="DM58" s="322">
        <v>0.17899999999999999</v>
      </c>
      <c r="DN58" s="322">
        <v>0.77500000000000002</v>
      </c>
      <c r="DO58" s="322">
        <v>-6.9589999999999996</v>
      </c>
      <c r="DP58" s="322">
        <v>0.94499999999999995</v>
      </c>
      <c r="DQ58" s="322">
        <v>4.2000000000000003E-2</v>
      </c>
      <c r="DR58" s="314">
        <f>DQ58+DO58+DN58+DM58+DL58+DK58</f>
        <v>-5.7349999999999994</v>
      </c>
      <c r="DS58" s="314">
        <f>DJ58-DR58</f>
        <v>6.8129999999999997</v>
      </c>
      <c r="DT58" s="300">
        <f>DR58/DJ58</f>
        <v>-5.3200371057513909</v>
      </c>
      <c r="DU58" s="325">
        <f>DJ58-CW58</f>
        <v>-3.7279999999999998</v>
      </c>
      <c r="DV58" s="314">
        <v>-3.7280000000000002</v>
      </c>
      <c r="DW58" s="314">
        <f>DK58-CX58</f>
        <v>0.13100000000000001</v>
      </c>
      <c r="DX58" s="314">
        <f>DL58-CY58</f>
        <v>5.5000000000000007E-2</v>
      </c>
      <c r="DY58" s="314">
        <f>DM58-CZ58</f>
        <v>5.3999999999999992E-2</v>
      </c>
      <c r="DZ58" s="314">
        <f>DN58-DA58</f>
        <v>-3.2000000000000028E-2</v>
      </c>
      <c r="EA58" s="314">
        <f>DO58-DB58</f>
        <v>-8.8349999999999991</v>
      </c>
      <c r="EB58" s="314">
        <f>DQ58-DC58</f>
        <v>-0.20499999999999999</v>
      </c>
      <c r="EC58" s="314">
        <f>EB58+EA58+DZ58+DY58+DX58+DW58</f>
        <v>-8.831999999999999</v>
      </c>
      <c r="ED58" s="314">
        <f>DU58-EC58</f>
        <v>5.1039999999999992</v>
      </c>
      <c r="EE58" s="302">
        <f>EC58/DU58</f>
        <v>2.3690987124463518</v>
      </c>
      <c r="EF58" s="315">
        <v>9.7080000000000002</v>
      </c>
      <c r="EG58" s="314">
        <v>0.09</v>
      </c>
      <c r="EH58" s="314">
        <v>0.53500000000000003</v>
      </c>
      <c r="EI58" s="314">
        <v>2.3E-2</v>
      </c>
      <c r="EJ58" s="314">
        <v>0.16600000000000001</v>
      </c>
      <c r="EK58" s="314">
        <v>4.6529999999999996</v>
      </c>
      <c r="EL58" s="314">
        <v>4.7E-2</v>
      </c>
      <c r="EM58" s="314">
        <f>EL58+EK58+EJ58+EI58+EH58+EG58</f>
        <v>5.5139999999999993</v>
      </c>
      <c r="EN58" s="314">
        <f>EF58-EM58</f>
        <v>4.1940000000000008</v>
      </c>
      <c r="EO58" s="302">
        <f>EM58/EF58</f>
        <v>0.5679851668726823</v>
      </c>
      <c r="EP58" s="352">
        <v>207.75200000000001</v>
      </c>
      <c r="EQ58" s="278">
        <v>2.0310000000000001</v>
      </c>
      <c r="ER58" s="278">
        <v>6.76</v>
      </c>
      <c r="ES58" s="278">
        <v>1.0980000000000001</v>
      </c>
      <c r="ET58" s="278">
        <v>12.863</v>
      </c>
      <c r="EU58" s="278">
        <v>-1.847</v>
      </c>
      <c r="EV58" s="278">
        <v>11.519</v>
      </c>
      <c r="EW58" s="278">
        <v>1.72</v>
      </c>
      <c r="EX58" s="278">
        <f>EW58+EU58+ET58+ES58+ER58+EQ58</f>
        <v>22.625</v>
      </c>
      <c r="EY58" s="278">
        <f>EP58-EX58</f>
        <v>185.12700000000001</v>
      </c>
      <c r="EZ58" s="302">
        <f>EX58/EP58</f>
        <v>0.10890388540182525</v>
      </c>
      <c r="FA58" s="289"/>
      <c r="FB58" s="288"/>
      <c r="FC58" s="288"/>
      <c r="FD58" s="288"/>
      <c r="FE58" s="288"/>
      <c r="FF58" s="288"/>
      <c r="FG58" s="288"/>
      <c r="FH58" s="288"/>
      <c r="FI58" s="288"/>
      <c r="FJ58" s="288"/>
      <c r="FK58" s="288"/>
      <c r="FL58" s="301"/>
      <c r="FM58" s="288"/>
      <c r="FN58" s="288"/>
      <c r="FO58" s="288"/>
      <c r="FP58" s="288"/>
      <c r="FQ58" s="288"/>
      <c r="FR58" s="288"/>
      <c r="FS58" s="288"/>
      <c r="FT58" s="288"/>
      <c r="FU58" s="288"/>
    </row>
    <row r="59" spans="2:177">
      <c r="B59" s="288">
        <v>1983</v>
      </c>
      <c r="C59" s="344">
        <v>3060.5</v>
      </c>
      <c r="D59" s="352">
        <v>279.8</v>
      </c>
      <c r="E59" s="343">
        <f>D59/C59</f>
        <v>9.1422970102924356E-2</v>
      </c>
      <c r="F59" s="333">
        <f>D59-(G59+I59)</f>
        <v>0</v>
      </c>
      <c r="G59" s="278">
        <f>D59-I59</f>
        <v>244.70000000000002</v>
      </c>
      <c r="H59" s="302">
        <f>G59/C59</f>
        <v>7.9954255840548938E-2</v>
      </c>
      <c r="I59" s="292">
        <v>35.1</v>
      </c>
      <c r="J59" s="343">
        <f>I59/C59</f>
        <v>1.146871426237543E-2</v>
      </c>
      <c r="K59" s="361">
        <f>I59/D59</f>
        <v>0.12544674767691208</v>
      </c>
      <c r="L59" s="371">
        <v>41.1</v>
      </c>
      <c r="M59" s="343">
        <f>L59/C59</f>
        <v>1.3429178238849862E-2</v>
      </c>
      <c r="N59" s="370">
        <f>L59/D59</f>
        <v>0.14689063616869191</v>
      </c>
      <c r="O59" s="352">
        <f>D59</f>
        <v>279.8</v>
      </c>
      <c r="P59" s="366">
        <f>O59-(Q59+R59+T59+U59+X59-V59)</f>
        <v>0</v>
      </c>
      <c r="Q59" s="278">
        <v>190</v>
      </c>
      <c r="R59" s="376">
        <v>41.4</v>
      </c>
      <c r="S59" s="374">
        <f>R59/D59</f>
        <v>0.14796283059328091</v>
      </c>
      <c r="T59" s="292">
        <v>14.6</v>
      </c>
      <c r="U59" s="292">
        <v>15.9</v>
      </c>
      <c r="V59" s="372">
        <v>42</v>
      </c>
      <c r="W59" s="374">
        <f>V59/D59</f>
        <v>0.15010721944245889</v>
      </c>
      <c r="X59" s="366">
        <f>O59-(Q59+R59+T59+U59-V59)</f>
        <v>59.900000000000034</v>
      </c>
      <c r="Y59" s="367"/>
      <c r="Z59" s="366"/>
      <c r="AA59" s="366"/>
      <c r="AB59" s="366"/>
      <c r="AC59" s="366">
        <f>AC60*AF59/AF60</f>
        <v>1.9149687151312365</v>
      </c>
      <c r="AD59" s="302">
        <f>AC59/D59</f>
        <v>6.8440625987535256E-3</v>
      </c>
      <c r="AE59" s="278"/>
      <c r="AF59" s="278">
        <v>2.0890946239300021</v>
      </c>
      <c r="AG59" s="326">
        <v>80.599999999999994</v>
      </c>
      <c r="AH59" s="295">
        <f>AG59/C59</f>
        <v>2.6335566083973205E-2</v>
      </c>
      <c r="AI59" s="295">
        <f>(AG59-AN59)/C59</f>
        <v>2.1695801339650381E-2</v>
      </c>
      <c r="AJ59" s="357">
        <f>AG59-(AK59+AL59+AM59+AN59)</f>
        <v>-0.10000000000000853</v>
      </c>
      <c r="AK59" s="288">
        <v>47.199999999999996</v>
      </c>
      <c r="AL59" s="288">
        <v>15.9</v>
      </c>
      <c r="AM59" s="290">
        <v>3.4</v>
      </c>
      <c r="AN59" s="288">
        <v>14.2</v>
      </c>
      <c r="AO59" s="372">
        <v>21.5</v>
      </c>
      <c r="AP59" s="333">
        <v>41.989750000000001</v>
      </c>
      <c r="AQ59" s="333"/>
      <c r="AR59" s="333"/>
      <c r="AS59" s="333"/>
      <c r="AT59" s="361">
        <f>(O59-AG59)/C59</f>
        <v>6.5087404018951162E-2</v>
      </c>
      <c r="AU59" s="305">
        <v>0.46</v>
      </c>
      <c r="AV59" s="359">
        <f>(AK59+AL59)/(G59+L59-T59)</f>
        <v>0.23266961651917403</v>
      </c>
      <c r="AW59" s="353">
        <f>(AK59+AL59)/(G59+L59-T59-AE59)</f>
        <v>0.23266961651917403</v>
      </c>
      <c r="AX59" s="302">
        <f>(AG59-AN59-AM59)/(G59+L59-T59+V59)</f>
        <v>0.2011494252873563</v>
      </c>
      <c r="AY59" s="359">
        <f>(AG59-AN59-AM59+AO59)/(G59+L59-T59+AO59)</f>
        <v>0.28869149299624192</v>
      </c>
      <c r="AZ59" s="353">
        <f>(AG59-AN59-AM59+AO59)/(G59+L59-T59+AO59-AC59)</f>
        <v>0.29059267468695538</v>
      </c>
      <c r="BA59" s="302">
        <f>(AG59-AN59)/Q59</f>
        <v>0.34947368421052627</v>
      </c>
      <c r="BB59" s="302">
        <f>(AG59-AN59)/(Q59+R59)</f>
        <v>0.28694900605012963</v>
      </c>
      <c r="BC59" s="358">
        <f>D59</f>
        <v>279.8</v>
      </c>
      <c r="BD59" s="357">
        <f>BC59-(BE59+BF59+BG59)</f>
        <v>0</v>
      </c>
      <c r="BE59" s="356">
        <f>AG59</f>
        <v>80.599999999999994</v>
      </c>
      <c r="BF59" s="314">
        <v>83.5</v>
      </c>
      <c r="BG59" s="314">
        <v>115.7</v>
      </c>
      <c r="BH59" s="302">
        <f>BG59/D59</f>
        <v>0.4135096497498213</v>
      </c>
      <c r="BI59" s="288">
        <v>92.7</v>
      </c>
      <c r="BJ59" s="288">
        <f>BG59-BI59</f>
        <v>23</v>
      </c>
      <c r="BK59" s="302">
        <f>BJ59/D59</f>
        <v>8.2201572551822727E-2</v>
      </c>
      <c r="BL59" s="302">
        <f>DD59/(D59)</f>
        <v>2.0385989992852033E-2</v>
      </c>
      <c r="BM59" s="302">
        <f>DD59/(CV59+CW59)</f>
        <v>0.17655069951714741</v>
      </c>
      <c r="BN59" s="302">
        <f>CQ59*DF59</f>
        <v>0.20924431401320609</v>
      </c>
      <c r="BO59" s="302">
        <f>BJ59/I59</f>
        <v>0.6552706552706552</v>
      </c>
      <c r="BP59" s="294">
        <v>18.628</v>
      </c>
      <c r="BQ59" s="355">
        <f>L59</f>
        <v>41.1</v>
      </c>
      <c r="BR59" s="442"/>
      <c r="BX59" s="315">
        <v>27.26</v>
      </c>
      <c r="BY59" s="314">
        <v>0.51500000000000001</v>
      </c>
      <c r="BZ59" s="314">
        <v>1.431</v>
      </c>
      <c r="CA59" s="314">
        <v>0.17</v>
      </c>
      <c r="CB59" s="314">
        <v>1.4019999999999999</v>
      </c>
      <c r="CC59" s="314">
        <f>CD59+CE59</f>
        <v>0.52700000000000002</v>
      </c>
      <c r="CD59" s="314">
        <v>1.3420000000000001</v>
      </c>
      <c r="CE59" s="314">
        <v>-0.81500000000000006</v>
      </c>
      <c r="CF59" s="314">
        <v>0.52400000000000002</v>
      </c>
      <c r="CG59" s="314">
        <f>BY59+BZ59+CA59+CB59+CD59+CE59+CF59</f>
        <v>4.5689999999999991</v>
      </c>
      <c r="CH59" s="314">
        <f>BX59-CG59</f>
        <v>22.691000000000003</v>
      </c>
      <c r="CI59" s="302">
        <f>BY59/$BX59</f>
        <v>1.8892149669845929E-2</v>
      </c>
      <c r="CJ59" s="302">
        <f>BZ59/$BX59</f>
        <v>5.2494497432134996E-2</v>
      </c>
      <c r="CK59" s="302">
        <f>CA59/$BX59</f>
        <v>6.2362435803374906E-3</v>
      </c>
      <c r="CL59" s="302">
        <f>CB59/$BX59</f>
        <v>5.1430667644900945E-2</v>
      </c>
      <c r="CM59" s="300">
        <f>CN59+CO59</f>
        <v>1.9332355099046225E-2</v>
      </c>
      <c r="CN59" s="302">
        <f>CD59/$BX59</f>
        <v>4.9229640498899489E-2</v>
      </c>
      <c r="CO59" s="302">
        <f>CE59/$BX59</f>
        <v>-2.9897285399853264E-2</v>
      </c>
      <c r="CP59" s="302">
        <f>CF59/$BX59</f>
        <v>1.9222303741746147E-2</v>
      </c>
      <c r="CQ59" s="302">
        <f>CG59/$BX59</f>
        <v>0.16760821716801169</v>
      </c>
      <c r="CR59" s="302">
        <f>CQ59*N59</f>
        <v>2.4620077646909506E-2</v>
      </c>
      <c r="CS59" s="342">
        <f>BX59</f>
        <v>27.26</v>
      </c>
      <c r="CT59" s="355">
        <f>BX59</f>
        <v>27.26</v>
      </c>
      <c r="CU59" s="333">
        <f>CT59-(CV59+CW59)</f>
        <v>-5.0479999999999983</v>
      </c>
      <c r="CV59" s="347">
        <v>18.628</v>
      </c>
      <c r="CW59" s="315">
        <v>13.68</v>
      </c>
      <c r="CX59" s="314">
        <v>0.39400000000000002</v>
      </c>
      <c r="CY59" s="314">
        <v>0.73299999999999998</v>
      </c>
      <c r="CZ59" s="314">
        <v>0.159</v>
      </c>
      <c r="DA59" s="314">
        <v>1.073</v>
      </c>
      <c r="DB59" s="314">
        <v>2.9889999999999999</v>
      </c>
      <c r="DC59" s="314">
        <v>0.35599999999999998</v>
      </c>
      <c r="DD59" s="315">
        <f>DC59+DB59+DA59+CZ59+CY59+CX59</f>
        <v>5.7039999999999988</v>
      </c>
      <c r="DE59" s="315"/>
      <c r="DF59" s="302">
        <f>DD59/CG59</f>
        <v>1.2484132195228714</v>
      </c>
      <c r="DG59" s="314">
        <f>CW59-DD59</f>
        <v>7.9760000000000009</v>
      </c>
      <c r="DH59" s="302">
        <f>DD59/CW59</f>
        <v>0.41695906432748531</v>
      </c>
      <c r="DI59" s="302">
        <f>CW59/(CW59+CV59)</f>
        <v>0.42342453881391606</v>
      </c>
      <c r="DJ59" s="325">
        <v>9.5250000000000004</v>
      </c>
      <c r="DK59" s="322">
        <v>0.47899999999999998</v>
      </c>
      <c r="DL59" s="322">
        <v>0.443</v>
      </c>
      <c r="DM59" s="322">
        <v>0.20499999999999999</v>
      </c>
      <c r="DN59" s="322">
        <v>1.577</v>
      </c>
      <c r="DO59" s="322">
        <v>-2.0430000000000001</v>
      </c>
      <c r="DP59" s="322">
        <v>-6.2E-2</v>
      </c>
      <c r="DQ59" s="322">
        <v>0.13900000000000001</v>
      </c>
      <c r="DR59" s="314">
        <f>DQ59+DO59+DN59+DM59+DL59+DK59</f>
        <v>0.79999999999999982</v>
      </c>
      <c r="DS59" s="314">
        <f>DJ59-DR59</f>
        <v>8.7250000000000014</v>
      </c>
      <c r="DT59" s="300">
        <f>DR59/DJ59</f>
        <v>8.3989501312335943E-2</v>
      </c>
      <c r="DU59" s="325">
        <f>DJ59-CW59</f>
        <v>-4.1549999999999994</v>
      </c>
      <c r="DV59" s="314">
        <v>-4.1550000000000002</v>
      </c>
      <c r="DW59" s="314">
        <f>DK59-CX59</f>
        <v>8.4999999999999964E-2</v>
      </c>
      <c r="DX59" s="314">
        <f>DL59-CY59</f>
        <v>-0.28999999999999998</v>
      </c>
      <c r="DY59" s="314">
        <f>DM59-CZ59</f>
        <v>4.5999999999999985E-2</v>
      </c>
      <c r="DZ59" s="314">
        <f>DN59-DA59</f>
        <v>0.504</v>
      </c>
      <c r="EA59" s="314">
        <f>DO59-DB59</f>
        <v>-5.032</v>
      </c>
      <c r="EB59" s="314">
        <f>DQ59-DC59</f>
        <v>-0.21699999999999997</v>
      </c>
      <c r="EC59" s="314">
        <f>EB59+EA59+DZ59+DY59+DX59+DW59</f>
        <v>-4.903999999999999</v>
      </c>
      <c r="ED59" s="314">
        <f>DU59-EC59</f>
        <v>0.74899999999999967</v>
      </c>
      <c r="EE59" s="302">
        <f>EC59/DU59</f>
        <v>1.1802647412755716</v>
      </c>
      <c r="EF59" s="315">
        <v>7.2489999999999997</v>
      </c>
      <c r="EG59" s="314">
        <v>9.2999999999999999E-2</v>
      </c>
      <c r="EH59" s="314">
        <v>0.252</v>
      </c>
      <c r="EI59" s="323">
        <f>(EI58+EI60)/2</f>
        <v>2.0499999999999997E-2</v>
      </c>
      <c r="EJ59" s="314">
        <v>0.46300000000000002</v>
      </c>
      <c r="EK59" s="314">
        <v>1.26</v>
      </c>
      <c r="EL59" s="314">
        <v>3.5000000000000003E-2</v>
      </c>
      <c r="EM59" s="314">
        <f>EL59+EK59+EJ59+EI59+EH59+EG59</f>
        <v>2.1234999999999999</v>
      </c>
      <c r="EN59" s="314">
        <f>EF59-EM59</f>
        <v>5.1254999999999997</v>
      </c>
      <c r="EO59" s="302">
        <f>EM59/EF59</f>
        <v>0.29293695682163057</v>
      </c>
      <c r="EP59" s="352">
        <v>212.15</v>
      </c>
      <c r="EQ59" s="278">
        <v>2.5169999999999999</v>
      </c>
      <c r="ER59" s="278">
        <v>6.9169999999999998</v>
      </c>
      <c r="ES59" s="278">
        <v>1.24</v>
      </c>
      <c r="ET59" s="278">
        <v>14.257</v>
      </c>
      <c r="EU59" s="278">
        <v>-3.3519999999999999</v>
      </c>
      <c r="EV59" s="278">
        <v>11.4</v>
      </c>
      <c r="EW59" s="278">
        <v>1.881</v>
      </c>
      <c r="EX59" s="278">
        <f>EW59+EU59+ET59+ES59+ER59+EQ59</f>
        <v>23.459999999999997</v>
      </c>
      <c r="EY59" s="278">
        <f>EP59-EX59</f>
        <v>188.69</v>
      </c>
      <c r="EZ59" s="302">
        <f>EX59/EP59</f>
        <v>0.11058213528164033</v>
      </c>
      <c r="FA59" s="308">
        <f>(BX59+(EP59-EP58)-DJ59)/EP58</f>
        <v>0.10653567715352918</v>
      </c>
      <c r="FB59" s="302">
        <f>(BY59+(EQ59-EQ58)-DK59)/EQ58</f>
        <v>0.25701624815361884</v>
      </c>
      <c r="FC59" s="302">
        <f>(BZ59+(ER59-ER58)-DL59)/ER58</f>
        <v>0.16937869822485208</v>
      </c>
      <c r="FD59" s="302">
        <f>(CA59+(ES59-ES58)-DM59)/ES58</f>
        <v>9.7449908925318712E-2</v>
      </c>
      <c r="FE59" s="302">
        <f>(CB59+(ET59-ET58)-DN59)/ET58</f>
        <v>9.476793904998837E-2</v>
      </c>
      <c r="FF59" s="302">
        <f>(CC59+(EU59-EU58)-DO59)/EU58</f>
        <v>-0.57661072008662717</v>
      </c>
      <c r="FG59" s="302">
        <f>(CD59+(EV59-EV58)-DP59)/EV58</f>
        <v>0.11155482246722809</v>
      </c>
      <c r="FH59" s="302">
        <f>(CF59+(EW59-EW58)-DQ59)/EW58</f>
        <v>0.3174418604651163</v>
      </c>
      <c r="FI59" s="302">
        <f>(CG59+(EX59-EX58)-DR59)/EX58</f>
        <v>0.20349171270718217</v>
      </c>
      <c r="FJ59" s="302">
        <f>(CH59+(EY59-EY58)-DS59)/EY58</f>
        <v>9.468635045131174E-2</v>
      </c>
      <c r="FK59" s="302">
        <f>(CH59+AO59+(EY59-EY58)-DS59)/EY58</f>
        <v>0.2108228405364965</v>
      </c>
      <c r="FL59" s="296">
        <f>BX59/EP58</f>
        <v>0.13121413993607764</v>
      </c>
      <c r="FM59" s="302">
        <f>BY59/EQ58</f>
        <v>0.25356967011324472</v>
      </c>
      <c r="FN59" s="302">
        <f>BZ59/ER58</f>
        <v>0.2116863905325444</v>
      </c>
      <c r="FO59" s="302">
        <f>CA59/ES58</f>
        <v>0.15482695810564662</v>
      </c>
      <c r="FP59" s="302">
        <f>CB59/ET58</f>
        <v>0.10899479126175853</v>
      </c>
      <c r="FQ59" s="302">
        <f>CC59/EU58</f>
        <v>-0.28532755820249056</v>
      </c>
      <c r="FR59" s="302">
        <f>CD59/EV58</f>
        <v>0.11650316867783662</v>
      </c>
      <c r="FS59" s="302">
        <f>CF59/EW58</f>
        <v>0.3046511627906977</v>
      </c>
      <c r="FT59" s="302">
        <f>CG59/EX58</f>
        <v>0.20194475138121543</v>
      </c>
      <c r="FU59" s="302">
        <f>CH59/EY58</f>
        <v>0.12256991146618268</v>
      </c>
    </row>
    <row r="60" spans="2:177">
      <c r="B60" s="288">
        <v>1984</v>
      </c>
      <c r="C60" s="344">
        <v>3444</v>
      </c>
      <c r="D60" s="352">
        <v>337.9</v>
      </c>
      <c r="E60" s="343">
        <f>D60/C60</f>
        <v>9.8112659698025545E-2</v>
      </c>
      <c r="F60" s="333">
        <f>D60-(G60+I60)</f>
        <v>0</v>
      </c>
      <c r="G60" s="278">
        <f>D60-I60</f>
        <v>301.29999999999995</v>
      </c>
      <c r="H60" s="302">
        <f>G60/C60</f>
        <v>8.7485481997677111E-2</v>
      </c>
      <c r="I60" s="292">
        <v>36.6</v>
      </c>
      <c r="J60" s="343">
        <f>I60/C60</f>
        <v>1.0627177700348432E-2</v>
      </c>
      <c r="K60" s="361">
        <f>I60/D60</f>
        <v>0.10831606984314887</v>
      </c>
      <c r="L60" s="371">
        <v>46.2</v>
      </c>
      <c r="M60" s="343">
        <f>L60/C60</f>
        <v>1.3414634146341465E-2</v>
      </c>
      <c r="N60" s="370">
        <f>L60/D60</f>
        <v>0.136726842261024</v>
      </c>
      <c r="O60" s="352">
        <f>D60</f>
        <v>337.9</v>
      </c>
      <c r="P60" s="366">
        <f>O60-(Q60+R60+T60+U60+X60-V60)</f>
        <v>0</v>
      </c>
      <c r="Q60" s="278">
        <v>232.5</v>
      </c>
      <c r="R60" s="376">
        <v>41.2</v>
      </c>
      <c r="S60" s="374">
        <f>R60/D60</f>
        <v>0.12192956496004737</v>
      </c>
      <c r="T60" s="292">
        <v>16.399999999999999</v>
      </c>
      <c r="U60" s="292">
        <v>39.6</v>
      </c>
      <c r="V60" s="372">
        <v>46.7</v>
      </c>
      <c r="W60" s="374">
        <f>V60/D60</f>
        <v>0.13820656999112166</v>
      </c>
      <c r="X60" s="366">
        <f>O60-(Q60+R60+T60+U60-V60)</f>
        <v>54.899999999999977</v>
      </c>
      <c r="Y60" s="367"/>
      <c r="Z60" s="366"/>
      <c r="AA60" s="366"/>
      <c r="AB60" s="366"/>
      <c r="AC60" s="366">
        <f>AC61*AF60/AF61</f>
        <v>6.0226233600719477</v>
      </c>
      <c r="AD60" s="302">
        <f>AC60/D60</f>
        <v>1.7823685587664836E-2</v>
      </c>
      <c r="AE60" s="278"/>
      <c r="AF60" s="278">
        <v>6.5702535942574363</v>
      </c>
      <c r="AG60" s="326">
        <v>97.5</v>
      </c>
      <c r="AH60" s="295">
        <f>AG60/C60</f>
        <v>2.8310104529616725E-2</v>
      </c>
      <c r="AI60" s="295">
        <f>(AG60-AN60)/C60</f>
        <v>2.3635307781649247E-2</v>
      </c>
      <c r="AJ60" s="357">
        <f>AG60-(AK60+AL60+AM60+AN60)</f>
        <v>-9.9999999999994316E-2</v>
      </c>
      <c r="AK60" s="288">
        <v>59.199999999999996</v>
      </c>
      <c r="AL60" s="288">
        <v>18.8</v>
      </c>
      <c r="AM60" s="290">
        <v>3.5</v>
      </c>
      <c r="AN60" s="288">
        <v>16.100000000000001</v>
      </c>
      <c r="AO60" s="372">
        <v>23.1</v>
      </c>
      <c r="AP60" s="333">
        <v>58.002499999999998</v>
      </c>
      <c r="AQ60" s="333"/>
      <c r="AR60" s="333"/>
      <c r="AS60" s="333"/>
      <c r="AT60" s="361">
        <f>(O60-AG60)/C60</f>
        <v>6.9802555168408817E-2</v>
      </c>
      <c r="AU60" s="305">
        <v>0.46</v>
      </c>
      <c r="AV60" s="359">
        <f>(AK60+AL60)/(G60+L60-T60)</f>
        <v>0.23557837511325885</v>
      </c>
      <c r="AW60" s="353">
        <f>(AK60+AL60)/(G60+L60-T60-AE60)</f>
        <v>0.23557837511325885</v>
      </c>
      <c r="AX60" s="302">
        <f>(AG60-AN60-AM60)/(G60+L60-T60+V60)</f>
        <v>0.20619375330862894</v>
      </c>
      <c r="AY60" s="359">
        <f>(AG60-AN60-AM60+AO60)/(G60+L60-T60+AO60)</f>
        <v>0.28514963297571994</v>
      </c>
      <c r="AZ60" s="353">
        <f>(AG60-AN60-AM60+AO60)/(G60+L60-T60+AO60-AC60)</f>
        <v>0.29008202938024436</v>
      </c>
      <c r="BA60" s="302">
        <f>(AG60-AN60)/Q60</f>
        <v>0.35010752688172048</v>
      </c>
      <c r="BB60" s="302">
        <f>(AG60-AN60)/(Q60+R60)</f>
        <v>0.29740591888929491</v>
      </c>
      <c r="BC60" s="358">
        <f>D60</f>
        <v>337.9</v>
      </c>
      <c r="BD60" s="357">
        <f>BC60-(BE60+BF60+BG60)</f>
        <v>9.9999999999965894E-2</v>
      </c>
      <c r="BE60" s="356">
        <f>AG60</f>
        <v>97.5</v>
      </c>
      <c r="BF60" s="314">
        <v>90.8</v>
      </c>
      <c r="BG60" s="314">
        <v>149.5</v>
      </c>
      <c r="BH60" s="302">
        <f>BG60/D60</f>
        <v>0.44243859129920099</v>
      </c>
      <c r="BI60" s="288">
        <v>125.3</v>
      </c>
      <c r="BJ60" s="288">
        <f>BG60-BI60</f>
        <v>24.200000000000003</v>
      </c>
      <c r="BK60" s="302">
        <f>BJ60/D60</f>
        <v>7.1618822136726851E-2</v>
      </c>
      <c r="BL60" s="302">
        <f>DD60/(D60)</f>
        <v>1.6424977804084053E-2</v>
      </c>
      <c r="BM60" s="302">
        <f>DD60/(CV60+CW60)</f>
        <v>0.15291783765911723</v>
      </c>
      <c r="BN60" s="302">
        <f>CQ60*DF60</f>
        <v>0.18051128602094585</v>
      </c>
      <c r="BO60" s="302">
        <f>BJ60/I60</f>
        <v>0.66120218579234979</v>
      </c>
      <c r="BP60" s="294">
        <v>18.687000000000001</v>
      </c>
      <c r="BQ60" s="355">
        <f>L60</f>
        <v>46.2</v>
      </c>
      <c r="BR60" s="442"/>
      <c r="BX60" s="315">
        <v>30.745999999999999</v>
      </c>
      <c r="BY60" s="314">
        <v>0.52700000000000002</v>
      </c>
      <c r="BZ60" s="314">
        <v>1.2130000000000001</v>
      </c>
      <c r="CA60" s="314">
        <v>0.123</v>
      </c>
      <c r="CB60" s="314">
        <v>1.64</v>
      </c>
      <c r="CC60" s="314">
        <f>CD60+CE60</f>
        <v>0.30600000000000005</v>
      </c>
      <c r="CD60" s="314">
        <v>1.5069999999999999</v>
      </c>
      <c r="CE60" s="314">
        <v>-1.2009999999999998</v>
      </c>
      <c r="CF60" s="314">
        <v>0.52400000000000002</v>
      </c>
      <c r="CG60" s="314">
        <f>BY60+BZ60+CA60+CB60+CD60+CE60+CF60</f>
        <v>4.3330000000000002</v>
      </c>
      <c r="CH60" s="314">
        <f>BX60-CG60</f>
        <v>26.412999999999997</v>
      </c>
      <c r="CI60" s="302">
        <f>BY60/$BX60</f>
        <v>1.7140441032979903E-2</v>
      </c>
      <c r="CJ60" s="302">
        <f>BZ60/$BX60</f>
        <v>3.9452286476289601E-2</v>
      </c>
      <c r="CK60" s="302">
        <f>CA60/$BX60</f>
        <v>4.0005203928966367E-3</v>
      </c>
      <c r="CL60" s="302">
        <f>CB60/$BX60</f>
        <v>5.3340271905288492E-2</v>
      </c>
      <c r="CM60" s="300">
        <f>CN60+CO60</f>
        <v>9.9525141481818791E-3</v>
      </c>
      <c r="CN60" s="302">
        <f>CD60/$BX60</f>
        <v>4.9014505951993755E-2</v>
      </c>
      <c r="CO60" s="302">
        <f>CE60/$BX60</f>
        <v>-3.9061991803811875E-2</v>
      </c>
      <c r="CP60" s="302">
        <f>CF60/$BX60</f>
        <v>1.7042867364860471E-2</v>
      </c>
      <c r="CQ60" s="302">
        <f>CG60/$BX60</f>
        <v>0.14092890132049699</v>
      </c>
      <c r="CR60" s="302">
        <f>CQ60*N60</f>
        <v>1.9268763660867008E-2</v>
      </c>
      <c r="CS60" s="342">
        <f>BX60</f>
        <v>30.745999999999999</v>
      </c>
      <c r="CT60" s="355">
        <f>BX60</f>
        <v>30.745999999999999</v>
      </c>
      <c r="CU60" s="333">
        <f>CT60-(CV60+CW60)</f>
        <v>-5.5479999999999983</v>
      </c>
      <c r="CV60" s="347">
        <v>18.687000000000001</v>
      </c>
      <c r="CW60" s="315">
        <v>17.606999999999999</v>
      </c>
      <c r="CX60" s="314">
        <v>0.44700000000000001</v>
      </c>
      <c r="CY60" s="314">
        <v>0.42899999999999999</v>
      </c>
      <c r="CZ60" s="314">
        <v>0.109</v>
      </c>
      <c r="DA60" s="314">
        <v>1.0760000000000001</v>
      </c>
      <c r="DB60" s="314">
        <v>3.2320000000000002</v>
      </c>
      <c r="DC60" s="314">
        <v>0.25700000000000001</v>
      </c>
      <c r="DD60" s="315">
        <f>DC60+DB60+DA60+CZ60+CY60+CX60</f>
        <v>5.5500000000000007</v>
      </c>
      <c r="DE60" s="315"/>
      <c r="DF60" s="302">
        <f>DD60/CG60</f>
        <v>1.2808677590583892</v>
      </c>
      <c r="DG60" s="314">
        <f>CW60-DD60</f>
        <v>12.056999999999999</v>
      </c>
      <c r="DH60" s="302">
        <f>DD60/CW60</f>
        <v>0.31521553927415236</v>
      </c>
      <c r="DI60" s="302">
        <f>CW60/(CW60+CV60)</f>
        <v>0.48512150768722107</v>
      </c>
      <c r="DJ60" s="325">
        <v>13.045</v>
      </c>
      <c r="DK60" s="322">
        <v>0.46300000000000002</v>
      </c>
      <c r="DL60" s="322">
        <v>-5.0999999999999997E-2</v>
      </c>
      <c r="DM60" s="322">
        <v>0.122</v>
      </c>
      <c r="DN60" s="322">
        <v>0.755</v>
      </c>
      <c r="DO60" s="322">
        <v>0.39</v>
      </c>
      <c r="DP60" s="322">
        <v>1.1779999999999999</v>
      </c>
      <c r="DQ60" s="322">
        <v>0.22500000000000001</v>
      </c>
      <c r="DR60" s="314">
        <f>DQ60+DO60+DN60+DM60+DL60+DK60</f>
        <v>1.9040000000000001</v>
      </c>
      <c r="DS60" s="314">
        <f>DJ60-DR60</f>
        <v>11.141</v>
      </c>
      <c r="DT60" s="300">
        <f>DR60/DJ60</f>
        <v>0.1459563050977386</v>
      </c>
      <c r="DU60" s="325">
        <f>DJ60-CW60</f>
        <v>-4.5619999999999994</v>
      </c>
      <c r="DV60" s="314">
        <v>-4.5620000000000003</v>
      </c>
      <c r="DW60" s="314">
        <f>DK60-CX60</f>
        <v>1.6000000000000014E-2</v>
      </c>
      <c r="DX60" s="314">
        <f>DL60-CY60</f>
        <v>-0.48</v>
      </c>
      <c r="DY60" s="314">
        <f>DM60-CZ60</f>
        <v>1.2999999999999998E-2</v>
      </c>
      <c r="DZ60" s="314">
        <f>DN60-DA60</f>
        <v>-0.32100000000000006</v>
      </c>
      <c r="EA60" s="314">
        <f>DO60-DB60</f>
        <v>-2.8420000000000001</v>
      </c>
      <c r="EB60" s="314">
        <f>DQ60-DC60</f>
        <v>-3.2000000000000001E-2</v>
      </c>
      <c r="EC60" s="314">
        <f>EB60+EA60+DZ60+DY60+DX60+DW60</f>
        <v>-3.6460000000000004</v>
      </c>
      <c r="ED60" s="314">
        <f>DU60-EC60</f>
        <v>-0.91599999999999904</v>
      </c>
      <c r="EE60" s="302">
        <f>EC60/DU60</f>
        <v>0.7992108724243755</v>
      </c>
      <c r="EF60" s="315">
        <v>2.3940000000000001</v>
      </c>
      <c r="EG60" s="314">
        <v>0.09</v>
      </c>
      <c r="EH60" s="314">
        <v>0.129</v>
      </c>
      <c r="EI60" s="314">
        <v>1.7999999999999999E-2</v>
      </c>
      <c r="EJ60" s="314">
        <v>-0.14000000000000001</v>
      </c>
      <c r="EK60" s="314">
        <v>1.03</v>
      </c>
      <c r="EL60" s="314">
        <v>2.1999999999999999E-2</v>
      </c>
      <c r="EM60" s="314">
        <f>EL60+EK60+EJ60+EI60+EH60+EG60</f>
        <v>1.1490000000000002</v>
      </c>
      <c r="EN60" s="314">
        <f>EF60-EM60</f>
        <v>1.2449999999999999</v>
      </c>
      <c r="EO60" s="302">
        <f>EM60/EF60</f>
        <v>0.47994987468671685</v>
      </c>
      <c r="EP60" s="352">
        <v>218.09299999999999</v>
      </c>
      <c r="EQ60" s="278">
        <v>2.964</v>
      </c>
      <c r="ER60" s="278">
        <v>6.2069999999999999</v>
      </c>
      <c r="ES60" s="278">
        <v>0.49299999999999999</v>
      </c>
      <c r="ET60" s="278">
        <v>14.877000000000001</v>
      </c>
      <c r="EU60" s="278">
        <v>-2.6549999999999998</v>
      </c>
      <c r="EV60" s="278">
        <v>13.321999999999999</v>
      </c>
      <c r="EW60" s="278">
        <v>2.0179999999999998</v>
      </c>
      <c r="EX60" s="278">
        <f>EW60+EU60+ET60+ES60+ER60+EQ60</f>
        <v>23.904</v>
      </c>
      <c r="EY60" s="278">
        <f>EP60-EX60</f>
        <v>194.18899999999999</v>
      </c>
      <c r="EZ60" s="302">
        <f>EX60/EP60</f>
        <v>0.10960461821333102</v>
      </c>
      <c r="FA60" s="308">
        <f>(BX60+(EP60-EP59)-DJ60)/EP59</f>
        <v>0.11144944614659429</v>
      </c>
      <c r="FB60" s="302">
        <f>(BY60+(EQ60-EQ59)-DK60)/EQ59</f>
        <v>0.2030194676201828</v>
      </c>
      <c r="FC60" s="302">
        <f>(BZ60+(ER60-ER59)-DL60)/ER59</f>
        <v>8.0092525661413935E-2</v>
      </c>
      <c r="FD60" s="302">
        <f>(CA60+(ES60-ES59)-DM60)/ES59</f>
        <v>-0.60161290322580641</v>
      </c>
      <c r="FE60" s="302">
        <f>(CB60+(ET60-ET59)-DN60)/ET59</f>
        <v>0.1055621799817634</v>
      </c>
      <c r="FF60" s="302">
        <f>(CC60+(EU60-EU59)-DO60)/EU59</f>
        <v>-0.18287589498806686</v>
      </c>
      <c r="FG60" s="302">
        <f>(CD60+(EV60-EV59)-DP60)/EV59</f>
        <v>0.19745614035087705</v>
      </c>
      <c r="FH60" s="302">
        <f>(CF60+(EW60-EW59)-DQ60)/EW59</f>
        <v>0.23179160021265274</v>
      </c>
      <c r="FI60" s="302">
        <f>(CG60+(EX60-EX59)-DR60)/EX59</f>
        <v>0.12246376811594216</v>
      </c>
      <c r="FJ60" s="302">
        <f>(CH60+(EY60-EY59)-DS60)/EY59</f>
        <v>0.11008002543854997</v>
      </c>
      <c r="FK60" s="302">
        <f>(CH60+AO60+(EY60-EY59)-DS60)/EY59</f>
        <v>0.23250304732630236</v>
      </c>
      <c r="FL60" s="296">
        <f>BX60/EP59</f>
        <v>0.14492576007541833</v>
      </c>
      <c r="FM60" s="302">
        <f>BY60/EQ59</f>
        <v>0.20937624155740964</v>
      </c>
      <c r="FN60" s="302">
        <f>BZ60/ER59</f>
        <v>0.17536504264854708</v>
      </c>
      <c r="FO60" s="302">
        <f>CA60/ES59</f>
        <v>9.9193548387096778E-2</v>
      </c>
      <c r="FP60" s="302">
        <f>CB60/ET59</f>
        <v>0.11503121273760257</v>
      </c>
      <c r="FQ60" s="302">
        <f>CC60/EU59</f>
        <v>-9.1288782816229139E-2</v>
      </c>
      <c r="FR60" s="302">
        <f>CD60/EV59</f>
        <v>0.13219298245614033</v>
      </c>
      <c r="FS60" s="302">
        <f>CF60/EW59</f>
        <v>0.27857522594364703</v>
      </c>
      <c r="FT60" s="302">
        <f>CG60/EX59</f>
        <v>0.18469735720375111</v>
      </c>
      <c r="FU60" s="302">
        <f>CH60/EY59</f>
        <v>0.13998092108749799</v>
      </c>
    </row>
    <row r="61" spans="2:177">
      <c r="B61" s="288">
        <v>1985</v>
      </c>
      <c r="C61" s="344">
        <v>3684.2</v>
      </c>
      <c r="D61" s="352">
        <v>354.5</v>
      </c>
      <c r="E61" s="343">
        <f>D61/C61</f>
        <v>9.6221703490581401E-2</v>
      </c>
      <c r="F61" s="333">
        <f>D61-(G61+I61)</f>
        <v>0</v>
      </c>
      <c r="G61" s="278">
        <f>D61-I61</f>
        <v>316.39999999999998</v>
      </c>
      <c r="H61" s="302">
        <f>G61/C61</f>
        <v>8.5880245372129627E-2</v>
      </c>
      <c r="I61" s="292">
        <v>38.1</v>
      </c>
      <c r="J61" s="343">
        <f>I61/C61</f>
        <v>1.0341458118451767E-2</v>
      </c>
      <c r="K61" s="361">
        <f>I61/D61</f>
        <v>0.10747531734837801</v>
      </c>
      <c r="L61" s="371">
        <v>46.8</v>
      </c>
      <c r="M61" s="343">
        <f>L61/C61</f>
        <v>1.2702893436838392E-2</v>
      </c>
      <c r="N61" s="370">
        <f>L61/D61</f>
        <v>0.13201692524682651</v>
      </c>
      <c r="O61" s="352">
        <f>D61</f>
        <v>354.5</v>
      </c>
      <c r="P61" s="366">
        <f>O61-(Q61+R61+T61+U61+X61-V61)</f>
        <v>0</v>
      </c>
      <c r="Q61" s="278">
        <v>240.1</v>
      </c>
      <c r="R61" s="376">
        <v>48.8</v>
      </c>
      <c r="S61" s="374">
        <f>R61/D61</f>
        <v>0.13765867418899858</v>
      </c>
      <c r="T61" s="292">
        <v>16.3</v>
      </c>
      <c r="U61" s="292">
        <v>64.8</v>
      </c>
      <c r="V61" s="372">
        <v>75.2</v>
      </c>
      <c r="W61" s="374">
        <f>V61/D61</f>
        <v>0.21212976022566996</v>
      </c>
      <c r="X61" s="366">
        <f>O61-(Q61+R61+T61+U61-V61)</f>
        <v>59.699999999999989</v>
      </c>
      <c r="Y61" s="367"/>
      <c r="Z61" s="366"/>
      <c r="AA61" s="366"/>
      <c r="AB61" s="366"/>
      <c r="AC61" s="366">
        <f>AC62*AF61/AF62</f>
        <v>6.0727120521928697</v>
      </c>
      <c r="AD61" s="302">
        <f>AC61/D61</f>
        <v>1.7130358398287363E-2</v>
      </c>
      <c r="AE61" s="278"/>
      <c r="AF61" s="278">
        <v>6.6248967937012093</v>
      </c>
      <c r="AG61" s="326">
        <v>99.4</v>
      </c>
      <c r="AH61" s="295">
        <f>AG61/C61</f>
        <v>2.6980077085934535E-2</v>
      </c>
      <c r="AI61" s="295">
        <f>(AG61-AN61)/C61</f>
        <v>2.214863471038489E-2</v>
      </c>
      <c r="AJ61" s="357">
        <f>AG61-(AK61+AL61+AM61+AN61)</f>
        <v>0.10000000000000853</v>
      </c>
      <c r="AK61" s="288">
        <v>58.399999999999991</v>
      </c>
      <c r="AL61" s="288">
        <v>20.2</v>
      </c>
      <c r="AM61" s="290">
        <v>2.9</v>
      </c>
      <c r="AN61" s="288">
        <v>17.8</v>
      </c>
      <c r="AO61" s="372">
        <v>26.7</v>
      </c>
      <c r="AP61" s="333">
        <v>61.783999999999999</v>
      </c>
      <c r="AQ61" s="333"/>
      <c r="AR61" s="333"/>
      <c r="AS61" s="333"/>
      <c r="AT61" s="361">
        <f>(O61-AG61)/C61</f>
        <v>6.9241626404646872E-2</v>
      </c>
      <c r="AU61" s="360">
        <v>0.46</v>
      </c>
      <c r="AV61" s="359">
        <f>(AK61+AL61)/(G61+L61-T61)</f>
        <v>0.22657826462957625</v>
      </c>
      <c r="AW61" s="353">
        <f>(AK61+AL61)/(G61+L61-T61-AE61)</f>
        <v>0.22657826462957625</v>
      </c>
      <c r="AX61" s="302">
        <f>(AG61-AN61-AM61)/(G61+L61-T61+V61)</f>
        <v>0.18644870883676856</v>
      </c>
      <c r="AY61" s="359">
        <f>(AG61-AN61-AM61+AO61)/(G61+L61-T61+AO61)</f>
        <v>0.2821199143468951</v>
      </c>
      <c r="AZ61" s="353">
        <f>(AG61-AN61-AM61+AO61)/(G61+L61-T61+AO61-AC61)</f>
        <v>0.28678142673032747</v>
      </c>
      <c r="BA61" s="302">
        <f>(AG61-AN61)/Q61</f>
        <v>0.33985839233652648</v>
      </c>
      <c r="BB61" s="302">
        <f>(AG61-AN61)/(Q61+R61)</f>
        <v>0.28245067497403953</v>
      </c>
      <c r="BC61" s="358">
        <f>D61</f>
        <v>354.5</v>
      </c>
      <c r="BD61" s="357">
        <f>BC61-(BE61+BF61+BG61)</f>
        <v>0.10000000000002274</v>
      </c>
      <c r="BE61" s="356">
        <f>AG61</f>
        <v>99.4</v>
      </c>
      <c r="BF61" s="314">
        <v>97.5</v>
      </c>
      <c r="BG61" s="314">
        <v>157.5</v>
      </c>
      <c r="BH61" s="302">
        <f>BG61/D61</f>
        <v>0.44428772919605075</v>
      </c>
      <c r="BI61" s="288">
        <v>131.30000000000001</v>
      </c>
      <c r="BJ61" s="288">
        <f>BG61-BI61</f>
        <v>26.199999999999989</v>
      </c>
      <c r="BK61" s="302">
        <f>BJ61/D61</f>
        <v>7.3906911142454124E-2</v>
      </c>
      <c r="BL61" s="302">
        <f>DD61/(D61)</f>
        <v>1.2434414668547248E-2</v>
      </c>
      <c r="BM61" s="302">
        <f>DD61/(CV61+CW61)</f>
        <v>0.12985712181470024</v>
      </c>
      <c r="BN61" s="302">
        <f>CQ61*DF61</f>
        <v>0.1531725623740357</v>
      </c>
      <c r="BO61" s="302">
        <f>BJ61/I61</f>
        <v>0.68766404199475029</v>
      </c>
      <c r="BP61" s="294">
        <v>19.78</v>
      </c>
      <c r="BQ61" s="355">
        <f>L61</f>
        <v>46.8</v>
      </c>
      <c r="BR61" s="442"/>
      <c r="BX61" s="315">
        <v>28.777999999999999</v>
      </c>
      <c r="BY61" s="314">
        <v>0.70799999999999996</v>
      </c>
      <c r="BZ61" s="314">
        <v>1.514</v>
      </c>
      <c r="CA61" s="314">
        <v>7.3999999999999996E-2</v>
      </c>
      <c r="CB61" s="314">
        <v>1.4790000000000001</v>
      </c>
      <c r="CC61" s="314">
        <f>CD61+CE61</f>
        <v>0.34699999999999998</v>
      </c>
      <c r="CD61" s="314">
        <v>1.3109999999999999</v>
      </c>
      <c r="CE61" s="314">
        <v>-0.96399999999999997</v>
      </c>
      <c r="CF61" s="314">
        <v>0.40200000000000002</v>
      </c>
      <c r="CG61" s="314">
        <f>BY61+BZ61+CA61+CB61+CD61+CE61+CF61</f>
        <v>4.524</v>
      </c>
      <c r="CH61" s="314">
        <f>BX61-CG61</f>
        <v>24.253999999999998</v>
      </c>
      <c r="CI61" s="302">
        <f>BY61/$BX61</f>
        <v>2.4602126624504828E-2</v>
      </c>
      <c r="CJ61" s="302">
        <f>BZ61/$BX61</f>
        <v>5.2609632358051293E-2</v>
      </c>
      <c r="CK61" s="302">
        <f>CA61/$BX61</f>
        <v>2.5714087149906178E-3</v>
      </c>
      <c r="CL61" s="302">
        <f>CB61/$BX61</f>
        <v>5.1393425533393572E-2</v>
      </c>
      <c r="CM61" s="300">
        <f>CN61+CO61</f>
        <v>1.2057821947320871E-2</v>
      </c>
      <c r="CN61" s="302">
        <f>CD61/$BX61</f>
        <v>4.5555632775036485E-2</v>
      </c>
      <c r="CO61" s="302">
        <f>CE61/$BX61</f>
        <v>-3.3497810827715614E-2</v>
      </c>
      <c r="CP61" s="302">
        <f>CF61/$BX61</f>
        <v>1.3969004100354438E-2</v>
      </c>
      <c r="CQ61" s="302">
        <f>CG61/$BX61</f>
        <v>0.15720341927861561</v>
      </c>
      <c r="CR61" s="302">
        <f>CQ61*N61</f>
        <v>2.0753512051450523E-2</v>
      </c>
      <c r="CS61" s="342">
        <f>BX61</f>
        <v>28.777999999999999</v>
      </c>
      <c r="CT61" s="355">
        <f>BX61</f>
        <v>28.777999999999999</v>
      </c>
      <c r="CU61" s="333">
        <f>CT61-(CV61+CW61)</f>
        <v>-5.1670000000000016</v>
      </c>
      <c r="CV61" s="347">
        <v>19.78</v>
      </c>
      <c r="CW61" s="315">
        <v>14.164999999999999</v>
      </c>
      <c r="CX61" s="314">
        <v>0.58899999999999997</v>
      </c>
      <c r="CY61" s="314">
        <v>0.749</v>
      </c>
      <c r="CZ61" s="314">
        <v>1.0999999999999999E-2</v>
      </c>
      <c r="DA61" s="314">
        <v>0.95699999999999996</v>
      </c>
      <c r="DB61" s="314">
        <v>1.9490000000000001</v>
      </c>
      <c r="DC61" s="314">
        <v>0.153</v>
      </c>
      <c r="DD61" s="315">
        <f>DC61+DB61+DA61+CZ61+CY61+CX61</f>
        <v>4.4079999999999995</v>
      </c>
      <c r="DE61" s="315"/>
      <c r="DF61" s="302">
        <f>DD61/CG61</f>
        <v>0.97435897435897423</v>
      </c>
      <c r="DG61" s="314">
        <f>CW61-DD61</f>
        <v>9.7569999999999997</v>
      </c>
      <c r="DH61" s="302">
        <f>DD61/CW61</f>
        <v>0.31118955171196611</v>
      </c>
      <c r="DI61" s="302">
        <f>CW61/(CW61+CV61)</f>
        <v>0.4172926793342171</v>
      </c>
      <c r="DJ61" s="325">
        <v>13.388</v>
      </c>
      <c r="DK61" s="322">
        <v>0.64500000000000002</v>
      </c>
      <c r="DL61" s="322">
        <v>0.64100000000000001</v>
      </c>
      <c r="DM61" s="322">
        <v>5.2999999999999999E-2</v>
      </c>
      <c r="DN61" s="322">
        <v>0.308</v>
      </c>
      <c r="DO61" s="322">
        <v>4.6849999999999996</v>
      </c>
      <c r="DP61" s="322">
        <v>0.32500000000000001</v>
      </c>
      <c r="DQ61" s="322">
        <v>-0.03</v>
      </c>
      <c r="DR61" s="314">
        <f>DQ61+DO61+DN61+DM61+DL61+DK61</f>
        <v>6.3019999999999996</v>
      </c>
      <c r="DS61" s="314">
        <f>DJ61-DR61</f>
        <v>7.0860000000000003</v>
      </c>
      <c r="DT61" s="300">
        <f>DR61/DJ61</f>
        <v>0.47072004780400356</v>
      </c>
      <c r="DU61" s="325">
        <f>DJ61-CW61</f>
        <v>-0.77699999999999925</v>
      </c>
      <c r="DV61" s="314">
        <v>-0.77700000000000002</v>
      </c>
      <c r="DW61" s="314">
        <f>DK61-CX61</f>
        <v>5.600000000000005E-2</v>
      </c>
      <c r="DX61" s="314">
        <f>DL61-CY61</f>
        <v>-0.10799999999999998</v>
      </c>
      <c r="DY61" s="314">
        <f>DM61-CZ61</f>
        <v>4.1999999999999996E-2</v>
      </c>
      <c r="DZ61" s="314">
        <f>DN61-DA61</f>
        <v>-0.64900000000000002</v>
      </c>
      <c r="EA61" s="314">
        <f>DO61-DB61</f>
        <v>2.7359999999999998</v>
      </c>
      <c r="EB61" s="314">
        <f>DQ61-DC61</f>
        <v>-0.183</v>
      </c>
      <c r="EC61" s="314">
        <f>EB61+EA61+DZ61+DY61+DX61+DW61</f>
        <v>1.8940000000000001</v>
      </c>
      <c r="ED61" s="314">
        <f>DU61-EC61</f>
        <v>-2.6709999999999994</v>
      </c>
      <c r="EE61" s="302">
        <f>EC61/DU61</f>
        <v>-2.43758043758044</v>
      </c>
      <c r="EF61" s="315">
        <v>-1.6719999999999999</v>
      </c>
      <c r="EG61" s="314">
        <v>3.9E-2</v>
      </c>
      <c r="EH61" s="314">
        <v>-3.5000000000000003E-2</v>
      </c>
      <c r="EI61" s="314">
        <v>2.4E-2</v>
      </c>
      <c r="EJ61" s="314">
        <v>-9.2999999999999999E-2</v>
      </c>
      <c r="EK61" s="314">
        <v>-1.3420000000000001</v>
      </c>
      <c r="EL61" s="314">
        <v>5.6000000000000001E-2</v>
      </c>
      <c r="EM61" s="314">
        <f>EL61+EK61+EJ61+EI61+EH61+EG61</f>
        <v>-1.351</v>
      </c>
      <c r="EN61" s="314">
        <f>EF61-EM61</f>
        <v>-0.32099999999999995</v>
      </c>
      <c r="EO61" s="302">
        <f>EM61/EF61</f>
        <v>0.80801435406698563</v>
      </c>
      <c r="EP61" s="352">
        <v>238.369</v>
      </c>
      <c r="EQ61" s="278">
        <v>3.762</v>
      </c>
      <c r="ER61" s="278">
        <v>7.5519999999999996</v>
      </c>
      <c r="ES61" s="278">
        <v>0.79500000000000004</v>
      </c>
      <c r="ET61" s="278">
        <v>15.888</v>
      </c>
      <c r="EU61" s="278">
        <v>2.2010000000000001</v>
      </c>
      <c r="EV61" s="278">
        <v>13.343</v>
      </c>
      <c r="EW61" s="278">
        <v>2.008</v>
      </c>
      <c r="EX61" s="278">
        <f>EW61+EU61+ET61+ES61+ER61+EQ61</f>
        <v>32.206000000000003</v>
      </c>
      <c r="EY61" s="278">
        <f>EP61-EX61</f>
        <v>206.16300000000001</v>
      </c>
      <c r="EZ61" s="302">
        <f>EX61/EP61</f>
        <v>0.13510985069367243</v>
      </c>
      <c r="FA61" s="308">
        <f>(BX61+(EP61-EP60)-DJ61)/EP60</f>
        <v>0.16353573934055662</v>
      </c>
      <c r="FB61" s="302">
        <f>(BY61+(EQ61-EQ60)-DK61)/EQ60</f>
        <v>0.29048582995951416</v>
      </c>
      <c r="FC61" s="302">
        <f>(BZ61+(ER61-ER60)-DL61)/ER60</f>
        <v>0.35733848880296437</v>
      </c>
      <c r="FD61" s="302">
        <f>(CA61+(ES61-ES60)-DM61)/ES60</f>
        <v>0.65517241379310354</v>
      </c>
      <c r="FE61" s="302">
        <f>(CB61+(ET61-ET60)-DN61)/ET60</f>
        <v>0.1466693553807891</v>
      </c>
      <c r="FF61" s="302">
        <f>(CC61+(EU61-EU60)-DO61)/EU60</f>
        <v>-0.19510357815442556</v>
      </c>
      <c r="FG61" s="302">
        <f>(CD61+(EV61-EV60)-DP61)/EV60</f>
        <v>7.5589250863233814E-2</v>
      </c>
      <c r="FH61" s="302">
        <f>(CF61+(EW61-EW60)-DQ61)/EW60</f>
        <v>0.20911793855302294</v>
      </c>
      <c r="FI61" s="302">
        <f>(CG61+(EX61-EX60)-DR61)/EX60</f>
        <v>0.27292503346720232</v>
      </c>
      <c r="FJ61" s="302">
        <f>(CH61+(EY61-EY60)-DS61)/EY60</f>
        <v>0.15007029234405667</v>
      </c>
      <c r="FK61" s="302">
        <f>(CH61+AO61+(EY61-EY60)-DS61)/EY60</f>
        <v>0.28756520709205985</v>
      </c>
      <c r="FL61" s="296">
        <f>BX61/EP60</f>
        <v>0.13195288248591197</v>
      </c>
      <c r="FM61" s="302">
        <f>BY61/EQ60</f>
        <v>0.23886639676113358</v>
      </c>
      <c r="FN61" s="302">
        <f>BZ61/ER60</f>
        <v>0.24391815691960692</v>
      </c>
      <c r="FO61" s="302">
        <f>CA61/ES60</f>
        <v>0.15010141987829614</v>
      </c>
      <c r="FP61" s="302">
        <f>CB61/ET60</f>
        <v>9.9415204678362581E-2</v>
      </c>
      <c r="FQ61" s="302">
        <f>CC61/EU60</f>
        <v>-0.13069679849340865</v>
      </c>
      <c r="FR61" s="302">
        <f>CD61/EV60</f>
        <v>9.8408647350247708E-2</v>
      </c>
      <c r="FS61" s="302">
        <f>CF61/EW60</f>
        <v>0.19920713577799806</v>
      </c>
      <c r="FT61" s="302">
        <f>CG61/EX60</f>
        <v>0.18925702811244979</v>
      </c>
      <c r="FU61" s="302">
        <f>CH61/EY60</f>
        <v>0.12489893866284907</v>
      </c>
    </row>
    <row r="62" spans="2:177">
      <c r="B62" s="288">
        <v>1986</v>
      </c>
      <c r="C62" s="344">
        <v>3848.2</v>
      </c>
      <c r="D62" s="352">
        <v>324.39999999999998</v>
      </c>
      <c r="E62" s="343">
        <f>D62/C62</f>
        <v>8.4299152850683429E-2</v>
      </c>
      <c r="F62" s="333">
        <f>D62-(G62+I62)</f>
        <v>0</v>
      </c>
      <c r="G62" s="278">
        <f>D62-I62</f>
        <v>284.89999999999998</v>
      </c>
      <c r="H62" s="302">
        <f>G62/C62</f>
        <v>7.4034613585572479E-2</v>
      </c>
      <c r="I62" s="292">
        <v>39.5</v>
      </c>
      <c r="J62" s="343">
        <f>I62/C62</f>
        <v>1.0264539265110962E-2</v>
      </c>
      <c r="K62" s="361">
        <f>I62/D62</f>
        <v>0.1217632552404439</v>
      </c>
      <c r="L62" s="371">
        <v>48.7</v>
      </c>
      <c r="M62" s="343">
        <f>L62/C62</f>
        <v>1.2655267397744401E-2</v>
      </c>
      <c r="N62" s="370">
        <f>L62/D62</f>
        <v>0.15012330456226883</v>
      </c>
      <c r="O62" s="352">
        <f>D62</f>
        <v>324.39999999999998</v>
      </c>
      <c r="P62" s="366">
        <f>O62-(Q62+R62+T62+U62+X62-V62)</f>
        <v>0</v>
      </c>
      <c r="Q62" s="278">
        <v>274.39999999999998</v>
      </c>
      <c r="R62" s="376">
        <v>53.8</v>
      </c>
      <c r="S62" s="374">
        <f>R62/D62</f>
        <v>0.16584463625154131</v>
      </c>
      <c r="T62" s="292">
        <v>15.5</v>
      </c>
      <c r="U62" s="292">
        <v>58.2</v>
      </c>
      <c r="V62" s="372">
        <v>124</v>
      </c>
      <c r="W62" s="374">
        <f>V62/D62</f>
        <v>0.38224414303329224</v>
      </c>
      <c r="X62" s="366">
        <f>O62-(Q62+R62+T62+U62-V62)</f>
        <v>46.5</v>
      </c>
      <c r="Y62" s="367"/>
      <c r="Z62" s="366"/>
      <c r="AA62" s="366"/>
      <c r="AB62" s="366"/>
      <c r="AC62" s="366">
        <f>AC63*AF62/AF63</f>
        <v>7.0384889445678605</v>
      </c>
      <c r="AD62" s="302">
        <f>AC62/D62</f>
        <v>2.1696944958593898E-2</v>
      </c>
      <c r="AE62" s="278"/>
      <c r="AF62" s="278">
        <v>7.6784906711542655</v>
      </c>
      <c r="AG62" s="326">
        <v>109.7</v>
      </c>
      <c r="AH62" s="295">
        <f>AG62/C62</f>
        <v>2.8506834364118293E-2</v>
      </c>
      <c r="AI62" s="295">
        <f>(AG62-AN62)/C62</f>
        <v>2.388129515097968E-2</v>
      </c>
      <c r="AJ62" s="357">
        <f>AG62-(AK62+AL62+AM62+AN62)</f>
        <v>0.10000000000002274</v>
      </c>
      <c r="AK62" s="288">
        <v>65.899999999999977</v>
      </c>
      <c r="AL62" s="288">
        <v>22.7</v>
      </c>
      <c r="AM62" s="290">
        <v>3.2</v>
      </c>
      <c r="AN62" s="288">
        <v>17.8</v>
      </c>
      <c r="AO62" s="372">
        <v>24.4</v>
      </c>
      <c r="AP62" s="333">
        <v>68.338750000000005</v>
      </c>
      <c r="AQ62" s="333"/>
      <c r="AR62" s="333"/>
      <c r="AS62" s="333"/>
      <c r="AT62" s="361">
        <f>(O62-AG62)/C62</f>
        <v>5.579231848656515E-2</v>
      </c>
      <c r="AU62" s="360">
        <v>0.46</v>
      </c>
      <c r="AV62" s="359">
        <f>(AK62+AL62)/(G62+L62-T62)</f>
        <v>0.27852876453945297</v>
      </c>
      <c r="AW62" s="353">
        <f>(AK62+AL62)/(G62+L62-T62-AE62)</f>
        <v>0.27852876453945297</v>
      </c>
      <c r="AX62" s="302">
        <f>(AG62-AN62-AM62)/(G62+L62-T62+V62)</f>
        <v>0.20063334087310566</v>
      </c>
      <c r="AY62" s="359">
        <f>(AG62-AN62-AM62+AO62)/(G62+L62-T62+AO62)</f>
        <v>0.33021897810218981</v>
      </c>
      <c r="AZ62" s="353">
        <f>(AG62-AN62-AM62+AO62)/(G62+L62-T62+AO62-AC62)</f>
        <v>0.33714747079080321</v>
      </c>
      <c r="BA62" s="302">
        <f>(AG62-AN62)/Q62</f>
        <v>0.33491253644314872</v>
      </c>
      <c r="BB62" s="302">
        <f>(AG62-AN62)/(Q62+R62)</f>
        <v>0.28001218769043268</v>
      </c>
      <c r="BC62" s="358">
        <f>D62</f>
        <v>324.39999999999998</v>
      </c>
      <c r="BD62" s="357">
        <f>BC62-(BE62+BF62+BG62)</f>
        <v>0</v>
      </c>
      <c r="BE62" s="356">
        <f>AG62</f>
        <v>109.7</v>
      </c>
      <c r="BF62" s="314">
        <v>106.2</v>
      </c>
      <c r="BG62" s="314">
        <v>108.5</v>
      </c>
      <c r="BH62" s="302">
        <f>BG62/D62</f>
        <v>0.33446362515413075</v>
      </c>
      <c r="BI62" s="288">
        <v>86.9</v>
      </c>
      <c r="BJ62" s="288">
        <f>BG62-BI62</f>
        <v>21.599999999999994</v>
      </c>
      <c r="BK62" s="302">
        <f>BJ62/D62</f>
        <v>6.6584463625154119E-2</v>
      </c>
      <c r="BL62" s="302">
        <f>DD62/(D62)</f>
        <v>1.3159679408138102E-2</v>
      </c>
      <c r="BM62" s="302">
        <f>DD62/(CV62+CW62)</f>
        <v>0.11942594975661612</v>
      </c>
      <c r="BN62" s="302">
        <f>CQ62*DF62</f>
        <v>0.13753221649484537</v>
      </c>
      <c r="BO62" s="302">
        <f>BJ62/I62</f>
        <v>0.54683544303797449</v>
      </c>
      <c r="BP62" s="294">
        <v>26.077000000000002</v>
      </c>
      <c r="BQ62" s="355">
        <f>L62</f>
        <v>48.7</v>
      </c>
      <c r="BR62" s="442"/>
      <c r="BX62" s="315">
        <v>31.04</v>
      </c>
      <c r="BY62" s="314">
        <v>0.77400000000000002</v>
      </c>
      <c r="BZ62" s="314">
        <v>2.3319999999999999</v>
      </c>
      <c r="CA62" s="314">
        <v>0.114</v>
      </c>
      <c r="CB62" s="314">
        <v>1.6659999999999999</v>
      </c>
      <c r="CC62" s="314">
        <f>CD62+CE62</f>
        <v>0.59799999999999998</v>
      </c>
      <c r="CD62" s="314">
        <v>1.579</v>
      </c>
      <c r="CE62" s="314">
        <v>-0.98099999999999998</v>
      </c>
      <c r="CF62" s="314">
        <v>0.51900000000000002</v>
      </c>
      <c r="CG62" s="314">
        <f>BY62+BZ62+CA62+CB62+CD62+CE62+CF62</f>
        <v>6.0029999999999992</v>
      </c>
      <c r="CH62" s="314">
        <f>BX62-CG62</f>
        <v>25.036999999999999</v>
      </c>
      <c r="CI62" s="302">
        <f>BY62/$BX62</f>
        <v>2.493556701030928E-2</v>
      </c>
      <c r="CJ62" s="302">
        <f>BZ62/$BX62</f>
        <v>7.512886597938144E-2</v>
      </c>
      <c r="CK62" s="302">
        <f>CA62/$BX62</f>
        <v>3.6726804123711344E-3</v>
      </c>
      <c r="CL62" s="302">
        <f>CB62/$BX62</f>
        <v>5.3672680412371131E-2</v>
      </c>
      <c r="CM62" s="300">
        <f>CN62+CO62</f>
        <v>1.9265463917525774E-2</v>
      </c>
      <c r="CN62" s="302">
        <f>CD62/$BX62</f>
        <v>5.0869845360824742E-2</v>
      </c>
      <c r="CO62" s="302">
        <f>CE62/$BX62</f>
        <v>-3.1604381443298968E-2</v>
      </c>
      <c r="CP62" s="302">
        <f>CF62/$BX62</f>
        <v>1.6720360824742268E-2</v>
      </c>
      <c r="CQ62" s="302">
        <f>CG62/$BX62</f>
        <v>0.19339561855670101</v>
      </c>
      <c r="CR62" s="302">
        <f>CQ62*N62</f>
        <v>2.9033189345595994E-2</v>
      </c>
      <c r="CS62" s="342">
        <f>BX62</f>
        <v>31.04</v>
      </c>
      <c r="CT62" s="355">
        <f>BX62</f>
        <v>31.04</v>
      </c>
      <c r="CU62" s="333">
        <f>CT62-(CV62+CW62)</f>
        <v>-4.7060000000000031</v>
      </c>
      <c r="CV62" s="347">
        <v>26.077000000000002</v>
      </c>
      <c r="CW62" s="315">
        <v>9.6690000000000005</v>
      </c>
      <c r="CX62" s="314">
        <v>0.65400000000000003</v>
      </c>
      <c r="CY62" s="314">
        <v>1.835</v>
      </c>
      <c r="CZ62" s="314">
        <v>9.4E-2</v>
      </c>
      <c r="DA62" s="314">
        <v>0.42699999999999999</v>
      </c>
      <c r="DB62" s="314">
        <v>0.998</v>
      </c>
      <c r="DC62" s="314">
        <v>0.26100000000000001</v>
      </c>
      <c r="DD62" s="315">
        <f>DC62+DB62+DA62+CZ62+CY62+CX62</f>
        <v>4.2690000000000001</v>
      </c>
      <c r="DE62" s="315"/>
      <c r="DF62" s="302">
        <f>DD62/CG62</f>
        <v>0.71114442778610709</v>
      </c>
      <c r="DG62" s="314">
        <f>CW62-DD62</f>
        <v>5.4</v>
      </c>
      <c r="DH62" s="302">
        <f>DD62/CW62</f>
        <v>0.44151411728203538</v>
      </c>
      <c r="DI62" s="302">
        <f>CW62/(CW62+CV62)</f>
        <v>0.27049180327868855</v>
      </c>
      <c r="DJ62" s="325">
        <v>19.640999999999998</v>
      </c>
      <c r="DK62" s="322">
        <v>0.60599999999999998</v>
      </c>
      <c r="DL62" s="322">
        <v>3.3959999999999999</v>
      </c>
      <c r="DM62" s="322">
        <v>2.7E-2</v>
      </c>
      <c r="DN62" s="322">
        <v>0.23499999999999999</v>
      </c>
      <c r="DO62" s="322">
        <v>6.141</v>
      </c>
      <c r="DP62" s="322">
        <v>1.3380000000000001</v>
      </c>
      <c r="DQ62" s="322">
        <v>0.28999999999999998</v>
      </c>
      <c r="DR62" s="314">
        <f>DQ62+DO62+DN62+DM62+DL62+DK62</f>
        <v>10.695</v>
      </c>
      <c r="DS62" s="314">
        <f>DJ62-DR62</f>
        <v>8.945999999999998</v>
      </c>
      <c r="DT62" s="300">
        <f>DR62/DJ62</f>
        <v>0.54452420956163139</v>
      </c>
      <c r="DU62" s="325">
        <f>DJ62-CW62</f>
        <v>9.9719999999999978</v>
      </c>
      <c r="DV62" s="314">
        <v>9.9719999999999995</v>
      </c>
      <c r="DW62" s="314">
        <f>DK62-CX62</f>
        <v>-4.8000000000000043E-2</v>
      </c>
      <c r="DX62" s="314">
        <f>DL62-CY62</f>
        <v>1.5609999999999999</v>
      </c>
      <c r="DY62" s="314">
        <f>DM62-CZ62</f>
        <v>-6.7000000000000004E-2</v>
      </c>
      <c r="DZ62" s="314">
        <f>DN62-DA62</f>
        <v>-0.192</v>
      </c>
      <c r="EA62" s="314">
        <f>DO62-DB62</f>
        <v>5.1429999999999998</v>
      </c>
      <c r="EB62" s="314">
        <f>DQ62-DC62</f>
        <v>2.899999999999997E-2</v>
      </c>
      <c r="EC62" s="314">
        <f>EB62+EA62+DZ62+DY62+DX62+DW62</f>
        <v>6.4259999999999993</v>
      </c>
      <c r="ED62" s="314">
        <f>DU62-EC62</f>
        <v>3.5459999999999985</v>
      </c>
      <c r="EE62" s="302">
        <f>EC62/DU62</f>
        <v>0.64440433212996395</v>
      </c>
      <c r="EF62" s="315">
        <v>1.147</v>
      </c>
      <c r="EG62" s="314">
        <v>8.0000000000000002E-3</v>
      </c>
      <c r="EH62" s="323">
        <f>(EH61+EH63)/2</f>
        <v>-0.02</v>
      </c>
      <c r="EI62" s="314">
        <v>2.1000000000000001E-2</v>
      </c>
      <c r="EJ62" s="314">
        <v>-0.28100000000000003</v>
      </c>
      <c r="EK62" s="314">
        <v>-8.3000000000000004E-2</v>
      </c>
      <c r="EL62" s="314">
        <v>7.0000000000000001E-3</v>
      </c>
      <c r="EM62" s="314">
        <f>EL62+EK62+EJ62+EI62+EH62+EG62</f>
        <v>-0.34800000000000003</v>
      </c>
      <c r="EN62" s="314">
        <f>EF62-EM62</f>
        <v>1.4950000000000001</v>
      </c>
      <c r="EO62" s="302">
        <f>EM62/EF62</f>
        <v>-0.30340017436791633</v>
      </c>
      <c r="EP62" s="352">
        <v>270.47199999999998</v>
      </c>
      <c r="EQ62" s="278">
        <v>4.4119999999999999</v>
      </c>
      <c r="ER62" s="278">
        <v>12.202999999999999</v>
      </c>
      <c r="ES62" s="278">
        <v>0.95699999999999996</v>
      </c>
      <c r="ET62" s="278">
        <v>16.608000000000001</v>
      </c>
      <c r="EU62" s="278">
        <v>8.0579999999999998</v>
      </c>
      <c r="EV62" s="278">
        <v>15.717000000000001</v>
      </c>
      <c r="EW62" s="278">
        <v>2.4809999999999999</v>
      </c>
      <c r="EX62" s="278">
        <f>EW62+EU62+ET62+ES62+ER62+EQ62</f>
        <v>44.719000000000001</v>
      </c>
      <c r="EY62" s="278">
        <f>EP62-EX62</f>
        <v>225.75299999999999</v>
      </c>
      <c r="EZ62" s="302">
        <f>EX62/EP62</f>
        <v>0.16533689254340561</v>
      </c>
      <c r="FA62" s="308">
        <f>(BX62+(EP62-EP61)-DJ62)/EP61</f>
        <v>0.18249856315208765</v>
      </c>
      <c r="FB62" s="302">
        <f>(BY62+(EQ62-EQ61)-DK62)/EQ61</f>
        <v>0.2174375332270069</v>
      </c>
      <c r="FC62" s="302">
        <f>(BZ62+(ER62-ER61)-DL62)/ER61</f>
        <v>0.47497351694915252</v>
      </c>
      <c r="FD62" s="302">
        <f>(CA62+(ES62-ES61)-DM62)/ES61</f>
        <v>0.3132075471698112</v>
      </c>
      <c r="FE62" s="302">
        <f>(CB62+(ET62-ET61)-DN62)/ET61</f>
        <v>0.1353851963746224</v>
      </c>
      <c r="FF62" s="302">
        <f>(CC62+(EU62-EU61)-DO62)/EU61</f>
        <v>0.14266242616992239</v>
      </c>
      <c r="FG62" s="302">
        <f>(CD62+(EV62-EV61)-DP62)/EV61</f>
        <v>0.19598291238851834</v>
      </c>
      <c r="FH62" s="302">
        <f>(CF62+(EW62-EW61)-DQ62)/EW61</f>
        <v>0.34960159362549798</v>
      </c>
      <c r="FI62" s="302">
        <f>(CG62+(EX62-EX61)-DR62)/EX61</f>
        <v>0.24284294851890945</v>
      </c>
      <c r="FJ62" s="302">
        <f>(CH62+(EY62-EY61)-DS62)/EY61</f>
        <v>0.17307179270771172</v>
      </c>
      <c r="FK62" s="302">
        <f>(CH62+AO62+(EY62-EY61)-DS62)/EY61</f>
        <v>0.29142474643849753</v>
      </c>
      <c r="FL62" s="296">
        <f>BX62/EP61</f>
        <v>0.13021827502737351</v>
      </c>
      <c r="FM62" s="302">
        <f>BY62/EQ61</f>
        <v>0.20574162679425839</v>
      </c>
      <c r="FN62" s="302">
        <f>BZ62/ER61</f>
        <v>0.30879237288135591</v>
      </c>
      <c r="FO62" s="302">
        <f>CA62/ES61</f>
        <v>0.14339622641509434</v>
      </c>
      <c r="FP62" s="302">
        <f>CB62/ET61</f>
        <v>0.10485901309164149</v>
      </c>
      <c r="FQ62" s="302">
        <f>CC62/EU61</f>
        <v>0.27169468423443888</v>
      </c>
      <c r="FR62" s="302">
        <f>CD62/EV61</f>
        <v>0.11833920407704414</v>
      </c>
      <c r="FS62" s="302">
        <f>CF62/EW61</f>
        <v>0.25846613545816732</v>
      </c>
      <c r="FT62" s="302">
        <f>CG62/EX61</f>
        <v>0.18639383965720668</v>
      </c>
      <c r="FU62" s="302">
        <f>CH62/EY61</f>
        <v>0.12144274190810184</v>
      </c>
    </row>
    <row r="63" spans="2:177">
      <c r="B63" s="288">
        <v>1987</v>
      </c>
      <c r="C63" s="344">
        <v>4119.2</v>
      </c>
      <c r="D63" s="352">
        <v>366</v>
      </c>
      <c r="E63" s="343">
        <f>D63/C63</f>
        <v>8.8852204311516803E-2</v>
      </c>
      <c r="F63" s="333">
        <f>D63-(G63+I63)</f>
        <v>0</v>
      </c>
      <c r="G63" s="278">
        <f>D63-I63</f>
        <v>318</v>
      </c>
      <c r="H63" s="302">
        <f>G63/C63</f>
        <v>7.7199456205088376E-2</v>
      </c>
      <c r="I63" s="292">
        <v>48</v>
      </c>
      <c r="J63" s="343">
        <f>I63/C63</f>
        <v>1.1652748106428433E-2</v>
      </c>
      <c r="K63" s="361">
        <f>I63/D63</f>
        <v>0.13114754098360656</v>
      </c>
      <c r="L63" s="371">
        <v>58.9</v>
      </c>
      <c r="M63" s="343">
        <f>L63/C63</f>
        <v>1.429889298892989E-2</v>
      </c>
      <c r="N63" s="370">
        <f>L63/D63</f>
        <v>0.16092896174863389</v>
      </c>
      <c r="O63" s="352">
        <f>D63</f>
        <v>366</v>
      </c>
      <c r="P63" s="366">
        <f>O63-(Q63+R63+T63+U63+X63-V63)</f>
        <v>0</v>
      </c>
      <c r="Q63" s="278">
        <v>336.8</v>
      </c>
      <c r="R63" s="376">
        <v>56.6</v>
      </c>
      <c r="S63" s="374">
        <f>R63/D63</f>
        <v>0.15464480874316941</v>
      </c>
      <c r="T63" s="292">
        <v>16.2</v>
      </c>
      <c r="U63" s="292">
        <v>35.200000000000003</v>
      </c>
      <c r="V63" s="372">
        <v>82.9</v>
      </c>
      <c r="W63" s="374">
        <f>V63/D63</f>
        <v>0.22650273224043718</v>
      </c>
      <c r="X63" s="366">
        <f>O63-(Q63+R63+T63+U63-V63)</f>
        <v>4.1000000000000227</v>
      </c>
      <c r="Y63" s="367"/>
      <c r="Z63" s="366"/>
      <c r="AA63" s="366"/>
      <c r="AB63" s="366"/>
      <c r="AC63" s="366">
        <f>AC64*AF63/AF64</f>
        <v>16.824837334932063</v>
      </c>
      <c r="AD63" s="302">
        <f>AC63/D63</f>
        <v>4.5969500915114925E-2</v>
      </c>
      <c r="AE63" s="278"/>
      <c r="AF63" s="278">
        <v>18.354700495717783</v>
      </c>
      <c r="AG63" s="326">
        <v>130.4</v>
      </c>
      <c r="AH63" s="295">
        <f>AG63/C63</f>
        <v>3.1656632355797243E-2</v>
      </c>
      <c r="AI63" s="295">
        <f>(AG63-AN63)/C63</f>
        <v>2.7359681491551758E-2</v>
      </c>
      <c r="AJ63" s="357">
        <f>AG63-(AK63+AL63+AM63+AN63)</f>
        <v>-9.9999999999994316E-2</v>
      </c>
      <c r="AK63" s="288">
        <v>85.5</v>
      </c>
      <c r="AL63" s="288">
        <v>23.9</v>
      </c>
      <c r="AM63" s="290">
        <v>3.4</v>
      </c>
      <c r="AN63" s="288">
        <v>17.7</v>
      </c>
      <c r="AO63" s="372">
        <v>23.5</v>
      </c>
      <c r="AP63" s="333">
        <v>86.5715</v>
      </c>
      <c r="AQ63" s="333"/>
      <c r="AR63" s="333"/>
      <c r="AS63" s="333"/>
      <c r="AT63" s="361">
        <f>(O63-AG63)/C63</f>
        <v>5.719557195571956E-2</v>
      </c>
      <c r="AU63" s="360">
        <v>0.4</v>
      </c>
      <c r="AV63" s="359">
        <f>(AK63+AL63)/(G63+L63-T63)</f>
        <v>0.30329914056002222</v>
      </c>
      <c r="AW63" s="353">
        <f>(AK63+AL63)/(G63+L63-T63-AE63)</f>
        <v>0.30329914056002222</v>
      </c>
      <c r="AX63" s="302">
        <f>(AG63-AN63-AM63)/(G63+L63-T63+V63)</f>
        <v>0.24639314697926057</v>
      </c>
      <c r="AY63" s="359">
        <f>(AG63-AN63-AM63+AO63)/(G63+L63-T63+AO63)</f>
        <v>0.34565330557001567</v>
      </c>
      <c r="AZ63" s="353">
        <f>(AG63-AN63-AM63+AO63)/(G63+L63-T63+AO63-AC63)</f>
        <v>0.36148333773198593</v>
      </c>
      <c r="BA63" s="302">
        <f>(AG63-AN63)/Q63</f>
        <v>0.33461995249406173</v>
      </c>
      <c r="BB63" s="302">
        <f>(AG63-AN63)/(Q63+R63)</f>
        <v>0.2864768683274021</v>
      </c>
      <c r="BC63" s="358">
        <f>D63</f>
        <v>366</v>
      </c>
      <c r="BD63" s="357">
        <f>BC63-(BE63+BF63+BG63)</f>
        <v>0.10000000000002274</v>
      </c>
      <c r="BE63" s="356">
        <f>AG63</f>
        <v>130.4</v>
      </c>
      <c r="BF63" s="314">
        <v>112.3</v>
      </c>
      <c r="BG63" s="314">
        <v>123.2</v>
      </c>
      <c r="BH63" s="302">
        <f>BG63/D63</f>
        <v>0.33661202185792349</v>
      </c>
      <c r="BI63" s="288">
        <v>91.9</v>
      </c>
      <c r="BJ63" s="288">
        <f>BG63-BI63</f>
        <v>31.299999999999997</v>
      </c>
      <c r="BK63" s="302">
        <f>BJ63/D63</f>
        <v>8.5519125683060096E-2</v>
      </c>
      <c r="BL63" s="302">
        <f>DD63/(D63)</f>
        <v>1.4314207650273227E-2</v>
      </c>
      <c r="BM63" s="302">
        <f>DD63/(CV63+CW63)</f>
        <v>0.11983622306601401</v>
      </c>
      <c r="BN63" s="302">
        <f>CQ63*DF63</f>
        <v>0.13088338163285704</v>
      </c>
      <c r="BO63" s="302">
        <f>BJ63/I63</f>
        <v>0.65208333333333324</v>
      </c>
      <c r="BP63" s="294">
        <v>25.263999999999999</v>
      </c>
      <c r="BQ63" s="355">
        <f>L63</f>
        <v>58.9</v>
      </c>
      <c r="BR63" s="442"/>
      <c r="BX63" s="315">
        <v>40.027999999999999</v>
      </c>
      <c r="BY63" s="314">
        <v>1.046</v>
      </c>
      <c r="BZ63" s="314">
        <v>2.976</v>
      </c>
      <c r="CA63" s="314">
        <v>8.4000000000000005E-2</v>
      </c>
      <c r="CB63" s="314">
        <v>2.7050000000000001</v>
      </c>
      <c r="CC63" s="314">
        <f>CD63+CE63</f>
        <v>0.43799999999999994</v>
      </c>
      <c r="CD63" s="314">
        <v>1.702</v>
      </c>
      <c r="CE63" s="314">
        <v>-1.264</v>
      </c>
      <c r="CF63" s="314">
        <v>0.72899999999999998</v>
      </c>
      <c r="CG63" s="314">
        <f>BY63+BZ63+CA63+CB63+CD63+CE63+CF63</f>
        <v>7.9779999999999998</v>
      </c>
      <c r="CH63" s="314">
        <f>BX63-CG63</f>
        <v>32.049999999999997</v>
      </c>
      <c r="CI63" s="302">
        <f>BY63/$BX63</f>
        <v>2.6131707804536827E-2</v>
      </c>
      <c r="CJ63" s="302">
        <f>BZ63/$BX63</f>
        <v>7.4347956430498657E-2</v>
      </c>
      <c r="CK63" s="302">
        <f>CA63/$BX63</f>
        <v>2.098531028280204E-3</v>
      </c>
      <c r="CL63" s="302">
        <f>CB63/$BX63</f>
        <v>6.7577695613070851E-2</v>
      </c>
      <c r="CM63" s="300">
        <f>CN63+CO63</f>
        <v>1.0942340361746773E-2</v>
      </c>
      <c r="CN63" s="302">
        <f>CD63/$BX63</f>
        <v>4.2520235834915557E-2</v>
      </c>
      <c r="CO63" s="302">
        <f>CE63/$BX63</f>
        <v>-3.1577895473168784E-2</v>
      </c>
      <c r="CP63" s="302">
        <f>CF63/$BX63</f>
        <v>1.8212251424003199E-2</v>
      </c>
      <c r="CQ63" s="302">
        <f>CG63/$BX63</f>
        <v>0.1993104826621365</v>
      </c>
      <c r="CR63" s="302">
        <f>CQ63*N63</f>
        <v>3.2074829040436723E-2</v>
      </c>
      <c r="CS63" s="342">
        <f>BX63</f>
        <v>40.027999999999999</v>
      </c>
      <c r="CT63" s="355">
        <f>BX63</f>
        <v>40.027999999999999</v>
      </c>
      <c r="CU63" s="333">
        <f>CT63-(CV63+CW63)</f>
        <v>-3.6900000000000048</v>
      </c>
      <c r="CV63" s="347">
        <v>25.263999999999999</v>
      </c>
      <c r="CW63" s="315">
        <v>18.454000000000001</v>
      </c>
      <c r="CX63" s="314">
        <v>0.76700000000000002</v>
      </c>
      <c r="CY63" s="314">
        <v>1.212</v>
      </c>
      <c r="CZ63" s="314">
        <v>-6.0000000000000001E-3</v>
      </c>
      <c r="DA63" s="314">
        <v>1.508</v>
      </c>
      <c r="DB63" s="314">
        <v>1.3460000000000001</v>
      </c>
      <c r="DC63" s="314">
        <v>0.41199999999999998</v>
      </c>
      <c r="DD63" s="315">
        <f>DC63+DB63+DA63+CZ63+CY63+CX63</f>
        <v>5.2390000000000008</v>
      </c>
      <c r="DE63" s="315"/>
      <c r="DF63" s="302">
        <f>DD63/CG63</f>
        <v>0.65668087239909767</v>
      </c>
      <c r="DG63" s="314">
        <f>CW63-DD63</f>
        <v>13.215</v>
      </c>
      <c r="DH63" s="302">
        <f>DD63/CW63</f>
        <v>0.28389509049528561</v>
      </c>
      <c r="DI63" s="302">
        <f>CW63/(CW63+CV63)</f>
        <v>0.42211446086280247</v>
      </c>
      <c r="DJ63" s="325">
        <v>30.154</v>
      </c>
      <c r="DK63" s="322">
        <v>0.90900000000000003</v>
      </c>
      <c r="DL63" s="322">
        <v>2.1040000000000001</v>
      </c>
      <c r="DM63" s="322">
        <v>-4.7E-2</v>
      </c>
      <c r="DN63" s="322">
        <v>1.458</v>
      </c>
      <c r="DO63" s="322">
        <v>6.0289999999999999</v>
      </c>
      <c r="DP63" s="322">
        <v>2.7949999999999999</v>
      </c>
      <c r="DQ63" s="322">
        <v>0.28999999999999998</v>
      </c>
      <c r="DR63" s="314">
        <f>DQ63+DO63+DN63+DM63+DL63+DK63</f>
        <v>10.743</v>
      </c>
      <c r="DS63" s="314">
        <f>DJ63-DR63</f>
        <v>19.411000000000001</v>
      </c>
      <c r="DT63" s="300">
        <f>DR63/DJ63</f>
        <v>0.35627114147376798</v>
      </c>
      <c r="DU63" s="325">
        <f>DJ63-CW63</f>
        <v>11.7</v>
      </c>
      <c r="DV63" s="314">
        <v>11.7</v>
      </c>
      <c r="DW63" s="314">
        <f>DK63-CX63</f>
        <v>0.14200000000000002</v>
      </c>
      <c r="DX63" s="314">
        <f>DL63-CY63</f>
        <v>0.89200000000000013</v>
      </c>
      <c r="DY63" s="314">
        <f>DM63-CZ63</f>
        <v>-4.1000000000000002E-2</v>
      </c>
      <c r="DZ63" s="314">
        <f>DN63-DA63</f>
        <v>-5.0000000000000044E-2</v>
      </c>
      <c r="EA63" s="314">
        <f>DO63-DB63</f>
        <v>4.6829999999999998</v>
      </c>
      <c r="EB63" s="314">
        <f>DQ63-DC63</f>
        <v>-0.122</v>
      </c>
      <c r="EC63" s="314">
        <f>EB63+EA63+DZ63+DY63+DX63+DW63</f>
        <v>5.5040000000000004</v>
      </c>
      <c r="ED63" s="314">
        <f>DU63-EC63</f>
        <v>6.1959999999999988</v>
      </c>
      <c r="EE63" s="302">
        <f>EC63/DU63</f>
        <v>0.47042735042735051</v>
      </c>
      <c r="EF63" s="315">
        <v>4.8680000000000003</v>
      </c>
      <c r="EG63" s="323">
        <f>(EG62+EG64)/2</f>
        <v>-4.9999999999999992E-3</v>
      </c>
      <c r="EH63" s="314">
        <v>-5.0000000000000001E-3</v>
      </c>
      <c r="EI63" s="314">
        <v>7.0000000000000007E-2</v>
      </c>
      <c r="EJ63" s="314">
        <v>-0.36099999999999999</v>
      </c>
      <c r="EK63" s="314">
        <v>-0.11</v>
      </c>
      <c r="EL63" s="314">
        <v>0.10299999999999999</v>
      </c>
      <c r="EM63" s="314">
        <f>EL63+EK63+EJ63+EI63+EH63+EG63</f>
        <v>-0.308</v>
      </c>
      <c r="EN63" s="314">
        <f>EF63-EM63</f>
        <v>5.1760000000000002</v>
      </c>
      <c r="EO63" s="302">
        <f>EM63/EF63</f>
        <v>-6.3270336894001633E-2</v>
      </c>
      <c r="EP63" s="352">
        <v>326.25299999999999</v>
      </c>
      <c r="EQ63" s="278">
        <v>5.53</v>
      </c>
      <c r="ER63" s="278">
        <v>15.507</v>
      </c>
      <c r="ES63" s="278">
        <v>0.874</v>
      </c>
      <c r="ET63" s="278">
        <v>19.690999999999999</v>
      </c>
      <c r="EU63" s="278">
        <v>15.801</v>
      </c>
      <c r="EV63" s="278">
        <v>19.166</v>
      </c>
      <c r="EW63" s="278">
        <v>2.722</v>
      </c>
      <c r="EX63" s="278">
        <f>EW63+EU63+ET63+ES63+ER63+EQ63</f>
        <v>60.125</v>
      </c>
      <c r="EY63" s="278">
        <f>EP63-EX63</f>
        <v>266.12799999999999</v>
      </c>
      <c r="EZ63" s="302">
        <f>EX63/EP63</f>
        <v>0.1842894931234349</v>
      </c>
      <c r="FA63" s="308">
        <f>(BX63+(EP63-EP62)-DJ63)/EP62</f>
        <v>0.24274231713449085</v>
      </c>
      <c r="FB63" s="302">
        <f>(BY63+(EQ63-EQ62)-DK63)/EQ62</f>
        <v>0.28445149592021773</v>
      </c>
      <c r="FC63" s="302">
        <f>(BZ63+(ER63-ER62)-DL63)/ER62</f>
        <v>0.34221093173809725</v>
      </c>
      <c r="FD63" s="302">
        <f>(CA63+(ES63-ES62)-DM63)/ES62</f>
        <v>5.0156739811912272E-2</v>
      </c>
      <c r="FE63" s="302">
        <f>(CB63+(ET63-ET62)-DN63)/ET62</f>
        <v>0.26071772639691704</v>
      </c>
      <c r="FF63" s="302">
        <f>(CC63+(EU63-EU62)-DO63)/EU62</f>
        <v>0.26706378754033272</v>
      </c>
      <c r="FG63" s="302">
        <f>(CD63+(EV63-EV62)-DP63)/EV62</f>
        <v>0.14990138067061143</v>
      </c>
      <c r="FH63" s="302">
        <f>(CF63+(EW63-EW62)-DQ63)/EW62</f>
        <v>0.27408303103587273</v>
      </c>
      <c r="FI63" s="302">
        <f>(CG63+(EX63-EX62)-DR63)/EX62</f>
        <v>0.28267626735839352</v>
      </c>
      <c r="FJ63" s="302">
        <f>(CH63+(EY63-EY62)-DS63)/EY62</f>
        <v>0.23483187377354897</v>
      </c>
      <c r="FK63" s="302">
        <f>(CH63+AO63+(EY63-EY62)-DS63)/EY62</f>
        <v>0.33892794337173815</v>
      </c>
      <c r="FL63" s="296">
        <f>BX63/EP62</f>
        <v>0.14799313792185514</v>
      </c>
      <c r="FM63" s="302">
        <f>BY63/EQ62</f>
        <v>0.23708068902991841</v>
      </c>
      <c r="FN63" s="302">
        <f>BZ63/ER62</f>
        <v>0.24387445710071295</v>
      </c>
      <c r="FO63" s="302">
        <f>CA63/ES62</f>
        <v>8.7774294670846409E-2</v>
      </c>
      <c r="FP63" s="302">
        <f>CB63/ET62</f>
        <v>0.16287331406551059</v>
      </c>
      <c r="FQ63" s="302">
        <f>CC63/EU62</f>
        <v>5.4355919583023077E-2</v>
      </c>
      <c r="FR63" s="302">
        <f>CD63/EV62</f>
        <v>0.10829038620601895</v>
      </c>
      <c r="FS63" s="302">
        <f>CF63/EW62</f>
        <v>0.29383313180169285</v>
      </c>
      <c r="FT63" s="302">
        <f>CG63/EX62</f>
        <v>0.17840291598649344</v>
      </c>
      <c r="FU63" s="302">
        <f>CH63/EY62</f>
        <v>0.14196932045199842</v>
      </c>
    </row>
    <row r="64" spans="2:177">
      <c r="B64" s="288">
        <v>1988</v>
      </c>
      <c r="C64" s="344">
        <v>4493.3999999999996</v>
      </c>
      <c r="D64" s="352">
        <v>414.9</v>
      </c>
      <c r="E64" s="343">
        <f>D64/C64</f>
        <v>9.233542529042596E-2</v>
      </c>
      <c r="F64" s="333">
        <f>D64-(G64+I64)</f>
        <v>0</v>
      </c>
      <c r="G64" s="278">
        <f>D64-I64</f>
        <v>357.9</v>
      </c>
      <c r="H64" s="302">
        <f>G64/C64</f>
        <v>7.9650153558552539E-2</v>
      </c>
      <c r="I64" s="292">
        <v>57</v>
      </c>
      <c r="J64" s="343">
        <f>I64/C64</f>
        <v>1.2685271731873416E-2</v>
      </c>
      <c r="K64" s="361">
        <f>I64/D64</f>
        <v>0.13738250180766451</v>
      </c>
      <c r="L64" s="371">
        <v>71.599999999999994</v>
      </c>
      <c r="M64" s="343">
        <f>L64/C64</f>
        <v>1.5934481684248009E-2</v>
      </c>
      <c r="N64" s="370">
        <f>L64/D64</f>
        <v>0.17257170402506627</v>
      </c>
      <c r="O64" s="352">
        <f>D64</f>
        <v>414.9</v>
      </c>
      <c r="P64" s="366">
        <f>O64-(Q64+R64+T64+U64+X64-V64)</f>
        <v>0</v>
      </c>
      <c r="Q64" s="278">
        <v>412.1</v>
      </c>
      <c r="R64" s="376">
        <v>60.9</v>
      </c>
      <c r="S64" s="374">
        <f>R64/D64</f>
        <v>0.14678235719450469</v>
      </c>
      <c r="T64" s="292">
        <v>18.100000000000001</v>
      </c>
      <c r="U64" s="292">
        <v>26.500000000000004</v>
      </c>
      <c r="V64" s="372">
        <v>80.099999999999994</v>
      </c>
      <c r="W64" s="374">
        <f>V64/D64</f>
        <v>0.19305856832971799</v>
      </c>
      <c r="X64" s="366">
        <f>O64-(Q64+R64+T64+U64-V64)</f>
        <v>-22.600000000000023</v>
      </c>
      <c r="Y64" s="367"/>
      <c r="Z64" s="366"/>
      <c r="AA64" s="366"/>
      <c r="AB64" s="366"/>
      <c r="AC64" s="366">
        <f>AC65*AF64/AF65</f>
        <v>32.386685320990004</v>
      </c>
      <c r="AD64" s="302">
        <f>AC64/D64</f>
        <v>7.8059014993950362E-2</v>
      </c>
      <c r="AE64" s="278"/>
      <c r="AF64" s="278">
        <v>35.331569469716442</v>
      </c>
      <c r="AG64" s="326">
        <v>141.6</v>
      </c>
      <c r="AH64" s="295">
        <f>AG64/C64</f>
        <v>3.1512885565496064E-2</v>
      </c>
      <c r="AI64" s="295">
        <f>(AG64-AN64)/C64</f>
        <v>2.7640539457871545E-2</v>
      </c>
      <c r="AJ64" s="357">
        <f>AG64-(AK64+AL64+AM64+AN64)</f>
        <v>0</v>
      </c>
      <c r="AK64" s="288">
        <v>93.699999999999989</v>
      </c>
      <c r="AL64" s="288">
        <v>26</v>
      </c>
      <c r="AM64" s="290">
        <v>4.5</v>
      </c>
      <c r="AN64" s="288">
        <v>17.399999999999999</v>
      </c>
      <c r="AO64" s="372">
        <v>29.4</v>
      </c>
      <c r="AP64" s="333">
        <v>96.703749999999999</v>
      </c>
      <c r="AQ64" s="333"/>
      <c r="AR64" s="333"/>
      <c r="AS64" s="333"/>
      <c r="AT64" s="361">
        <f>(O64-AG64)/C64</f>
        <v>6.0822539724929889E-2</v>
      </c>
      <c r="AU64" s="360">
        <v>0.34</v>
      </c>
      <c r="AV64" s="359">
        <f>(AK64+AL64)/(G64+L64-T64)</f>
        <v>0.29095770539620808</v>
      </c>
      <c r="AW64" s="353">
        <f>(AK64+AL64)/(G64+L64-T64-AE64)</f>
        <v>0.29095770539620808</v>
      </c>
      <c r="AX64" s="302">
        <f>(AG64-AN64-AM64)/(G64+L64-T64+V64)</f>
        <v>0.24354018311291961</v>
      </c>
      <c r="AY64" s="359">
        <f>(AG64-AN64-AM64+AO64)/(G64+L64-T64+AO64)</f>
        <v>0.3382486388384755</v>
      </c>
      <c r="AZ64" s="353">
        <f>(AG64-AN64-AM64+AO64)/(G64+L64-T64+AO64-AC64)</f>
        <v>0.36507134963801136</v>
      </c>
      <c r="BA64" s="302">
        <f>(AG64-AN64)/Q64</f>
        <v>0.30138315942732341</v>
      </c>
      <c r="BB64" s="302">
        <f>(AG64-AN64)/(Q64+R64)</f>
        <v>0.26257928118393231</v>
      </c>
      <c r="BC64" s="358">
        <f>D64</f>
        <v>414.9</v>
      </c>
      <c r="BD64" s="357">
        <f>BC64-(BE64+BF64+BG64)</f>
        <v>9.9999999999965894E-2</v>
      </c>
      <c r="BE64" s="356">
        <f>AG64</f>
        <v>141.6</v>
      </c>
      <c r="BF64" s="314">
        <v>129.9</v>
      </c>
      <c r="BG64" s="314">
        <v>143.30000000000001</v>
      </c>
      <c r="BH64" s="302">
        <f>BG64/D64</f>
        <v>0.34538442998312852</v>
      </c>
      <c r="BI64" s="288">
        <v>118.2</v>
      </c>
      <c r="BJ64" s="288">
        <f>BG64-BI64</f>
        <v>25.100000000000009</v>
      </c>
      <c r="BK64" s="302">
        <f>BJ64/D64</f>
        <v>6.0496505181971583E-2</v>
      </c>
      <c r="BL64" s="302">
        <f>DD64/(D64)</f>
        <v>5.5362738009158844E-3</v>
      </c>
      <c r="BM64" s="302">
        <f>DD64/(CV64+CW64)</f>
        <v>4.1152337101599872E-2</v>
      </c>
      <c r="BN64" s="302">
        <f>CQ64*DF64</f>
        <v>4.4124709453099493E-2</v>
      </c>
      <c r="BO64" s="302">
        <f>BJ64/I64</f>
        <v>0.4403508771929826</v>
      </c>
      <c r="BP64" s="294">
        <v>41.744</v>
      </c>
      <c r="BQ64" s="355">
        <f>L64</f>
        <v>71.599999999999994</v>
      </c>
      <c r="BR64" s="442"/>
      <c r="BX64" s="315">
        <v>52.057000000000002</v>
      </c>
      <c r="BY64" s="314">
        <v>1.1719999999999999</v>
      </c>
      <c r="BZ64" s="314">
        <v>2.9769999999999999</v>
      </c>
      <c r="CA64" s="314">
        <v>0.104</v>
      </c>
      <c r="CB64" s="314">
        <v>2.7130000000000001</v>
      </c>
      <c r="CC64" s="314">
        <f>CD64+CE64</f>
        <v>1.9690000000000001</v>
      </c>
      <c r="CD64" s="314">
        <v>2.214</v>
      </c>
      <c r="CE64" s="314">
        <v>-0.24499999999999988</v>
      </c>
      <c r="CF64" s="314">
        <v>0.82499999999999996</v>
      </c>
      <c r="CG64" s="314">
        <f>BY64+BZ64+CA64+CB64+CD64+CE64+CF64</f>
        <v>9.76</v>
      </c>
      <c r="CH64" s="314">
        <f>BX64-CG64</f>
        <v>42.297000000000004</v>
      </c>
      <c r="CI64" s="302">
        <f>BY64/$BX64</f>
        <v>2.2513782968668957E-2</v>
      </c>
      <c r="CJ64" s="302">
        <f>BZ64/$BX64</f>
        <v>5.7187313905910822E-2</v>
      </c>
      <c r="CK64" s="302">
        <f>CA64/$BX64</f>
        <v>1.9978100927829107E-3</v>
      </c>
      <c r="CL64" s="302">
        <f>CB64/$BX64</f>
        <v>5.2115949824231129E-2</v>
      </c>
      <c r="CM64" s="300">
        <f>CN64+CO64</f>
        <v>3.7823923775861079E-2</v>
      </c>
      <c r="CN64" s="302">
        <f>CD64/$BX64</f>
        <v>4.2530303321359278E-2</v>
      </c>
      <c r="CO64" s="302">
        <f>CE64/$BX64</f>
        <v>-4.7063795454982014E-3</v>
      </c>
      <c r="CP64" s="302">
        <f>CF64/$BX64</f>
        <v>1.5848012755249052E-2</v>
      </c>
      <c r="CQ64" s="302">
        <f>CG64/$BX64</f>
        <v>0.18748679332270396</v>
      </c>
      <c r="CR64" s="302">
        <f>CQ64*N64</f>
        <v>3.2354915405894441E-2</v>
      </c>
      <c r="CS64" s="342">
        <f>BX64</f>
        <v>52.057000000000002</v>
      </c>
      <c r="CT64" s="355">
        <f>BX64</f>
        <v>52.057000000000002</v>
      </c>
      <c r="CU64" s="333">
        <f>CT64-(CV64+CW64)</f>
        <v>-3.759999999999998</v>
      </c>
      <c r="CV64" s="347">
        <v>41.744</v>
      </c>
      <c r="CW64" s="315">
        <v>14.073</v>
      </c>
      <c r="CX64" s="314">
        <v>0.66800000000000004</v>
      </c>
      <c r="CY64" s="314">
        <v>1.2170000000000001</v>
      </c>
      <c r="CZ64" s="314">
        <v>7.4999999999999997E-2</v>
      </c>
      <c r="DA64" s="314">
        <v>-0.84299999999999997</v>
      </c>
      <c r="DB64" s="314">
        <v>1.3580000000000001</v>
      </c>
      <c r="DC64" s="314">
        <v>-0.17799999999999999</v>
      </c>
      <c r="DD64" s="315">
        <f>DC64+DB64+DA64+CZ64+CY64+CX64</f>
        <v>2.2970000000000002</v>
      </c>
      <c r="DE64" s="315"/>
      <c r="DF64" s="302">
        <f>DD64/CG64</f>
        <v>0.23534836065573772</v>
      </c>
      <c r="DG64" s="314">
        <f>CW64-DD64</f>
        <v>11.776</v>
      </c>
      <c r="DH64" s="302">
        <f>DD64/CW64</f>
        <v>0.16322035102678889</v>
      </c>
      <c r="DI64" s="302">
        <f>CW64/(CW64+CV64)</f>
        <v>0.25212748804127777</v>
      </c>
      <c r="DJ64" s="325">
        <v>18.599</v>
      </c>
      <c r="DK64" s="322">
        <v>0.72499999999999998</v>
      </c>
      <c r="DL64" s="322">
        <v>1.446</v>
      </c>
      <c r="DM64" s="322">
        <v>0.42699999999999999</v>
      </c>
      <c r="DN64" s="322">
        <v>-1.145</v>
      </c>
      <c r="DO64" s="322">
        <v>4.4580000000000002</v>
      </c>
      <c r="DP64" s="322">
        <v>0.621</v>
      </c>
      <c r="DQ64" s="322">
        <v>-0.191</v>
      </c>
      <c r="DR64" s="314">
        <f>DQ64+DO64+DN64+DM64+DL64+DK64</f>
        <v>5.72</v>
      </c>
      <c r="DS64" s="314">
        <f>DJ64-DR64</f>
        <v>12.879000000000001</v>
      </c>
      <c r="DT64" s="300">
        <f>DR64/DJ64</f>
        <v>0.30754341631270499</v>
      </c>
      <c r="DU64" s="325">
        <f>DJ64-CW64</f>
        <v>4.5259999999999998</v>
      </c>
      <c r="DV64" s="314">
        <v>4.5250000000000004</v>
      </c>
      <c r="DW64" s="314">
        <f>DK64-CX64</f>
        <v>5.699999999999994E-2</v>
      </c>
      <c r="DX64" s="314">
        <f>DL64-CY64</f>
        <v>0.22899999999999987</v>
      </c>
      <c r="DY64" s="314">
        <f>DM64-CZ64</f>
        <v>0.35199999999999998</v>
      </c>
      <c r="DZ64" s="314">
        <f>DN64-DA64</f>
        <v>-0.30200000000000005</v>
      </c>
      <c r="EA64" s="314">
        <f>DO64-DB64</f>
        <v>3.1</v>
      </c>
      <c r="EB64" s="314">
        <f>DQ64-DC64</f>
        <v>-1.3000000000000012E-2</v>
      </c>
      <c r="EC64" s="314">
        <f>EB64+EA64+DZ64+DY64+DX64+DW64</f>
        <v>3.4229999999999996</v>
      </c>
      <c r="ED64" s="314">
        <f>DU64-EC64</f>
        <v>1.1030000000000002</v>
      </c>
      <c r="EE64" s="302">
        <f>EC64/DU64</f>
        <v>0.75629695095006622</v>
      </c>
      <c r="EF64" s="315">
        <v>-6.6619999999999999</v>
      </c>
      <c r="EG64" s="314">
        <v>-1.7999999999999999E-2</v>
      </c>
      <c r="EH64" s="314">
        <v>-0.35399999999999998</v>
      </c>
      <c r="EI64" s="314">
        <v>-5.1999999999999998E-2</v>
      </c>
      <c r="EJ64" s="314">
        <v>0.311</v>
      </c>
      <c r="EK64" s="314">
        <v>-2.8069999999999999</v>
      </c>
      <c r="EL64" s="314">
        <v>-0.14199999999999999</v>
      </c>
      <c r="EM64" s="314">
        <f>EL64+EK64+EJ64+EI64+EH64+EG64</f>
        <v>-3.0619999999999998</v>
      </c>
      <c r="EN64" s="314">
        <f>EF64-EM64</f>
        <v>-3.6</v>
      </c>
      <c r="EO64" s="302">
        <f>EM64/EF64</f>
        <v>0.45962173521465022</v>
      </c>
      <c r="EP64" s="352">
        <v>347.17899999999997</v>
      </c>
      <c r="EQ64" s="278">
        <v>6.0629999999999997</v>
      </c>
      <c r="ER64" s="278">
        <v>16.765000000000001</v>
      </c>
      <c r="ES64" s="278">
        <v>1.1220000000000001</v>
      </c>
      <c r="ET64" s="278">
        <v>18.709</v>
      </c>
      <c r="EU64" s="278">
        <v>19.312999999999999</v>
      </c>
      <c r="EV64" s="278">
        <v>18.916</v>
      </c>
      <c r="EW64" s="278">
        <v>2.6619999999999999</v>
      </c>
      <c r="EX64" s="278">
        <f>EW64+EU64+ET64+ES64+ER64+EQ64</f>
        <v>64.634</v>
      </c>
      <c r="EY64" s="278">
        <f>EP64-EX64</f>
        <v>282.54499999999996</v>
      </c>
      <c r="EZ64" s="302">
        <f>EX64/EP64</f>
        <v>0.18616909432886208</v>
      </c>
      <c r="FA64" s="308">
        <f>(BX64+(EP64-EP63)-DJ64)/EP63</f>
        <v>0.16669272006694189</v>
      </c>
      <c r="FB64" s="302">
        <f>(BY64+(EQ64-EQ63)-DK64)/EQ63</f>
        <v>0.17721518987341761</v>
      </c>
      <c r="FC64" s="302">
        <f>(BZ64+(ER64-ER63)-DL64)/ER63</f>
        <v>0.17985425936673771</v>
      </c>
      <c r="FD64" s="302">
        <f>(CA64+(ES64-ES63)-DM64)/ES63</f>
        <v>-8.5812356979404925E-2</v>
      </c>
      <c r="FE64" s="302">
        <f>(CB64+(ET64-ET63)-DN64)/ET63</f>
        <v>0.14605657406937184</v>
      </c>
      <c r="FF64" s="302">
        <f>(CC64+(EU64-EU63)-DO64)/EU63</f>
        <v>6.4742737801404895E-2</v>
      </c>
      <c r="FG64" s="302">
        <f>(CD64+(EV64-EV63)-DP64)/EV63</f>
        <v>7.0072002504434933E-2</v>
      </c>
      <c r="FH64" s="302">
        <f>(CF64+(EW64-EW63)-DQ64)/EW63</f>
        <v>0.35121234386480527</v>
      </c>
      <c r="FI64" s="302">
        <f>(CG64+(EX64-EX63)-DR64)/EX63</f>
        <v>0.14218711018711017</v>
      </c>
      <c r="FJ64" s="302">
        <f>(CH64+(EY64-EY63)-DS64)/EY63</f>
        <v>0.17222915288883539</v>
      </c>
      <c r="FK64" s="302">
        <f>(CH64+AO64+(EY64-EY63)-DS64)/EY63</f>
        <v>0.28270230866350016</v>
      </c>
      <c r="FL64" s="296">
        <f>BX64/EP63</f>
        <v>0.15956021860335384</v>
      </c>
      <c r="FM64" s="302">
        <f>BY64/EQ63</f>
        <v>0.21193490054249545</v>
      </c>
      <c r="FN64" s="302">
        <f>BZ64/ER63</f>
        <v>0.1919778164699813</v>
      </c>
      <c r="FO64" s="302">
        <f>CA64/ES63</f>
        <v>0.11899313501144164</v>
      </c>
      <c r="FP64" s="302">
        <f>CB64/ET63</f>
        <v>0.13777868061550963</v>
      </c>
      <c r="FQ64" s="302">
        <f>CC64/EU63</f>
        <v>0.12461236630593001</v>
      </c>
      <c r="FR64" s="302">
        <f>CD64/EV63</f>
        <v>0.1155170614630074</v>
      </c>
      <c r="FS64" s="302">
        <f>CF64/EW63</f>
        <v>0.30308596620132255</v>
      </c>
      <c r="FT64" s="302">
        <f>CG64/EX63</f>
        <v>0.16232848232848232</v>
      </c>
      <c r="FU64" s="302">
        <f>CH64/EY63</f>
        <v>0.15893479829255097</v>
      </c>
    </row>
    <row r="65" spans="2:177" s="377" customFormat="1">
      <c r="B65" s="392">
        <v>1989</v>
      </c>
      <c r="C65" s="405">
        <v>4782.2</v>
      </c>
      <c r="D65" s="382">
        <v>414.2</v>
      </c>
      <c r="E65" s="400">
        <f>D65/C65</f>
        <v>8.6612856007695208E-2</v>
      </c>
      <c r="F65" s="389">
        <f>D65-(G65+I65)</f>
        <v>0</v>
      </c>
      <c r="G65" s="381">
        <f>D65-I65</f>
        <v>347.1</v>
      </c>
      <c r="H65" s="378">
        <f>G65/C65</f>
        <v>7.2581656977959944E-2</v>
      </c>
      <c r="I65" s="392">
        <v>67.099999999999994</v>
      </c>
      <c r="J65" s="400">
        <f>I65/C65</f>
        <v>1.4031199029735267E-2</v>
      </c>
      <c r="K65" s="378">
        <f>I65/D65</f>
        <v>0.16199903428295509</v>
      </c>
      <c r="L65" s="383">
        <v>75.5</v>
      </c>
      <c r="M65" s="400">
        <f>L65/C65</f>
        <v>1.578771276818201E-2</v>
      </c>
      <c r="N65" s="404">
        <f>L65/D65</f>
        <v>0.1822790922259778</v>
      </c>
      <c r="O65" s="382">
        <f>D65</f>
        <v>414.2</v>
      </c>
      <c r="P65" s="381">
        <f>O65-(Q65+R65+T65+U65+X65-V65)</f>
        <v>0</v>
      </c>
      <c r="Q65" s="381">
        <v>391.6</v>
      </c>
      <c r="R65" s="403">
        <v>66.7</v>
      </c>
      <c r="S65" s="396">
        <f>R65/D65</f>
        <v>0.16103331723804926</v>
      </c>
      <c r="T65" s="392">
        <v>20.7</v>
      </c>
      <c r="U65" s="392">
        <v>24.900000000000002</v>
      </c>
      <c r="V65" s="399">
        <v>82.9</v>
      </c>
      <c r="W65" s="396">
        <f>V65/D65</f>
        <v>0.20014485755673589</v>
      </c>
      <c r="X65" s="381">
        <f>O65-(Q65+R65+T65+U65-V65)</f>
        <v>-6.8000000000000114</v>
      </c>
      <c r="Y65" s="402"/>
      <c r="Z65" s="381"/>
      <c r="AA65" s="381"/>
      <c r="AB65" s="381"/>
      <c r="AC65" s="381">
        <f>AC66*AF65/AF66</f>
        <v>33.734095965683103</v>
      </c>
      <c r="AD65" s="378">
        <f>AC65/D65</f>
        <v>8.1443978671373984E-2</v>
      </c>
      <c r="AE65" s="381"/>
      <c r="AF65" s="381">
        <v>36.801498618852172</v>
      </c>
      <c r="AG65" s="401">
        <v>146.1</v>
      </c>
      <c r="AH65" s="400">
        <f>AG65/C65</f>
        <v>3.0550792522270085E-2</v>
      </c>
      <c r="AI65" s="400">
        <f>(AG65-AN65)/C65</f>
        <v>2.6034042909121327E-2</v>
      </c>
      <c r="AJ65" s="394">
        <f>AG65-(AK65+AL65+AM65+AN65)</f>
        <v>9.9999999999994316E-2</v>
      </c>
      <c r="AK65" s="392">
        <v>95.600000000000009</v>
      </c>
      <c r="AL65" s="392">
        <v>24.2</v>
      </c>
      <c r="AM65" s="399">
        <v>4.5999999999999996</v>
      </c>
      <c r="AN65" s="392">
        <v>21.6</v>
      </c>
      <c r="AO65" s="399">
        <v>26.8</v>
      </c>
      <c r="AP65" s="389">
        <v>100.845</v>
      </c>
      <c r="AQ65" s="389"/>
      <c r="AR65" s="389"/>
      <c r="AS65" s="389"/>
      <c r="AT65" s="378">
        <f>(O65-AG65)/C65</f>
        <v>5.6062063485425126E-2</v>
      </c>
      <c r="AU65" s="398">
        <v>0.34</v>
      </c>
      <c r="AV65" s="397">
        <f>(AK65+AL65)/(G65+L65-T65)</f>
        <v>0.29808410052251805</v>
      </c>
      <c r="AW65" s="396">
        <f>(AK65+AL65)/(G65+L65-T65-AE65)</f>
        <v>0.29808410052251805</v>
      </c>
      <c r="AX65" s="378">
        <f>(AG65-AN65-AM65)/(G65+L65-T65+V65)</f>
        <v>0.24731848184818481</v>
      </c>
      <c r="AY65" s="397">
        <f>(AG65-AN65-AM65+AO65)/(G65+L65-T65+AO65)</f>
        <v>0.34219734079776065</v>
      </c>
      <c r="AZ65" s="396">
        <f>(AG65-AN65-AM65+AO65)/(G65+L65-T65+AO65-AC65)</f>
        <v>0.37142446601480278</v>
      </c>
      <c r="BA65" s="378">
        <f>(AG65-AN65)/Q65</f>
        <v>0.31792645556690496</v>
      </c>
      <c r="BB65" s="378">
        <f>(AG65-AN65)/(Q65+R65)</f>
        <v>0.27165612044512327</v>
      </c>
      <c r="BC65" s="395">
        <f>D65</f>
        <v>414.2</v>
      </c>
      <c r="BD65" s="394">
        <f>BC65-(BE65+BF65+BG65)</f>
        <v>-0.10000000000002274</v>
      </c>
      <c r="BE65" s="393">
        <f>AG65</f>
        <v>146.1</v>
      </c>
      <c r="BF65" s="383">
        <v>158</v>
      </c>
      <c r="BG65" s="383">
        <v>110.2</v>
      </c>
      <c r="BH65" s="378">
        <f>BG65/D65</f>
        <v>0.26605504587155965</v>
      </c>
      <c r="BI65" s="392">
        <v>74.7</v>
      </c>
      <c r="BJ65" s="392">
        <f>BG65-BI65</f>
        <v>35.5</v>
      </c>
      <c r="BK65" s="378">
        <f>BJ65/D65</f>
        <v>8.5707387735393534E-2</v>
      </c>
      <c r="BL65" s="378">
        <f>DD65/(D65)</f>
        <v>6.880733944954128E-3</v>
      </c>
      <c r="BM65" s="378">
        <f>DD65/(CV65+CW65)</f>
        <v>5.0934696357722416E-2</v>
      </c>
      <c r="BN65" s="378">
        <f>CQ65*DF65</f>
        <v>5.2847262140963108E-2</v>
      </c>
      <c r="BO65" s="378">
        <f>BJ65/I65</f>
        <v>0.52906110283159469</v>
      </c>
      <c r="BP65" s="391">
        <v>43.256999999999998</v>
      </c>
      <c r="BQ65" s="390">
        <f>L65</f>
        <v>75.5</v>
      </c>
      <c r="BR65" s="444"/>
      <c r="BX65" s="384">
        <v>53.929000000000002</v>
      </c>
      <c r="BY65" s="383">
        <v>1.286</v>
      </c>
      <c r="BZ65" s="383">
        <v>3.129</v>
      </c>
      <c r="CA65" s="383">
        <v>0.182</v>
      </c>
      <c r="CB65" s="383">
        <v>3.8050000000000002</v>
      </c>
      <c r="CC65" s="383">
        <f>CD65+CE65</f>
        <v>2.7610000000000001</v>
      </c>
      <c r="CD65" s="383">
        <v>2.6520000000000001</v>
      </c>
      <c r="CE65" s="383">
        <v>0.10899999999999999</v>
      </c>
      <c r="CF65" s="383">
        <v>0.72699999999999998</v>
      </c>
      <c r="CG65" s="383">
        <f>BY65+BZ65+CA65+CB65+CD65+CE65+CF65</f>
        <v>11.890000000000002</v>
      </c>
      <c r="CH65" s="383">
        <f>BX65-CG65</f>
        <v>42.039000000000001</v>
      </c>
      <c r="CI65" s="378">
        <f>BY65/$BX65</f>
        <v>2.3846168109922305E-2</v>
      </c>
      <c r="CJ65" s="378">
        <f>BZ65/$BX65</f>
        <v>5.8020730961078452E-2</v>
      </c>
      <c r="CK65" s="378">
        <f>CA65/$BX65</f>
        <v>3.3748076174229076E-3</v>
      </c>
      <c r="CL65" s="378">
        <f>CB65/$BX65</f>
        <v>7.055573068293497E-2</v>
      </c>
      <c r="CM65" s="386">
        <f>CN65+CO65</f>
        <v>5.1196944130245323E-2</v>
      </c>
      <c r="CN65" s="378">
        <f>CD65/$BX65</f>
        <v>4.9175768139590945E-2</v>
      </c>
      <c r="CO65" s="378">
        <f>CE65/$BX65</f>
        <v>2.0211759906543785E-3</v>
      </c>
      <c r="CP65" s="378">
        <f>CF65/$BX65</f>
        <v>1.3480687570694802E-2</v>
      </c>
      <c r="CQ65" s="378">
        <f>CG65/$BX65</f>
        <v>0.2204750690722988</v>
      </c>
      <c r="CR65" s="378">
        <f>CQ65*N65</f>
        <v>4.0187995448958375E-2</v>
      </c>
      <c r="CS65" s="389">
        <f>BX65</f>
        <v>53.929000000000002</v>
      </c>
      <c r="CT65" s="390">
        <f>BX65</f>
        <v>53.929000000000002</v>
      </c>
      <c r="CU65" s="389">
        <f>CT65-(CV65+CW65)</f>
        <v>-2.0249999999999915</v>
      </c>
      <c r="CV65" s="388">
        <v>43.256999999999998</v>
      </c>
      <c r="CW65" s="384">
        <v>12.696999999999999</v>
      </c>
      <c r="CX65" s="383">
        <v>0.59899999999999998</v>
      </c>
      <c r="CY65" s="383">
        <v>1.335</v>
      </c>
      <c r="CZ65" s="383">
        <v>9.6000000000000002E-2</v>
      </c>
      <c r="DA65" s="383">
        <v>1.5209999999999999</v>
      </c>
      <c r="DB65" s="383">
        <v>-0.95799999999999996</v>
      </c>
      <c r="DC65" s="383">
        <v>0.25700000000000001</v>
      </c>
      <c r="DD65" s="384">
        <f>DC65+DB65+DA65+CZ65+CY65+CX65</f>
        <v>2.8499999999999996</v>
      </c>
      <c r="DE65" s="384"/>
      <c r="DF65" s="378">
        <f>DD65/CG65</f>
        <v>0.23969722455845241</v>
      </c>
      <c r="DG65" s="383">
        <f>CW65-DD65</f>
        <v>9.8469999999999995</v>
      </c>
      <c r="DH65" s="378">
        <f>DD65/CW65</f>
        <v>0.2244624714499488</v>
      </c>
      <c r="DI65" s="378">
        <f>CW65/(CW65+CV65)</f>
        <v>0.22691854022947422</v>
      </c>
      <c r="DJ65" s="385">
        <v>37.603999999999999</v>
      </c>
      <c r="DK65" s="387">
        <v>0.79300000000000004</v>
      </c>
      <c r="DL65" s="387">
        <v>3.1120000000000001</v>
      </c>
      <c r="DM65" s="387">
        <v>6.5000000000000002E-2</v>
      </c>
      <c r="DN65" s="387">
        <v>1.2689999999999999</v>
      </c>
      <c r="DO65" s="387">
        <v>4.3920000000000003</v>
      </c>
      <c r="DP65" s="387">
        <v>-0.502</v>
      </c>
      <c r="DQ65" s="387">
        <v>0.16500000000000001</v>
      </c>
      <c r="DR65" s="383">
        <f>DQ65+DO65+DN65+DM65+DL65+DK65</f>
        <v>9.7959999999999994</v>
      </c>
      <c r="DS65" s="383">
        <f>DJ65-DR65</f>
        <v>27.808</v>
      </c>
      <c r="DT65" s="386">
        <f>DR65/DJ65</f>
        <v>0.26050420168067223</v>
      </c>
      <c r="DU65" s="385">
        <f>DJ65-CW65</f>
        <v>24.907</v>
      </c>
      <c r="DV65" s="383">
        <v>24.907</v>
      </c>
      <c r="DW65" s="383">
        <f>DK65-CX65</f>
        <v>0.19400000000000006</v>
      </c>
      <c r="DX65" s="383">
        <f>DL65-CY65</f>
        <v>1.7770000000000001</v>
      </c>
      <c r="DY65" s="383">
        <f>DM65-CZ65</f>
        <v>-3.1E-2</v>
      </c>
      <c r="DZ65" s="383">
        <f>DN65-DA65</f>
        <v>-0.252</v>
      </c>
      <c r="EA65" s="383">
        <f>DO65-DB65</f>
        <v>5.3500000000000005</v>
      </c>
      <c r="EB65" s="383">
        <f>DQ65-DC65</f>
        <v>-9.1999999999999998E-2</v>
      </c>
      <c r="EC65" s="383">
        <f>EB65+EA65+DZ65+DY65+DX65+DW65</f>
        <v>6.9460000000000015</v>
      </c>
      <c r="ED65" s="383">
        <f>DU65-EC65</f>
        <v>17.960999999999999</v>
      </c>
      <c r="EE65" s="378">
        <f>EC65/DU65</f>
        <v>0.27887742401734456</v>
      </c>
      <c r="EF65" s="384">
        <v>6.3949999999999996</v>
      </c>
      <c r="EG65" s="383">
        <v>0.20899999999999999</v>
      </c>
      <c r="EH65" s="383">
        <v>0.55600000000000005</v>
      </c>
      <c r="EI65" s="383">
        <v>-8.9999999999999993E-3</v>
      </c>
      <c r="EJ65" s="383">
        <v>9.8000000000000004E-2</v>
      </c>
      <c r="EK65" s="383">
        <v>1.425</v>
      </c>
      <c r="EL65" s="383">
        <v>3.6999999999999998E-2</v>
      </c>
      <c r="EM65" s="383">
        <f>EL65+EK65+EJ65+EI65+EH65+EG65</f>
        <v>2.3160000000000003</v>
      </c>
      <c r="EN65" s="383">
        <f>EF65-EM65</f>
        <v>4.0789999999999988</v>
      </c>
      <c r="EO65" s="378">
        <f>EM65/EF65</f>
        <v>0.36215793588741213</v>
      </c>
      <c r="EP65" s="382">
        <v>381.78100000000001</v>
      </c>
      <c r="EQ65" s="381">
        <v>4.665</v>
      </c>
      <c r="ER65" s="381">
        <v>19.16</v>
      </c>
      <c r="ES65" s="381">
        <v>1.56</v>
      </c>
      <c r="ET65" s="381">
        <v>21.143999999999998</v>
      </c>
      <c r="EU65" s="381">
        <v>22.492999999999999</v>
      </c>
      <c r="EV65" s="381">
        <v>18.297000000000001</v>
      </c>
      <c r="EW65" s="381">
        <v>2.9980000000000002</v>
      </c>
      <c r="EX65" s="381">
        <f>EW65+EU65+ET65+ES65+ER65+EQ65</f>
        <v>72.02000000000001</v>
      </c>
      <c r="EY65" s="381">
        <f>EP65-EX65</f>
        <v>309.76099999999997</v>
      </c>
      <c r="EZ65" s="378">
        <f>EX65/EP65</f>
        <v>0.18864217967892591</v>
      </c>
      <c r="FA65" s="380">
        <f>(BX65+(EP65-EP64)-DJ65)/EP64</f>
        <v>0.14668801972469545</v>
      </c>
      <c r="FB65" s="378">
        <f>(BY65+(EQ65-EQ64)-DK65)/EQ64</f>
        <v>-0.14926603991423384</v>
      </c>
      <c r="FC65" s="378">
        <f>(BZ65+(ER65-ER64)-DL65)/ER64</f>
        <v>0.14387116015508494</v>
      </c>
      <c r="FD65" s="378">
        <f>(CA65+(ES65-ES64)-DM65)/ES64</f>
        <v>0.49465240641711222</v>
      </c>
      <c r="FE65" s="378">
        <f>(CB65+(ET65-ET64)-DN65)/ET64</f>
        <v>0.26570099951894799</v>
      </c>
      <c r="FF65" s="378">
        <f>(CC65+(EU65-EU64)-DO65)/EU64</f>
        <v>8.0205043235126575E-2</v>
      </c>
      <c r="FG65" s="378">
        <f>(CD65+(EV65-EV64)-DP65)/EV64</f>
        <v>0.1340135335165997</v>
      </c>
      <c r="FH65" s="378">
        <f>(CF65+(EW65-EW64)-DQ65)/EW64</f>
        <v>0.33734034560480847</v>
      </c>
      <c r="FI65" s="378">
        <f>(CG65+(EX65-EX64)-DR65)/EX64</f>
        <v>0.14667203020082326</v>
      </c>
      <c r="FJ65" s="378">
        <f>(CH65+(EY65-EY64)-DS65)/EY64</f>
        <v>0.14669167743191355</v>
      </c>
      <c r="FK65" s="378">
        <f>(CH65+AO65+(EY65-EY64)-DS65)/EY64</f>
        <v>0.24154382487745324</v>
      </c>
      <c r="FL65" s="379">
        <f>BX65/EP64</f>
        <v>0.15533485608288522</v>
      </c>
      <c r="FM65" s="378">
        <f>BY65/EQ64</f>
        <v>0.2121062180438727</v>
      </c>
      <c r="FN65" s="378">
        <f>BZ65/ER64</f>
        <v>0.18663883089770356</v>
      </c>
      <c r="FO65" s="378">
        <f>CA65/ES64</f>
        <v>0.16221033868092691</v>
      </c>
      <c r="FP65" s="378">
        <f>CB65/ET64</f>
        <v>0.20337805334331072</v>
      </c>
      <c r="FQ65" s="378">
        <f>CC65/EU64</f>
        <v>0.14296070004660075</v>
      </c>
      <c r="FR65" s="378">
        <f>CD65/EV64</f>
        <v>0.14019877352505816</v>
      </c>
      <c r="FS65" s="378">
        <f>CF65/EW64</f>
        <v>0.27310293012772352</v>
      </c>
      <c r="FT65" s="378">
        <f>CG65/EX64</f>
        <v>0.18395890707677079</v>
      </c>
      <c r="FU65" s="378">
        <f>CH65/EY64</f>
        <v>0.14878691889787471</v>
      </c>
    </row>
    <row r="66" spans="2:177">
      <c r="B66" s="288">
        <v>1990</v>
      </c>
      <c r="C66" s="344">
        <v>5036.1000000000004</v>
      </c>
      <c r="D66" s="352">
        <v>417.2</v>
      </c>
      <c r="E66" s="361">
        <f>D66/C66</f>
        <v>8.2841881614741555E-2</v>
      </c>
      <c r="F66" s="333">
        <f>D66-(G66+I66)</f>
        <v>0</v>
      </c>
      <c r="G66" s="278">
        <f>D66-I66</f>
        <v>341.1</v>
      </c>
      <c r="H66" s="302">
        <f>G66/C66</f>
        <v>6.7730982307738136E-2</v>
      </c>
      <c r="I66" s="292">
        <v>76.099999999999994</v>
      </c>
      <c r="J66" s="343">
        <f>I66/C66</f>
        <v>1.5110899307003434E-2</v>
      </c>
      <c r="K66" s="361">
        <f>I66/D66</f>
        <v>0.18240651965484178</v>
      </c>
      <c r="L66" s="371">
        <v>81</v>
      </c>
      <c r="M66" s="343">
        <f>L66/C66</f>
        <v>1.6083874426639659E-2</v>
      </c>
      <c r="N66" s="370">
        <f>L66/D66</f>
        <v>0.19415148609779484</v>
      </c>
      <c r="O66" s="352">
        <f>D66</f>
        <v>417.2</v>
      </c>
      <c r="P66" s="366">
        <f>O66-(Q66+R66+T66+U66+X66-V66)</f>
        <v>0</v>
      </c>
      <c r="Q66" s="278">
        <v>378.8</v>
      </c>
      <c r="R66" s="376">
        <v>65.2</v>
      </c>
      <c r="S66" s="374">
        <f>R66/D66</f>
        <v>0.15627996164908917</v>
      </c>
      <c r="T66" s="292">
        <v>21.9</v>
      </c>
      <c r="U66" s="292">
        <v>13.1</v>
      </c>
      <c r="V66" s="372">
        <v>62.8</v>
      </c>
      <c r="W66" s="374">
        <f>V66/D66</f>
        <v>0.15052732502396932</v>
      </c>
      <c r="X66" s="366">
        <f>O66-(Q66+R66+T66+U66-V66)</f>
        <v>1</v>
      </c>
      <c r="Y66" s="367"/>
      <c r="Z66" s="366"/>
      <c r="AA66" s="366"/>
      <c r="AB66" s="366"/>
      <c r="AC66" s="366">
        <f>AC67*AF66/AF67</f>
        <v>33.91537910795418</v>
      </c>
      <c r="AD66" s="302">
        <f>AC66/D66</f>
        <v>8.1292855004684042E-2</v>
      </c>
      <c r="AE66" s="278"/>
      <c r="AF66" s="278">
        <v>36.999265629318288</v>
      </c>
      <c r="AG66" s="326">
        <v>145.4</v>
      </c>
      <c r="AH66" s="295">
        <f>AG66/C66</f>
        <v>2.8871547427572922E-2</v>
      </c>
      <c r="AI66" s="295">
        <f>(AG66-AN66)/C66</f>
        <v>2.4185381545243342E-2</v>
      </c>
      <c r="AJ66" s="357">
        <f>AG66-(AK66+AL66+AM66+AN66)</f>
        <v>0</v>
      </c>
      <c r="AK66" s="288">
        <v>94.500000000000014</v>
      </c>
      <c r="AL66" s="288">
        <v>22.5</v>
      </c>
      <c r="AM66" s="290">
        <v>4.8</v>
      </c>
      <c r="AN66" s="288">
        <v>23.6</v>
      </c>
      <c r="AO66" s="372">
        <v>28.2</v>
      </c>
      <c r="AP66" s="333">
        <v>94.651750000000007</v>
      </c>
      <c r="AQ66" s="333"/>
      <c r="AR66" s="333"/>
      <c r="AS66" s="333"/>
      <c r="AT66" s="361">
        <f>(O66-AG66)/C66</f>
        <v>5.397033418716863E-2</v>
      </c>
      <c r="AU66" s="360">
        <v>0.34</v>
      </c>
      <c r="AV66" s="359">
        <f>(AK66+AL66)/(G66+L66-T66)</f>
        <v>0.29235382308845576</v>
      </c>
      <c r="AW66" s="353">
        <f>(AK66+AL66)/(G66+L66-T66-AE66)</f>
        <v>0.29235382308845576</v>
      </c>
      <c r="AX66" s="302">
        <f>(AG66-AN66-AM66)/(G66+L66-T66+V66)</f>
        <v>0.25269978401727861</v>
      </c>
      <c r="AY66" s="359">
        <f>(AG66-AN66-AM66+AO66)/(G66+L66-T66+AO66)</f>
        <v>0.33893557422969189</v>
      </c>
      <c r="AZ66" s="353">
        <f>(AG66-AN66-AM66+AO66)/(G66+L66-T66+AO66-AC66)</f>
        <v>0.36807518547024737</v>
      </c>
      <c r="BA66" s="302">
        <f>(AG66-AN66)/Q66</f>
        <v>0.32154171066525872</v>
      </c>
      <c r="BB66" s="302">
        <f>(AG66-AN66)/(Q66+R66)</f>
        <v>0.27432432432432435</v>
      </c>
      <c r="BC66" s="358">
        <f>D66</f>
        <v>417.2</v>
      </c>
      <c r="BD66" s="357">
        <f>BC66-(BE66+BF66+BG66)</f>
        <v>0</v>
      </c>
      <c r="BE66" s="356">
        <f>AG66</f>
        <v>145.4</v>
      </c>
      <c r="BF66" s="314">
        <v>169.1</v>
      </c>
      <c r="BG66" s="314">
        <v>102.7</v>
      </c>
      <c r="BH66" s="302">
        <f>BG66/D66</f>
        <v>0.24616490891658679</v>
      </c>
      <c r="BI66" s="288">
        <v>51.6</v>
      </c>
      <c r="BJ66" s="288">
        <f>BG66-BI66</f>
        <v>51.1</v>
      </c>
      <c r="BK66" s="302">
        <f>BJ66/D66</f>
        <v>0.12248322147651007</v>
      </c>
      <c r="BL66" s="302">
        <f>DD66/(D66)</f>
        <v>1.8406040268456381E-2</v>
      </c>
      <c r="BM66" s="302">
        <f>DD66/(CV66+CW66)</f>
        <v>0.13242166617806828</v>
      </c>
      <c r="BN66" s="302">
        <f>CQ66*DF66</f>
        <v>0.13238742155713401</v>
      </c>
      <c r="BO66" s="302">
        <f>BJ66/I66</f>
        <v>0.67148488830486208</v>
      </c>
      <c r="BP66" s="294">
        <v>36.552999999999997</v>
      </c>
      <c r="BQ66" s="355">
        <f>L66</f>
        <v>81</v>
      </c>
      <c r="BR66" s="442"/>
      <c r="BX66" s="315">
        <v>58.003999999999998</v>
      </c>
      <c r="BY66" s="314">
        <v>1.4330000000000001</v>
      </c>
      <c r="BZ66" s="314">
        <v>4.117</v>
      </c>
      <c r="CA66" s="314">
        <v>0.17699999999999999</v>
      </c>
      <c r="CB66" s="314">
        <v>4.423</v>
      </c>
      <c r="CC66" s="314">
        <f>CD66+CE66</f>
        <v>3.0190000000000001</v>
      </c>
      <c r="CD66" s="314">
        <v>2.0670000000000002</v>
      </c>
      <c r="CE66" s="314">
        <v>0.95199999999999996</v>
      </c>
      <c r="CF66" s="314">
        <v>1.127</v>
      </c>
      <c r="CG66" s="314">
        <f>BY66+BZ66+CA66+CB66+CD66+CE66+CF66</f>
        <v>14.295999999999999</v>
      </c>
      <c r="CH66" s="314">
        <f>BX66-CG66</f>
        <v>43.707999999999998</v>
      </c>
      <c r="CI66" s="302">
        <f>BY66/$BX66</f>
        <v>2.4705192745327911E-2</v>
      </c>
      <c r="CJ66" s="302">
        <f>BZ66/$BX66</f>
        <v>7.0977863595614102E-2</v>
      </c>
      <c r="CK66" s="302">
        <f>CA66/$BX66</f>
        <v>3.0515136887111233E-3</v>
      </c>
      <c r="CL66" s="302">
        <f>CB66/$BX66</f>
        <v>7.6253361837114689E-2</v>
      </c>
      <c r="CM66" s="300">
        <f>CN66+CO66</f>
        <v>5.2048134611406116E-2</v>
      </c>
      <c r="CN66" s="302">
        <f>CD66/$BX66</f>
        <v>3.5635473415626513E-2</v>
      </c>
      <c r="CO66" s="302">
        <f>CE66/$BX66</f>
        <v>1.6412661195779603E-2</v>
      </c>
      <c r="CP66" s="302">
        <f>CF66/$BX66</f>
        <v>1.9429694503827324E-2</v>
      </c>
      <c r="CQ66" s="302">
        <f>CG66/$BX66</f>
        <v>0.24646576098200124</v>
      </c>
      <c r="CR66" s="302">
        <f>CQ66*N66</f>
        <v>4.7851693766879436E-2</v>
      </c>
      <c r="CS66" s="342">
        <f>BX66</f>
        <v>58.003999999999998</v>
      </c>
      <c r="CT66" s="355">
        <f>BX66</f>
        <v>58.003999999999998</v>
      </c>
      <c r="CU66" s="333">
        <f>CT66-(CV66+CW66)</f>
        <v>1.5000000000000568E-2</v>
      </c>
      <c r="CV66" s="347">
        <v>36.552999999999997</v>
      </c>
      <c r="CW66" s="315">
        <v>21.436</v>
      </c>
      <c r="CX66" s="314">
        <v>0.78100000000000003</v>
      </c>
      <c r="CY66" s="314">
        <v>2.403</v>
      </c>
      <c r="CZ66" s="314">
        <v>-0.09</v>
      </c>
      <c r="DA66" s="314">
        <v>2.1230000000000002</v>
      </c>
      <c r="DB66" s="314">
        <v>1.798</v>
      </c>
      <c r="DC66" s="314">
        <v>0.66400000000000003</v>
      </c>
      <c r="DD66" s="315">
        <f>DC66+DB66+DA66+CZ66+CY66+CX66</f>
        <v>7.6790000000000012</v>
      </c>
      <c r="DE66" s="315"/>
      <c r="DF66" s="302">
        <f>DD66/CG66</f>
        <v>0.53714325685506448</v>
      </c>
      <c r="DG66" s="314">
        <f>CW66-DD66</f>
        <v>13.756999999999998</v>
      </c>
      <c r="DH66" s="302">
        <f>DD66/CW66</f>
        <v>0.35822914722896071</v>
      </c>
      <c r="DI66" s="302">
        <f>CW66/(CW66+CV66)</f>
        <v>0.36965631412854166</v>
      </c>
      <c r="DJ66" s="325">
        <v>30.981999999999999</v>
      </c>
      <c r="DK66" s="322">
        <v>0.92600000000000005</v>
      </c>
      <c r="DL66" s="322">
        <v>-2.004</v>
      </c>
      <c r="DM66" s="322">
        <v>-0.129</v>
      </c>
      <c r="DN66" s="322">
        <v>5.3140000000000001</v>
      </c>
      <c r="DO66" s="322">
        <v>5.58</v>
      </c>
      <c r="DP66" s="322">
        <v>1.431</v>
      </c>
      <c r="DQ66" s="322">
        <v>0.62</v>
      </c>
      <c r="DR66" s="314">
        <f>DQ66+DO66+DN66+DM66+DL66+DK66</f>
        <v>10.307</v>
      </c>
      <c r="DS66" s="314">
        <f>DJ66-DR66</f>
        <v>20.674999999999997</v>
      </c>
      <c r="DT66" s="300">
        <f>DR66/DJ66</f>
        <v>0.33267703828029183</v>
      </c>
      <c r="DU66" s="325">
        <f>DJ66-CW66</f>
        <v>9.5459999999999994</v>
      </c>
      <c r="DV66" s="314">
        <v>9.5459999999999994</v>
      </c>
      <c r="DW66" s="314">
        <f>DK66-CX66</f>
        <v>0.14500000000000002</v>
      </c>
      <c r="DX66" s="314">
        <f>DL66-CY66</f>
        <v>-4.407</v>
      </c>
      <c r="DY66" s="314">
        <f>DM66-CZ66</f>
        <v>-3.9000000000000007E-2</v>
      </c>
      <c r="DZ66" s="314">
        <f>DN66-DA66</f>
        <v>3.1909999999999998</v>
      </c>
      <c r="EA66" s="314">
        <f>DO66-DB66</f>
        <v>3.782</v>
      </c>
      <c r="EB66" s="314">
        <f>DQ66-DC66</f>
        <v>-4.4000000000000039E-2</v>
      </c>
      <c r="EC66" s="314">
        <f>EB66+EA66+DZ66+DY66+DX66+DW66</f>
        <v>2.6280000000000006</v>
      </c>
      <c r="ED66" s="314">
        <f>DU66-EC66</f>
        <v>6.9179999999999993</v>
      </c>
      <c r="EE66" s="302">
        <f>EC66/DU66</f>
        <v>0.2752985543683219</v>
      </c>
      <c r="EF66" s="315">
        <v>8.7390000000000008</v>
      </c>
      <c r="EG66" s="314">
        <v>-0.184</v>
      </c>
      <c r="EH66" s="314">
        <v>-0.314</v>
      </c>
      <c r="EI66" s="314">
        <v>-0.188</v>
      </c>
      <c r="EJ66" s="314">
        <v>2.9990000000000001</v>
      </c>
      <c r="EK66" s="314">
        <v>-0.38200000000000001</v>
      </c>
      <c r="EL66" s="314">
        <v>1.4999999999999999E-2</v>
      </c>
      <c r="EM66" s="314">
        <f>EL66+EK66+EJ66+EI66+EH66+EG66</f>
        <v>1.946</v>
      </c>
      <c r="EN66" s="314">
        <f>EF66-EM66</f>
        <v>6.793000000000001</v>
      </c>
      <c r="EO66" s="302">
        <f>EM66/EF66</f>
        <v>0.22267994049662429</v>
      </c>
      <c r="EP66" s="352">
        <v>430.52100000000002</v>
      </c>
      <c r="EQ66" s="278">
        <v>5.8940000000000001</v>
      </c>
      <c r="ER66" s="278">
        <v>19.12</v>
      </c>
      <c r="ES66" s="278">
        <v>1.6970000000000001</v>
      </c>
      <c r="ET66" s="278">
        <v>25.099</v>
      </c>
      <c r="EU66" s="278">
        <v>28.065000000000001</v>
      </c>
      <c r="EV66" s="278">
        <v>20.169</v>
      </c>
      <c r="EW66" s="278">
        <v>3.9750000000000001</v>
      </c>
      <c r="EX66" s="278">
        <f>EW66+EU66+ET66+ES66+ER66+EQ66</f>
        <v>83.850000000000009</v>
      </c>
      <c r="EY66" s="278">
        <f>EP66-EX66</f>
        <v>346.67099999999999</v>
      </c>
      <c r="EZ66" s="302">
        <f>EX66/EP66</f>
        <v>0.1947640184799348</v>
      </c>
      <c r="FA66" s="308">
        <f>(BX66+(EP66-EP65)-DJ66)/EP65</f>
        <v>0.19844361034205474</v>
      </c>
      <c r="FB66" s="302">
        <f>(BY66+(EQ66-EQ65)-DK66)/EQ65</f>
        <v>0.37213290460878878</v>
      </c>
      <c r="FC66" s="302">
        <f>(BZ66+(ER66-ER65)-DL66)/ER65</f>
        <v>0.31737995824634663</v>
      </c>
      <c r="FD66" s="302">
        <f>(CA66+(ES66-ES65)-DM66)/ES65</f>
        <v>0.28397435897435896</v>
      </c>
      <c r="FE66" s="302">
        <f>(CB66+(ET66-ET65)-DN66)/ET65</f>
        <v>0.14491108588724944</v>
      </c>
      <c r="FF66" s="302">
        <f>(CC66+(EU66-EU65)-DO66)/EU65</f>
        <v>0.13386386875916964</v>
      </c>
      <c r="FG66" s="302">
        <f>(CD66+(EV66-EV65)-DP66)/EV65</f>
        <v>0.13707165109034267</v>
      </c>
      <c r="FH66" s="302">
        <f>(CF66+(EW66-EW65)-DQ66)/EW65</f>
        <v>0.49499666444296192</v>
      </c>
      <c r="FI66" s="302">
        <f>(CG66+(EX66-EX65)-DR66)/EX65</f>
        <v>0.21964732018883637</v>
      </c>
      <c r="FJ66" s="302">
        <f>(CH66+(EY66-EY65)-DS66)/EY65</f>
        <v>0.19351370895625994</v>
      </c>
      <c r="FK66" s="302">
        <f>(CH66+AO66+(EY66-EY65)-DS66)/EY65</f>
        <v>0.28455163819848217</v>
      </c>
      <c r="FL66" s="296">
        <f>BX66/EP65</f>
        <v>0.15193003318656506</v>
      </c>
      <c r="FM66" s="302">
        <f>BY66/EQ65</f>
        <v>0.30718113612004289</v>
      </c>
      <c r="FN66" s="302">
        <f>BZ66/ER65</f>
        <v>0.21487473903966597</v>
      </c>
      <c r="FO66" s="302">
        <f>CA66/ES65</f>
        <v>0.11346153846153845</v>
      </c>
      <c r="FP66" s="302">
        <f>CB66/ET65</f>
        <v>0.20918463866818013</v>
      </c>
      <c r="FQ66" s="302">
        <f>CC66/EU65</f>
        <v>0.13421953496643402</v>
      </c>
      <c r="FR66" s="302">
        <f>CD66/EV65</f>
        <v>0.11296933923594032</v>
      </c>
      <c r="FS66" s="302">
        <f>CF66/EW65</f>
        <v>0.37591727818545695</v>
      </c>
      <c r="FT66" s="302">
        <f>CG66/EX65</f>
        <v>0.19850041655095804</v>
      </c>
      <c r="FU66" s="302">
        <f>CH66/EY65</f>
        <v>0.14110233373471806</v>
      </c>
    </row>
    <row r="67" spans="2:177">
      <c r="B67" s="288">
        <v>1991</v>
      </c>
      <c r="C67" s="344">
        <v>5186.1000000000004</v>
      </c>
      <c r="D67" s="352">
        <v>451.3</v>
      </c>
      <c r="E67" s="361">
        <f>D67/C67</f>
        <v>8.7021075567382034E-2</v>
      </c>
      <c r="F67" s="333">
        <f>D67-(G67+I67)</f>
        <v>0</v>
      </c>
      <c r="G67" s="278">
        <f>D67-I67</f>
        <v>374.8</v>
      </c>
      <c r="H67" s="302">
        <f>G67/C67</f>
        <v>7.2270106631187214E-2</v>
      </c>
      <c r="I67" s="292">
        <v>76.5</v>
      </c>
      <c r="J67" s="343">
        <f>I67/C67</f>
        <v>1.4750968936194828E-2</v>
      </c>
      <c r="K67" s="361">
        <f>I67/D67</f>
        <v>0.16951030356747174</v>
      </c>
      <c r="L67" s="371">
        <v>75.400000000000006</v>
      </c>
      <c r="M67" s="343">
        <f>L67/C67</f>
        <v>1.4538863500510981E-2</v>
      </c>
      <c r="N67" s="370">
        <f>L67/D67</f>
        <v>0.16707290050963883</v>
      </c>
      <c r="O67" s="352">
        <f>D67</f>
        <v>451.3</v>
      </c>
      <c r="P67" s="366">
        <f>O67-(Q67+R67+T67+U67+X67-V67)</f>
        <v>0</v>
      </c>
      <c r="Q67" s="278">
        <v>352.1</v>
      </c>
      <c r="R67" s="376">
        <v>67.599999999999994</v>
      </c>
      <c r="S67" s="374">
        <f>R67/D67</f>
        <v>0.14978949700864169</v>
      </c>
      <c r="T67" s="292">
        <v>20.8</v>
      </c>
      <c r="U67" s="292">
        <v>22</v>
      </c>
      <c r="V67" s="372">
        <v>62.2</v>
      </c>
      <c r="W67" s="374">
        <f>V67/D67</f>
        <v>0.13782406381564369</v>
      </c>
      <c r="X67" s="366">
        <f>O67-(Q67+R67+T67+U67-V67)</f>
        <v>50.999999999999943</v>
      </c>
      <c r="Y67" s="367"/>
      <c r="Z67" s="366"/>
      <c r="AA67" s="366"/>
      <c r="AB67" s="366"/>
      <c r="AC67" s="366">
        <f>AC68*AF67/AF68</f>
        <v>29.560139552981063</v>
      </c>
      <c r="AD67" s="302">
        <f>AC67/D67</f>
        <v>6.5499976851276454E-2</v>
      </c>
      <c r="AE67" s="278">
        <v>36.686999999999998</v>
      </c>
      <c r="AF67" s="278">
        <v>32.248009137068962</v>
      </c>
      <c r="AG67" s="326">
        <v>138.6</v>
      </c>
      <c r="AH67" s="295">
        <f>AG67/C67</f>
        <v>2.6725284896164745E-2</v>
      </c>
      <c r="AI67" s="295">
        <f>(AG67-AN67)/C67</f>
        <v>2.2714563930506543E-2</v>
      </c>
      <c r="AJ67" s="357">
        <f>AG67-(AK67+AL67+AM67+AN67)</f>
        <v>9.9999999999994316E-2</v>
      </c>
      <c r="AK67" s="288">
        <v>89.1</v>
      </c>
      <c r="AL67" s="288">
        <v>23.6</v>
      </c>
      <c r="AM67" s="290">
        <v>5</v>
      </c>
      <c r="AN67" s="288">
        <v>20.8</v>
      </c>
      <c r="AO67" s="372">
        <v>24.6</v>
      </c>
      <c r="AP67" s="333">
        <v>98.632000000000005</v>
      </c>
      <c r="AQ67" s="333"/>
      <c r="AR67" s="333"/>
      <c r="AS67" s="333"/>
      <c r="AT67" s="361">
        <f>(O67-AG67)/C67</f>
        <v>6.0295790671217299E-2</v>
      </c>
      <c r="AU67" s="360">
        <v>0.34</v>
      </c>
      <c r="AV67" s="359">
        <f>(AK67+AL67)/(G67+L67-T67)</f>
        <v>0.26245924545877963</v>
      </c>
      <c r="AW67" s="353">
        <f>(AK67+AL67)/(G67+L67-T67-AE67)</f>
        <v>0.28697802211793338</v>
      </c>
      <c r="AX67" s="302">
        <f>(AG67-AN67-AM67)/(G67+L67-T67+V67)</f>
        <v>0.22945484133441821</v>
      </c>
      <c r="AY67" s="359">
        <f>(AG67-AN67-AM67+AO67)/(G67+L67-T67+AO67)</f>
        <v>0.3026431718061674</v>
      </c>
      <c r="AZ67" s="353">
        <f>(AG67-AN67-AM67+AO67)/(G67+L67-T67+AO67-AC67)</f>
        <v>0.32372077366930307</v>
      </c>
      <c r="BA67" s="302">
        <f>(AG67-AN67)/Q67</f>
        <v>0.334564044305595</v>
      </c>
      <c r="BB67" s="302">
        <f>(AG67-AN67)/(Q67+R67)</f>
        <v>0.28067667381462946</v>
      </c>
      <c r="BC67" s="358">
        <f>D67</f>
        <v>451.3</v>
      </c>
      <c r="BD67" s="357">
        <f>BC67-(BE67+BF67+BG67)</f>
        <v>0</v>
      </c>
      <c r="BE67" s="356">
        <f>AG67</f>
        <v>138.6</v>
      </c>
      <c r="BF67" s="314">
        <v>180.5</v>
      </c>
      <c r="BG67" s="314">
        <v>132.19999999999999</v>
      </c>
      <c r="BH67" s="302">
        <f>BG67/D67</f>
        <v>0.29293153113228448</v>
      </c>
      <c r="BI67" s="288">
        <v>80.099999999999994</v>
      </c>
      <c r="BJ67" s="288">
        <f>BG67-BI67</f>
        <v>52.099999999999994</v>
      </c>
      <c r="BK67" s="302">
        <f>BJ67/D67</f>
        <v>0.11544427210281408</v>
      </c>
      <c r="BL67" s="302">
        <f>DD67/(D67)</f>
        <v>1.4797252382007532E-2</v>
      </c>
      <c r="BM67" s="302">
        <f>DD67/(CV67+CW67)</f>
        <v>0.12775482093663909</v>
      </c>
      <c r="BN67" s="302">
        <f>CQ67*DF67</f>
        <v>0.12820857411638217</v>
      </c>
      <c r="BO67" s="302">
        <f>BJ67/I67</f>
        <v>0.68104575163398684</v>
      </c>
      <c r="BP67" s="294">
        <v>33.945</v>
      </c>
      <c r="BQ67" s="355">
        <f>L67</f>
        <v>75.400000000000006</v>
      </c>
      <c r="BR67" s="442"/>
      <c r="BX67" s="315">
        <v>52.087000000000003</v>
      </c>
      <c r="BY67" s="314">
        <v>1.556</v>
      </c>
      <c r="BZ67" s="314">
        <v>3.609</v>
      </c>
      <c r="CA67" s="314">
        <v>0.192</v>
      </c>
      <c r="CB67" s="314">
        <v>3.2160000000000002</v>
      </c>
      <c r="CC67" s="314">
        <f>CD67+CE67</f>
        <v>3.2010000000000001</v>
      </c>
      <c r="CD67" s="314">
        <v>2.016</v>
      </c>
      <c r="CE67" s="314">
        <v>1.1850000000000001</v>
      </c>
      <c r="CF67" s="314">
        <v>1.1379999999999999</v>
      </c>
      <c r="CG67" s="314">
        <f>BY67+BZ67+CA67+CB67+CD67+CE67+CF67</f>
        <v>12.912000000000001</v>
      </c>
      <c r="CH67" s="314">
        <f>BX67-CG67</f>
        <v>39.175000000000004</v>
      </c>
      <c r="CI67" s="302">
        <f>BY67/$BX67</f>
        <v>2.9873096933975846E-2</v>
      </c>
      <c r="CJ67" s="302">
        <f>BZ67/$BX67</f>
        <v>6.9287922130282023E-2</v>
      </c>
      <c r="CK67" s="302">
        <f>CA67/$BX67</f>
        <v>3.6861404957091019E-3</v>
      </c>
      <c r="CL67" s="302">
        <f>CB67/$BX67</f>
        <v>6.1742853303127461E-2</v>
      </c>
      <c r="CM67" s="300">
        <f>CN67+CO67</f>
        <v>6.1454873576900187E-2</v>
      </c>
      <c r="CN67" s="302">
        <f>CD67/$BX67</f>
        <v>3.870447520494557E-2</v>
      </c>
      <c r="CO67" s="302">
        <f>CE67/$BX67</f>
        <v>2.2750398371954614E-2</v>
      </c>
      <c r="CP67" s="302">
        <f>CF67/$BX67</f>
        <v>2.1848061896442488E-2</v>
      </c>
      <c r="CQ67" s="302">
        <f>CG67/$BX67</f>
        <v>0.2478929483364371</v>
      </c>
      <c r="CR67" s="302">
        <f>CQ67*N67</f>
        <v>4.1416193894454591E-2</v>
      </c>
      <c r="CS67" s="342">
        <f>BX67</f>
        <v>52.087000000000003</v>
      </c>
      <c r="CT67" s="355">
        <f>BX67</f>
        <v>52.087000000000003</v>
      </c>
      <c r="CU67" s="333">
        <f>CT67-(CV67+CW67)</f>
        <v>-0.18500000000000227</v>
      </c>
      <c r="CV67" s="347">
        <v>33.945</v>
      </c>
      <c r="CW67" s="315">
        <v>18.327000000000002</v>
      </c>
      <c r="CX67" s="314">
        <v>1.145</v>
      </c>
      <c r="CY67" s="314">
        <v>1.9139999999999999</v>
      </c>
      <c r="CZ67" s="314">
        <v>0.126</v>
      </c>
      <c r="DA67" s="314">
        <v>1.18</v>
      </c>
      <c r="DB67" s="314">
        <v>1.8009999999999999</v>
      </c>
      <c r="DC67" s="314">
        <v>0.51200000000000001</v>
      </c>
      <c r="DD67" s="315">
        <f>DC67+DB67+DA67+CZ67+CY67+CX67</f>
        <v>6.677999999999999</v>
      </c>
      <c r="DE67" s="315"/>
      <c r="DF67" s="302">
        <f>DD67/CG67</f>
        <v>0.51719330855018575</v>
      </c>
      <c r="DG67" s="314">
        <f>CW67-DD67</f>
        <v>11.649000000000003</v>
      </c>
      <c r="DH67" s="302">
        <f>DD67/CW67</f>
        <v>0.36438042232771312</v>
      </c>
      <c r="DI67" s="302">
        <f>CW67/(CW67+CV67)</f>
        <v>0.35060835629017445</v>
      </c>
      <c r="DJ67" s="325">
        <v>32.695999999999998</v>
      </c>
      <c r="DK67" s="322">
        <v>0.53700000000000003</v>
      </c>
      <c r="DL67" s="322">
        <v>1.6539999999999999</v>
      </c>
      <c r="DM67" s="322">
        <v>-3.0000000000000001E-3</v>
      </c>
      <c r="DN67" s="322">
        <v>0.93</v>
      </c>
      <c r="DO67" s="322">
        <v>1.5409999999999999</v>
      </c>
      <c r="DP67" s="322">
        <v>2.7970000000000002</v>
      </c>
      <c r="DQ67" s="322">
        <v>1.0669999999999999</v>
      </c>
      <c r="DR67" s="314">
        <f>DQ67+DO67+DN67+DM67+DL67+DK67</f>
        <v>5.726</v>
      </c>
      <c r="DS67" s="314">
        <f>DJ67-DR67</f>
        <v>26.97</v>
      </c>
      <c r="DT67" s="300">
        <f>DR67/DJ67</f>
        <v>0.17512845608025449</v>
      </c>
      <c r="DU67" s="325">
        <f>DJ67-CW67</f>
        <v>14.368999999999996</v>
      </c>
      <c r="DV67" s="314">
        <v>14.369</v>
      </c>
      <c r="DW67" s="314">
        <f>DK67-CX67</f>
        <v>-0.60799999999999998</v>
      </c>
      <c r="DX67" s="314">
        <f>DL67-CY67</f>
        <v>-0.26</v>
      </c>
      <c r="DY67" s="314">
        <f>DM67-CZ67</f>
        <v>-0.129</v>
      </c>
      <c r="DZ67" s="314">
        <f>DN67-DA67</f>
        <v>-0.24999999999999989</v>
      </c>
      <c r="EA67" s="314">
        <f>DO67-DB67</f>
        <v>-0.26</v>
      </c>
      <c r="EB67" s="314">
        <f>DQ67-DC67</f>
        <v>0.55499999999999994</v>
      </c>
      <c r="EC67" s="314">
        <f>EB67+EA67+DZ67+DY67+DX67+DW67</f>
        <v>-0.95199999999999996</v>
      </c>
      <c r="ED67" s="314">
        <f>DU67-EC67</f>
        <v>15.320999999999996</v>
      </c>
      <c r="EE67" s="302">
        <f>EC67/DU67</f>
        <v>-6.625374069176701E-2</v>
      </c>
      <c r="EF67" s="315">
        <v>17.681999999999999</v>
      </c>
      <c r="EG67" s="314">
        <v>8.5000000000000006E-2</v>
      </c>
      <c r="EH67" s="314">
        <v>0.66200000000000003</v>
      </c>
      <c r="EI67" s="314">
        <v>-0.03</v>
      </c>
      <c r="EJ67" s="314">
        <v>0.13100000000000001</v>
      </c>
      <c r="EK67" s="314">
        <v>3.8540000000000001</v>
      </c>
      <c r="EL67" s="314">
        <v>0.20699999999999999</v>
      </c>
      <c r="EM67" s="314">
        <f>EL67+EK67+EJ67+EI67+EH67+EG67</f>
        <v>4.9089999999999998</v>
      </c>
      <c r="EN67" s="314">
        <f>EF67-EM67</f>
        <v>12.773</v>
      </c>
      <c r="EO67" s="302">
        <f>EM67/EF67</f>
        <v>0.27762696527542136</v>
      </c>
      <c r="EP67" s="352">
        <v>467.84399999999999</v>
      </c>
      <c r="EQ67" s="278">
        <v>6.4710000000000001</v>
      </c>
      <c r="ER67" s="278">
        <v>20.292999999999999</v>
      </c>
      <c r="ES67" s="278">
        <v>1.734</v>
      </c>
      <c r="ET67" s="278">
        <v>25.681999999999999</v>
      </c>
      <c r="EU67" s="278">
        <v>29.131</v>
      </c>
      <c r="EV67" s="278">
        <v>22.262</v>
      </c>
      <c r="EW67" s="278">
        <v>5.3630000000000004</v>
      </c>
      <c r="EX67" s="278">
        <f>EW67+EU67+ET67+ES67+ER67+EQ67</f>
        <v>88.674000000000007</v>
      </c>
      <c r="EY67" s="278">
        <f>EP67-EX67</f>
        <v>379.16999999999996</v>
      </c>
      <c r="EZ67" s="302">
        <f>EX67/EP67</f>
        <v>0.18953753815374358</v>
      </c>
      <c r="FA67" s="308">
        <f>(BX67+(EP67-EP66)-DJ67)/EP66</f>
        <v>0.13173341137830671</v>
      </c>
      <c r="FB67" s="302">
        <f>(BY67+(EQ67-EQ66)-DK67)/EQ66</f>
        <v>0.27078384798099764</v>
      </c>
      <c r="FC67" s="302">
        <f>(BZ67+(ER67-ER66)-DL67)/ER66</f>
        <v>0.16359832635983254</v>
      </c>
      <c r="FD67" s="302">
        <f>(CA67+(ES67-ES66)-DM67)/ES66</f>
        <v>0.1367118444313494</v>
      </c>
      <c r="FE67" s="302">
        <f>(CB67+(ET67-ET66)-DN67)/ET66</f>
        <v>0.11430734292202871</v>
      </c>
      <c r="FF67" s="302">
        <f>(CC67+(EU67-EU66)-DO67)/EU66</f>
        <v>9.7131658649563496E-2</v>
      </c>
      <c r="FG67" s="302">
        <f>(CD67+(EV67-EV66)-DP67)/EV66</f>
        <v>6.5050324755813363E-2</v>
      </c>
      <c r="FH67" s="302">
        <f>(CF67+(EW67-EW66)-DQ67)/EW66</f>
        <v>0.36704402515723278</v>
      </c>
      <c r="FI67" s="302">
        <f>(CG67+(EX67-EX66)-DR67)/EX66</f>
        <v>0.14323196183661296</v>
      </c>
      <c r="FJ67" s="302">
        <f>(CH67+(EY67-EY66)-DS67)/EY66</f>
        <v>0.12895223425091795</v>
      </c>
      <c r="FK67" s="302">
        <f>(CH67+AO67+(EY67-EY66)-DS67)/EY66</f>
        <v>0.19991288570431323</v>
      </c>
      <c r="FL67" s="296">
        <f>BX67/EP66</f>
        <v>0.12098596816415459</v>
      </c>
      <c r="FM67" s="302">
        <f>BY67/EQ66</f>
        <v>0.26399728537495759</v>
      </c>
      <c r="FN67" s="302">
        <f>BZ67/ER66</f>
        <v>0.188755230125523</v>
      </c>
      <c r="FO67" s="302">
        <f>CA67/ES66</f>
        <v>0.11314083677077195</v>
      </c>
      <c r="FP67" s="302">
        <f>CB67/ET66</f>
        <v>0.12813259492410056</v>
      </c>
      <c r="FQ67" s="302">
        <f>CC67/EU66</f>
        <v>0.11405665419561731</v>
      </c>
      <c r="FR67" s="302">
        <f>CD67/EV66</f>
        <v>9.9955377063810802E-2</v>
      </c>
      <c r="FS67" s="302">
        <f>CF67/EW66</f>
        <v>0.2862893081761006</v>
      </c>
      <c r="FT67" s="302">
        <f>CG67/EX66</f>
        <v>0.15398926654740608</v>
      </c>
      <c r="FU67" s="302">
        <f>CH67/EY66</f>
        <v>0.11300339514986833</v>
      </c>
    </row>
    <row r="68" spans="2:177">
      <c r="B68" s="288">
        <v>1992</v>
      </c>
      <c r="C68" s="344">
        <v>5499.7</v>
      </c>
      <c r="D68" s="352">
        <v>475.3</v>
      </c>
      <c r="E68" s="361">
        <f>D68/C68</f>
        <v>8.6422895794316057E-2</v>
      </c>
      <c r="F68" s="333">
        <f>D68-(G68+I68)</f>
        <v>0</v>
      </c>
      <c r="G68" s="278">
        <f>D68-I68</f>
        <v>402.20000000000005</v>
      </c>
      <c r="H68" s="302">
        <f>G68/C68</f>
        <v>7.3131261705183928E-2</v>
      </c>
      <c r="I68" s="292">
        <v>73.099999999999994</v>
      </c>
      <c r="J68" s="343">
        <f>I68/C68</f>
        <v>1.3291634089132134E-2</v>
      </c>
      <c r="K68" s="361">
        <f>I68/D68</f>
        <v>0.15379760151483271</v>
      </c>
      <c r="L68" s="371">
        <v>78.300000000000011</v>
      </c>
      <c r="M68" s="343">
        <f>L68/C68</f>
        <v>1.4237140207647693E-2</v>
      </c>
      <c r="N68" s="370">
        <f>L68/D68</f>
        <v>0.16473806017252263</v>
      </c>
      <c r="O68" s="352">
        <f>D68</f>
        <v>475.3</v>
      </c>
      <c r="P68" s="366">
        <f>O68-(Q68+R68+T68+U68+X68-V68)</f>
        <v>0</v>
      </c>
      <c r="Q68" s="278">
        <v>415</v>
      </c>
      <c r="R68" s="376">
        <v>70.7</v>
      </c>
      <c r="S68" s="374">
        <f>R68/D68</f>
        <v>0.14874815905743741</v>
      </c>
      <c r="T68" s="292">
        <v>18.399999999999999</v>
      </c>
      <c r="U68" s="292">
        <v>12.7</v>
      </c>
      <c r="V68" s="372">
        <v>70.900000000000006</v>
      </c>
      <c r="W68" s="374">
        <f>V68/D68</f>
        <v>0.14916894592888702</v>
      </c>
      <c r="X68" s="366">
        <f>O68-(Q68+R68+T68+U68-V68)</f>
        <v>29.400000000000034</v>
      </c>
      <c r="Y68" s="367"/>
      <c r="Z68" s="366"/>
      <c r="AA68" s="366"/>
      <c r="AB68" s="366"/>
      <c r="AC68" s="366">
        <f>AC69*AF68/AF69</f>
        <v>45.293177848896796</v>
      </c>
      <c r="AD68" s="302">
        <f>AC68/D68</f>
        <v>9.5293873025240464E-2</v>
      </c>
      <c r="AE68" s="278">
        <v>42.594000000000001</v>
      </c>
      <c r="AF68" s="278">
        <v>49.411634559445588</v>
      </c>
      <c r="AG68" s="326">
        <v>148.69999999999999</v>
      </c>
      <c r="AH68" s="295">
        <f>AG68/C68</f>
        <v>2.7037838427550594E-2</v>
      </c>
      <c r="AI68" s="295">
        <f>(AG68-AN68)/C68</f>
        <v>2.3983126352346489E-2</v>
      </c>
      <c r="AJ68" s="357">
        <f>AG68-(AK68+AL68+AM68+AN68)</f>
        <v>9.9999999999965894E-2</v>
      </c>
      <c r="AK68" s="288">
        <v>101.90000000000002</v>
      </c>
      <c r="AL68" s="288">
        <v>24.4</v>
      </c>
      <c r="AM68" s="290">
        <v>5.5</v>
      </c>
      <c r="AN68" s="288">
        <v>16.8</v>
      </c>
      <c r="AO68" s="372">
        <v>25.3</v>
      </c>
      <c r="AP68" s="333">
        <v>104.5825</v>
      </c>
      <c r="AQ68" s="333">
        <v>22.574362000000001</v>
      </c>
      <c r="AR68" s="333"/>
      <c r="AS68" s="333"/>
      <c r="AT68" s="361">
        <f>(O68-AG68)/C68</f>
        <v>5.9385057366765463E-2</v>
      </c>
      <c r="AU68" s="360">
        <v>0.34</v>
      </c>
      <c r="AV68" s="359">
        <f>(AK68+AL68)/(G68+L68-T68)</f>
        <v>0.27331746375243454</v>
      </c>
      <c r="AW68" s="353">
        <f>(AK68+AL68)/(G68+L68-T68-AE68)</f>
        <v>0.30106839949845765</v>
      </c>
      <c r="AX68" s="302">
        <f>(AG68-AN68-AM68)/(G68+L68-T68+V68)</f>
        <v>0.23714821763602242</v>
      </c>
      <c r="AY68" s="359">
        <f>(AG68-AN68-AM68+AO68)/(G68+L68-T68+AO68)</f>
        <v>0.31124333196553133</v>
      </c>
      <c r="AZ68" s="353">
        <f>(AG68-AN68-AM68+AO68)/(G68+L68-T68+AO68-AC68)</f>
        <v>0.3431297424045448</v>
      </c>
      <c r="BA68" s="302">
        <f>(AG68-AN68)/Q68</f>
        <v>0.31783132530120478</v>
      </c>
      <c r="BB68" s="302">
        <f>(AG68-AN68)/(Q68+R68)</f>
        <v>0.27156681078855255</v>
      </c>
      <c r="BC68" s="358">
        <f>D68</f>
        <v>475.3</v>
      </c>
      <c r="BD68" s="357">
        <f>BC68-(BE68+BF68+BG68)</f>
        <v>0</v>
      </c>
      <c r="BE68" s="356">
        <f>AG68</f>
        <v>148.69999999999999</v>
      </c>
      <c r="BF68" s="314">
        <v>189.5</v>
      </c>
      <c r="BG68" s="314">
        <v>137.1</v>
      </c>
      <c r="BH68" s="302">
        <f>BG68/D68</f>
        <v>0.28844940037870814</v>
      </c>
      <c r="BI68" s="288">
        <v>92</v>
      </c>
      <c r="BJ68" s="288">
        <f>BG68-BI68</f>
        <v>45.099999999999994</v>
      </c>
      <c r="BK68" s="302">
        <f>BJ68/D68</f>
        <v>9.4887439511887217E-2</v>
      </c>
      <c r="BL68" s="302">
        <f>DD68/(D68)</f>
        <v>1.4950557542604669E-2</v>
      </c>
      <c r="BM68" s="302">
        <f>DD68/(CV68+CW68)</f>
        <v>0.14006110180348871</v>
      </c>
      <c r="BN68" s="302">
        <f>CQ68*DF68</f>
        <v>0.14053198852961535</v>
      </c>
      <c r="BO68" s="302">
        <f>BJ68/I68</f>
        <v>0.61696306429548564</v>
      </c>
      <c r="BP68" s="294">
        <v>34.441000000000003</v>
      </c>
      <c r="BQ68" s="355">
        <f>L68</f>
        <v>78.300000000000011</v>
      </c>
      <c r="BR68" s="442"/>
      <c r="BX68" s="315">
        <v>50.564999999999998</v>
      </c>
      <c r="BY68" s="314">
        <v>1.8169999999999999</v>
      </c>
      <c r="BZ68" s="314">
        <v>3.0619999999999998</v>
      </c>
      <c r="CA68" s="314">
        <v>0.20200000000000001</v>
      </c>
      <c r="CB68" s="314">
        <v>2.7109999999999999</v>
      </c>
      <c r="CC68" s="314">
        <f>CD68+CE68</f>
        <v>4.2080000000000002</v>
      </c>
      <c r="CD68" s="314">
        <v>2.09</v>
      </c>
      <c r="CE68" s="314">
        <v>2.1180000000000003</v>
      </c>
      <c r="CF68" s="314">
        <v>1.5389999999999999</v>
      </c>
      <c r="CG68" s="314">
        <f>BY68+BZ68+CA68+CB68+CD68+CE68+CF68</f>
        <v>13.539</v>
      </c>
      <c r="CH68" s="314">
        <f>BX68-CG68</f>
        <v>37.025999999999996</v>
      </c>
      <c r="CI68" s="302">
        <f>BY68/$BX68</f>
        <v>3.5933946405616535E-2</v>
      </c>
      <c r="CJ68" s="302">
        <f>BZ68/$BX68</f>
        <v>6.0555720359932758E-2</v>
      </c>
      <c r="CK68" s="302">
        <f>CA68/$BX68</f>
        <v>3.9948581034312276E-3</v>
      </c>
      <c r="CL68" s="302">
        <f>CB68/$BX68</f>
        <v>5.3614159992089391E-2</v>
      </c>
      <c r="CM68" s="300">
        <f>CN68+CO68</f>
        <v>8.3219618313062405E-2</v>
      </c>
      <c r="CN68" s="302">
        <f>CD68/$BX68</f>
        <v>4.133293780282804E-2</v>
      </c>
      <c r="CO68" s="302">
        <f>CE68/$BX68</f>
        <v>4.1886680510234357E-2</v>
      </c>
      <c r="CP68" s="302">
        <f>CF68/$BX68</f>
        <v>3.0436072382082468E-2</v>
      </c>
      <c r="CQ68" s="302">
        <f>CG68/$BX68</f>
        <v>0.26775437555621479</v>
      </c>
      <c r="CR68" s="302">
        <f>CQ68*N68</f>
        <v>4.4109336431835934E-2</v>
      </c>
      <c r="CS68" s="342">
        <f>BX68</f>
        <v>50.564999999999998</v>
      </c>
      <c r="CT68" s="355">
        <f>BX68</f>
        <v>50.564999999999998</v>
      </c>
      <c r="CU68" s="333">
        <f>CT68-(CV68+CW68)</f>
        <v>-0.17000000000000171</v>
      </c>
      <c r="CV68" s="347">
        <v>34.441000000000003</v>
      </c>
      <c r="CW68" s="315">
        <v>16.294</v>
      </c>
      <c r="CX68" s="314">
        <v>1.28</v>
      </c>
      <c r="CY68" s="314">
        <v>1.34</v>
      </c>
      <c r="CZ68" s="314">
        <v>0.14499999999999999</v>
      </c>
      <c r="DA68" s="314">
        <v>1.633</v>
      </c>
      <c r="DB68" s="314">
        <v>1.7789999999999999</v>
      </c>
      <c r="DC68" s="314">
        <v>0.92900000000000005</v>
      </c>
      <c r="DD68" s="315">
        <f>DC68+DB68+DA68+CZ68+CY68+CX68</f>
        <v>7.1059999999999999</v>
      </c>
      <c r="DE68" s="315"/>
      <c r="DF68" s="302">
        <f>DD68/CG68</f>
        <v>0.52485412512002361</v>
      </c>
      <c r="DG68" s="314">
        <f>CW68-DD68</f>
        <v>9.1880000000000006</v>
      </c>
      <c r="DH68" s="302">
        <f>DD68/CW68</f>
        <v>0.43611145206824597</v>
      </c>
      <c r="DI68" s="302">
        <f>CW68/(CW68+CV68)</f>
        <v>0.32115896324036664</v>
      </c>
      <c r="DJ68" s="325">
        <v>42.646999999999998</v>
      </c>
      <c r="DK68" s="322">
        <v>1.1910000000000001</v>
      </c>
      <c r="DL68" s="322">
        <v>-1.5620000000000001</v>
      </c>
      <c r="DM68" s="322">
        <v>0.217</v>
      </c>
      <c r="DN68" s="322">
        <v>3.26</v>
      </c>
      <c r="DO68" s="322">
        <v>6.9240000000000004</v>
      </c>
      <c r="DP68" s="322">
        <v>2.8279999999999998</v>
      </c>
      <c r="DQ68" s="322">
        <v>1.282</v>
      </c>
      <c r="DR68" s="314">
        <f>DQ68+DO68+DN68+DM68+DL68+DK68</f>
        <v>11.312000000000001</v>
      </c>
      <c r="DS68" s="314">
        <f>DJ68-DR68</f>
        <v>31.334999999999997</v>
      </c>
      <c r="DT68" s="300">
        <f>DR68/DJ68</f>
        <v>0.26524726241001717</v>
      </c>
      <c r="DU68" s="325">
        <f>DJ68-CW68</f>
        <v>26.352999999999998</v>
      </c>
      <c r="DV68" s="314">
        <v>26.352</v>
      </c>
      <c r="DW68" s="314">
        <f>DK68-CX68</f>
        <v>-8.8999999999999968E-2</v>
      </c>
      <c r="DX68" s="314">
        <f>DL68-CY68</f>
        <v>-2.9020000000000001</v>
      </c>
      <c r="DY68" s="314">
        <f>DM68-CZ68</f>
        <v>7.2000000000000008E-2</v>
      </c>
      <c r="DZ68" s="314">
        <f>DN68-DA68</f>
        <v>1.6269999999999998</v>
      </c>
      <c r="EA68" s="314">
        <f>DO68-DB68</f>
        <v>5.1450000000000005</v>
      </c>
      <c r="EB68" s="314">
        <f>DQ68-DC68</f>
        <v>0.35299999999999998</v>
      </c>
      <c r="EC68" s="314">
        <f>EB68+EA68+DZ68+DY68+DX68+DW68</f>
        <v>4.2059999999999995</v>
      </c>
      <c r="ED68" s="314">
        <f>DU68-EC68</f>
        <v>22.146999999999998</v>
      </c>
      <c r="EE68" s="302">
        <f>EC68/DU68</f>
        <v>0.15960232231624483</v>
      </c>
      <c r="EF68" s="315">
        <v>14.647</v>
      </c>
      <c r="EG68" s="314">
        <v>0.1</v>
      </c>
      <c r="EH68" s="323">
        <f>(EH67+EH69)/2</f>
        <v>0.82699999999999996</v>
      </c>
      <c r="EI68" s="314">
        <v>0.114</v>
      </c>
      <c r="EJ68" s="314">
        <v>7.8E-2</v>
      </c>
      <c r="EK68" s="314">
        <v>1.3049999999999999</v>
      </c>
      <c r="EL68" s="314">
        <v>0.10100000000000001</v>
      </c>
      <c r="EM68" s="314">
        <f>EL68+EK68+EJ68+EI68+EH68+EG68</f>
        <v>2.5249999999999999</v>
      </c>
      <c r="EN68" s="314">
        <f>EF68-EM68</f>
        <v>12.122</v>
      </c>
      <c r="EO68" s="302">
        <f>EM68/EF68</f>
        <v>0.17239025056325527</v>
      </c>
      <c r="EP68" s="352">
        <v>502.06299999999999</v>
      </c>
      <c r="EQ68" s="278">
        <v>7.6070000000000002</v>
      </c>
      <c r="ER68" s="278">
        <v>20.7</v>
      </c>
      <c r="ES68" s="278">
        <v>2.0310000000000001</v>
      </c>
      <c r="ET68" s="278">
        <v>28.698</v>
      </c>
      <c r="EU68" s="278">
        <v>36.969000000000001</v>
      </c>
      <c r="EV68" s="278">
        <v>26.736000000000001</v>
      </c>
      <c r="EW68" s="278">
        <v>6.7149999999999999</v>
      </c>
      <c r="EX68" s="278">
        <f>EW68+EU68+ET68+ES68+ER68+EQ68</f>
        <v>102.72000000000001</v>
      </c>
      <c r="EY68" s="278">
        <f>EP68-EX68</f>
        <v>399.34299999999996</v>
      </c>
      <c r="EZ68" s="302">
        <f>EX68/EP68</f>
        <v>0.20459583757416902</v>
      </c>
      <c r="FA68" s="308">
        <f>(BX68+(EP68-EP67)-DJ68)/EP67</f>
        <v>9.0066346901958763E-2</v>
      </c>
      <c r="FB68" s="302">
        <f>(BY68+(EQ68-EQ67)-DK68)/EQ67</f>
        <v>0.27229176325142951</v>
      </c>
      <c r="FC68" s="302">
        <f>(BZ68+(ER68-ER67)-DL68)/ER67</f>
        <v>0.24791800128122998</v>
      </c>
      <c r="FD68" s="302">
        <f>(CA68+(ES68-ES67)-DM68)/ES67</f>
        <v>0.1626297577854672</v>
      </c>
      <c r="FE68" s="302">
        <f>(CB68+(ET68-ET67)-DN68)/ET67</f>
        <v>9.6059496923915674E-2</v>
      </c>
      <c r="FF68" s="302">
        <f>(CC68+(EU68-EU67)-DO68)/EU67</f>
        <v>0.17582643918849339</v>
      </c>
      <c r="FG68" s="302">
        <f>(CD68+(EV68-EV67)-DP68)/EV67</f>
        <v>0.16781960291078971</v>
      </c>
      <c r="FH68" s="302">
        <f>(CF68+(EW68-EW67)-DQ68)/EW67</f>
        <v>0.30001864628006691</v>
      </c>
      <c r="FI68" s="302">
        <f>(CG68+(EX68-EX67)-DR68)/EX67</f>
        <v>0.18351489726413611</v>
      </c>
      <c r="FJ68" s="302">
        <f>(CH68+(EY68-EY67)-DS68)/EY67</f>
        <v>6.8212147585515748E-2</v>
      </c>
      <c r="FK68" s="302">
        <f>(CH68+AO68+(EY68-EY67)-DS68)/EY67</f>
        <v>0.13493683572012555</v>
      </c>
      <c r="FL68" s="296">
        <f>BX68/EP67</f>
        <v>0.1080808987611255</v>
      </c>
      <c r="FM68" s="302">
        <f>BY68/EQ67</f>
        <v>0.28079122237675785</v>
      </c>
      <c r="FN68" s="302">
        <f>BZ68/ER67</f>
        <v>0.15088946927511951</v>
      </c>
      <c r="FO68" s="302">
        <f>CA68/ES67</f>
        <v>0.11649365628604384</v>
      </c>
      <c r="FP68" s="302">
        <f>CB68/ET67</f>
        <v>0.10556031461724165</v>
      </c>
      <c r="FQ68" s="302">
        <f>CC68/EU67</f>
        <v>0.14445092856407266</v>
      </c>
      <c r="FR68" s="302">
        <f>CD68/EV67</f>
        <v>9.3881951307160177E-2</v>
      </c>
      <c r="FS68" s="302">
        <f>CF68/EW67</f>
        <v>0.28696625023307848</v>
      </c>
      <c r="FT68" s="302">
        <f>CG68/EX67</f>
        <v>0.15268286081602273</v>
      </c>
      <c r="FU68" s="302">
        <f>CH68/EY67</f>
        <v>9.7650130548302877E-2</v>
      </c>
    </row>
    <row r="69" spans="2:177">
      <c r="B69" s="288">
        <v>1993</v>
      </c>
      <c r="C69" s="344">
        <v>5754.8</v>
      </c>
      <c r="D69" s="352">
        <v>522</v>
      </c>
      <c r="E69" s="361">
        <f>D69/C69</f>
        <v>9.0706888162924854E-2</v>
      </c>
      <c r="F69" s="333">
        <f>D69-(G69+I69)</f>
        <v>0</v>
      </c>
      <c r="G69" s="278">
        <f>D69-I69</f>
        <v>445.1</v>
      </c>
      <c r="H69" s="302">
        <f>G69/C69</f>
        <v>7.7344130117467158E-2</v>
      </c>
      <c r="I69" s="292">
        <v>76.900000000000006</v>
      </c>
      <c r="J69" s="343">
        <f>I69/C69</f>
        <v>1.3362758045457706E-2</v>
      </c>
      <c r="K69" s="361">
        <f>I69/D69</f>
        <v>0.14731800766283526</v>
      </c>
      <c r="L69" s="371">
        <v>89</v>
      </c>
      <c r="M69" s="343">
        <f>L69/C69</f>
        <v>1.5465350663793702E-2</v>
      </c>
      <c r="N69" s="370">
        <f>L69/D69</f>
        <v>0.17049808429118773</v>
      </c>
      <c r="O69" s="352">
        <f>D69</f>
        <v>522</v>
      </c>
      <c r="P69" s="366">
        <f>O69-(Q69+R69+T69+U69+X69-V69)</f>
        <v>0</v>
      </c>
      <c r="Q69" s="278">
        <v>507.9</v>
      </c>
      <c r="R69" s="376">
        <v>72.5</v>
      </c>
      <c r="S69" s="374">
        <f>R69/D69</f>
        <v>0.1388888888888889</v>
      </c>
      <c r="T69" s="292">
        <v>16.8</v>
      </c>
      <c r="U69" s="292">
        <v>16.100000000000001</v>
      </c>
      <c r="V69" s="372">
        <v>90.8</v>
      </c>
      <c r="W69" s="374">
        <f>V69/D69</f>
        <v>0.17394636015325671</v>
      </c>
      <c r="X69" s="366">
        <f>O69-(Q69+R69+T69+U69-V69)</f>
        <v>-0.5</v>
      </c>
      <c r="Y69" s="367"/>
      <c r="Z69" s="366"/>
      <c r="AA69" s="366"/>
      <c r="AB69" s="366"/>
      <c r="AC69" s="366">
        <f>AC70*AF69/AF70</f>
        <v>46.04634422724412</v>
      </c>
      <c r="AD69" s="302">
        <f>AC69/D69</f>
        <v>8.8211387408513642E-2</v>
      </c>
      <c r="AE69" s="278">
        <v>50.241</v>
      </c>
      <c r="AF69" s="278">
        <v>50.233285492694584</v>
      </c>
      <c r="AG69" s="326">
        <v>171</v>
      </c>
      <c r="AH69" s="295">
        <f>AG69/C69</f>
        <v>2.9714325432682282E-2</v>
      </c>
      <c r="AI69" s="295">
        <f>(AG69-AN69)/C69</f>
        <v>2.6934037672899144E-2</v>
      </c>
      <c r="AJ69" s="357">
        <f>AG69-(AK69+AL69+AM69+AN69)</f>
        <v>-9.9999999999994316E-2</v>
      </c>
      <c r="AK69" s="288">
        <v>122.5</v>
      </c>
      <c r="AL69" s="288">
        <v>26.9</v>
      </c>
      <c r="AM69" s="290">
        <v>5.7</v>
      </c>
      <c r="AN69" s="288">
        <v>16</v>
      </c>
      <c r="AO69" s="372">
        <v>27.6</v>
      </c>
      <c r="AP69" s="333">
        <v>123.23625</v>
      </c>
      <c r="AQ69" s="333"/>
      <c r="AR69" s="333"/>
      <c r="AS69" s="333"/>
      <c r="AT69" s="361">
        <f>(O69-AG69)/C69</f>
        <v>6.0992562730242575E-2</v>
      </c>
      <c r="AU69" s="360">
        <v>0.35</v>
      </c>
      <c r="AV69" s="359">
        <f>(AK69+AL69)/(G69+L69-T69)</f>
        <v>0.28880726850956889</v>
      </c>
      <c r="AW69" s="353">
        <f>(AK69+AL69)/(G69+L69-T69-AE69)</f>
        <v>0.31987393455644786</v>
      </c>
      <c r="AX69" s="302">
        <f>(AG69-AN69-AM69)/(G69+L69-T69+V69)</f>
        <v>0.24551882913994411</v>
      </c>
      <c r="AY69" s="359">
        <f>(AG69-AN69-AM69+AO69)/(G69+L69-T69+AO69)</f>
        <v>0.32464672416957235</v>
      </c>
      <c r="AZ69" s="353">
        <f>(AG69-AN69-AM69+AO69)/(G69+L69-T69+AO69-AC69)</f>
        <v>0.35461301717027749</v>
      </c>
      <c r="BA69" s="302">
        <f>(AG69-AN69)/Q69</f>
        <v>0.30517818468202401</v>
      </c>
      <c r="BB69" s="302">
        <f>(AG69-AN69)/(Q69+R69)</f>
        <v>0.26705720192970367</v>
      </c>
      <c r="BC69" s="358">
        <f>D69</f>
        <v>522</v>
      </c>
      <c r="BD69" s="357">
        <f>BC69-(BE69+BF69+BG69)</f>
        <v>0.10000000000002274</v>
      </c>
      <c r="BE69" s="356">
        <f>AG69</f>
        <v>171</v>
      </c>
      <c r="BF69" s="314">
        <v>205.3</v>
      </c>
      <c r="BG69" s="314">
        <v>145.6</v>
      </c>
      <c r="BH69" s="302">
        <f>BG69/D69</f>
        <v>0.27892720306513408</v>
      </c>
      <c r="BI69" s="288">
        <v>89.3</v>
      </c>
      <c r="BJ69" s="288">
        <f>BG69-BI69</f>
        <v>56.3</v>
      </c>
      <c r="BK69" s="302">
        <f>BJ69/D69</f>
        <v>0.1078544061302682</v>
      </c>
      <c r="BL69" s="302">
        <f>DD69/(D69)</f>
        <v>1.7371647509578543E-2</v>
      </c>
      <c r="BM69" s="302">
        <f>DD69/(CV69+CW69)</f>
        <v>0.15405786513990585</v>
      </c>
      <c r="BN69" s="302">
        <f>CQ69*DF69</f>
        <v>0.1527087789023425</v>
      </c>
      <c r="BO69" s="302">
        <f>BJ69/I69</f>
        <v>0.73211963589076712</v>
      </c>
      <c r="BP69" s="294">
        <v>28.847000000000001</v>
      </c>
      <c r="BQ69" s="355">
        <f>L69</f>
        <v>89</v>
      </c>
      <c r="BR69" s="442"/>
      <c r="BX69" s="315">
        <v>59.381</v>
      </c>
      <c r="BY69" s="314">
        <v>1.7549999999999999</v>
      </c>
      <c r="BZ69" s="314">
        <v>2.3889999999999998</v>
      </c>
      <c r="CA69" s="314">
        <v>0.40300000000000002</v>
      </c>
      <c r="CB69" s="314">
        <v>4.2960000000000003</v>
      </c>
      <c r="CC69" s="314">
        <f>CD69+CE69</f>
        <v>3.843</v>
      </c>
      <c r="CD69" s="314">
        <v>3.04</v>
      </c>
      <c r="CE69" s="314">
        <v>0.80299999999999994</v>
      </c>
      <c r="CF69" s="314">
        <v>1.9319999999999999</v>
      </c>
      <c r="CG69" s="314">
        <f>BY69+BZ69+CA69+CB69+CD69+CE69+CF69</f>
        <v>14.618</v>
      </c>
      <c r="CH69" s="314">
        <f>BX69-CG69</f>
        <v>44.762999999999998</v>
      </c>
      <c r="CI69" s="302">
        <f>BY69/$BX69</f>
        <v>2.9554908135598926E-2</v>
      </c>
      <c r="CJ69" s="302">
        <f>BZ69/$BX69</f>
        <v>4.0231723952105891E-2</v>
      </c>
      <c r="CK69" s="302">
        <f>CA69/$BX69</f>
        <v>6.7866826089153101E-3</v>
      </c>
      <c r="CL69" s="302">
        <f>CB69/$BX69</f>
        <v>7.2346373419107129E-2</v>
      </c>
      <c r="CM69" s="300">
        <f>CN69+CO69</f>
        <v>6.4717670635388427E-2</v>
      </c>
      <c r="CN69" s="302">
        <f>CD69/$BX69</f>
        <v>5.119482662804601E-2</v>
      </c>
      <c r="CO69" s="302">
        <f>CE69/$BX69</f>
        <v>1.3522844007342414E-2</v>
      </c>
      <c r="CP69" s="302">
        <f>CF69/$BX69</f>
        <v>3.2535659554402921E-2</v>
      </c>
      <c r="CQ69" s="302">
        <f>CG69/$BX69</f>
        <v>0.2461730183055186</v>
      </c>
      <c r="CR69" s="302">
        <f>CQ69*N69</f>
        <v>4.1972028025270412E-2</v>
      </c>
      <c r="CS69" s="342">
        <f>BX69</f>
        <v>59.381</v>
      </c>
      <c r="CT69" s="355">
        <f>BX69</f>
        <v>59.381</v>
      </c>
      <c r="CU69" s="333">
        <f>CT69-(CV69+CW69)</f>
        <v>0.51999999999999602</v>
      </c>
      <c r="CV69" s="347">
        <v>28.847000000000001</v>
      </c>
      <c r="CW69" s="315">
        <v>30.013999999999999</v>
      </c>
      <c r="CX69" s="314">
        <v>1.2170000000000001</v>
      </c>
      <c r="CY69" s="314">
        <v>1.101</v>
      </c>
      <c r="CZ69" s="314">
        <v>0.33400000000000002</v>
      </c>
      <c r="DA69" s="314">
        <v>3.2250000000000001</v>
      </c>
      <c r="DB69" s="314">
        <v>1.839</v>
      </c>
      <c r="DC69" s="314">
        <v>1.3520000000000001</v>
      </c>
      <c r="DD69" s="315">
        <f>DC69+DB69+DA69+CZ69+CY69+CX69</f>
        <v>9.0679999999999996</v>
      </c>
      <c r="DE69" s="315"/>
      <c r="DF69" s="302">
        <f>DD69/CG69</f>
        <v>0.62033109864550551</v>
      </c>
      <c r="DG69" s="314">
        <f>CW69-DD69</f>
        <v>20.945999999999998</v>
      </c>
      <c r="DH69" s="302">
        <f>DD69/CW69</f>
        <v>0.30212567468514695</v>
      </c>
      <c r="DI69" s="302">
        <f>CW69/(CW69+CV69)</f>
        <v>0.50991318530096319</v>
      </c>
      <c r="DJ69" s="325">
        <v>77.247</v>
      </c>
      <c r="DK69" s="322">
        <v>1.506</v>
      </c>
      <c r="DL69" s="322">
        <v>1.3979999999999999</v>
      </c>
      <c r="DM69" s="322">
        <v>3.6859999999999999</v>
      </c>
      <c r="DN69" s="322">
        <v>4.5659999999999998</v>
      </c>
      <c r="DO69" s="322">
        <v>8.1790000000000003</v>
      </c>
      <c r="DP69" s="322">
        <v>3.9950000000000001</v>
      </c>
      <c r="DQ69" s="322">
        <v>1.7430000000000001</v>
      </c>
      <c r="DR69" s="314">
        <f>DQ69+DO69+DN69+DM69+DL69+DK69</f>
        <v>21.077999999999999</v>
      </c>
      <c r="DS69" s="314">
        <f>DJ69-DR69</f>
        <v>56.168999999999997</v>
      </c>
      <c r="DT69" s="300">
        <f>DR69/DJ69</f>
        <v>0.27286496562973317</v>
      </c>
      <c r="DU69" s="325">
        <f>DJ69-CW69</f>
        <v>47.233000000000004</v>
      </c>
      <c r="DV69" s="314">
        <v>47.232999999999997</v>
      </c>
      <c r="DW69" s="314">
        <f>DK69-CX69</f>
        <v>0.28899999999999992</v>
      </c>
      <c r="DX69" s="314">
        <f>DL69-CY69</f>
        <v>0.29699999999999993</v>
      </c>
      <c r="DY69" s="314">
        <f>DM69-CZ69</f>
        <v>3.3519999999999999</v>
      </c>
      <c r="DZ69" s="314">
        <f>DN69-DA69</f>
        <v>1.3409999999999997</v>
      </c>
      <c r="EA69" s="314">
        <f>DO69-DB69</f>
        <v>6.34</v>
      </c>
      <c r="EB69" s="314">
        <f>DQ69-DC69</f>
        <v>0.39100000000000001</v>
      </c>
      <c r="EC69" s="314">
        <f>EB69+EA69+DZ69+DY69+DX69+DW69</f>
        <v>12.01</v>
      </c>
      <c r="ED69" s="314">
        <f>DU69-EC69</f>
        <v>35.223000000000006</v>
      </c>
      <c r="EE69" s="302">
        <f>EC69/DU69</f>
        <v>0.25427137806194816</v>
      </c>
      <c r="EF69" s="315">
        <v>24.565000000000001</v>
      </c>
      <c r="EG69" s="314">
        <v>0.32600000000000001</v>
      </c>
      <c r="EH69" s="314">
        <v>0.99199999999999999</v>
      </c>
      <c r="EI69" s="323">
        <f>(EI68+EI70)/2</f>
        <v>7.350000000000001E-2</v>
      </c>
      <c r="EJ69" s="314">
        <v>0.249</v>
      </c>
      <c r="EK69" s="314">
        <v>1.631</v>
      </c>
      <c r="EL69" s="314">
        <v>0.107</v>
      </c>
      <c r="EM69" s="314">
        <f>EL69+EK69+EJ69+EI69+EH69+EG69</f>
        <v>3.3785000000000003</v>
      </c>
      <c r="EN69" s="314">
        <f>EF69-EM69</f>
        <v>21.186500000000002</v>
      </c>
      <c r="EO69" s="302">
        <f>EM69/EF69</f>
        <v>0.13753307551394262</v>
      </c>
      <c r="EP69" s="352">
        <v>564.28300000000002</v>
      </c>
      <c r="EQ69" s="278">
        <v>9.0190000000000001</v>
      </c>
      <c r="ER69" s="278">
        <v>20.911000000000001</v>
      </c>
      <c r="ES69" s="278">
        <v>5.6109999999999998</v>
      </c>
      <c r="ET69" s="278">
        <v>33.055999999999997</v>
      </c>
      <c r="EU69" s="278">
        <v>41.18</v>
      </c>
      <c r="EV69" s="278">
        <v>28.666</v>
      </c>
      <c r="EW69" s="278">
        <v>8.875</v>
      </c>
      <c r="EX69" s="278">
        <f>EW69+EU69+ET69+ES69+ER69+EQ69</f>
        <v>118.652</v>
      </c>
      <c r="EY69" s="278">
        <f>EP69-EX69</f>
        <v>445.63100000000003</v>
      </c>
      <c r="EZ69" s="302">
        <f>EX69/EP69</f>
        <v>0.21027037851574476</v>
      </c>
      <c r="FA69" s="308">
        <f>(BX69+(EP69-EP68)-DJ69)/EP68</f>
        <v>8.8343494740699927E-2</v>
      </c>
      <c r="FB69" s="302">
        <f>(BY69+(EQ69-EQ68)-DK69)/EQ68</f>
        <v>0.21835151833837252</v>
      </c>
      <c r="FC69" s="302">
        <f>(BZ69+(ER69-ER68)-DL69)/ER68</f>
        <v>5.8067632850241642E-2</v>
      </c>
      <c r="FD69" s="302">
        <f>(CA69+(ES69-ES68)-DM69)/ES68</f>
        <v>0.14623338257016233</v>
      </c>
      <c r="FE69" s="302">
        <f>(CB69+(ET69-ET68)-DN69)/ET68</f>
        <v>0.14244895114642123</v>
      </c>
      <c r="FF69" s="302">
        <f>(CC69+(EU69-EU68)-DO69)/EU68</f>
        <v>-3.3812112851308333E-3</v>
      </c>
      <c r="FG69" s="302">
        <f>(CD69+(EV69-EV68)-DP69)/EV68</f>
        <v>3.6467684021543968E-2</v>
      </c>
      <c r="FH69" s="302">
        <f>(CF69+(EW69-EW68)-DQ69)/EW68</f>
        <v>0.34981384959046913</v>
      </c>
      <c r="FI69" s="302">
        <f>(CG69+(EX69-EX68)-DR69)/EX68</f>
        <v>9.2211838006230423E-2</v>
      </c>
      <c r="FJ69" s="302">
        <f>(CH69+(EY69-EY68)-DS69)/EY68</f>
        <v>8.7348469861748115E-2</v>
      </c>
      <c r="FK69" s="302">
        <f>(CH69+AO69+(EY69-EY68)-DS69)/EY68</f>
        <v>0.15646198881663151</v>
      </c>
      <c r="FL69" s="296">
        <f>BX69/EP68</f>
        <v>0.11827400146993505</v>
      </c>
      <c r="FM69" s="302">
        <f>BY69/EQ68</f>
        <v>0.23070855790719072</v>
      </c>
      <c r="FN69" s="302">
        <f>BZ69/ER68</f>
        <v>0.11541062801932367</v>
      </c>
      <c r="FO69" s="302">
        <f>CA69/ES68</f>
        <v>0.1984244214672575</v>
      </c>
      <c r="FP69" s="302">
        <f>CB69/ET68</f>
        <v>0.14969684298557392</v>
      </c>
      <c r="FQ69" s="302">
        <f>CC69/EU68</f>
        <v>0.10395195975006086</v>
      </c>
      <c r="FR69" s="302">
        <f>CD69/EV68</f>
        <v>0.11370436864153202</v>
      </c>
      <c r="FS69" s="302">
        <f>CF69/EW68</f>
        <v>0.28771407297096052</v>
      </c>
      <c r="FT69" s="302">
        <f>CG69/EX68</f>
        <v>0.14230919003115264</v>
      </c>
      <c r="FU69" s="302">
        <f>CH69/EY68</f>
        <v>0.11209161047019731</v>
      </c>
    </row>
    <row r="70" spans="2:177">
      <c r="B70" s="288">
        <v>1994</v>
      </c>
      <c r="C70" s="344">
        <v>6140.2</v>
      </c>
      <c r="D70" s="352">
        <v>621.9</v>
      </c>
      <c r="E70" s="361">
        <f>D70/C70</f>
        <v>0.10128334581935441</v>
      </c>
      <c r="F70" s="333">
        <f>D70-(G70+I70)</f>
        <v>0</v>
      </c>
      <c r="G70" s="278">
        <f>D70-I70</f>
        <v>543.9</v>
      </c>
      <c r="H70" s="302">
        <f>G70/C70</f>
        <v>8.8580176541480732E-2</v>
      </c>
      <c r="I70" s="292">
        <v>78</v>
      </c>
      <c r="J70" s="343">
        <f>I70/C70</f>
        <v>1.2703169277873686E-2</v>
      </c>
      <c r="K70" s="361">
        <f>I70/D70</f>
        <v>0.12542209358417752</v>
      </c>
      <c r="L70" s="371">
        <v>104.6</v>
      </c>
      <c r="M70" s="343">
        <f>L70/C70</f>
        <v>1.7035275723917786E-2</v>
      </c>
      <c r="N70" s="370">
        <f>L70/D70</f>
        <v>0.16819424344749959</v>
      </c>
      <c r="O70" s="352">
        <f>D70</f>
        <v>621.9</v>
      </c>
      <c r="P70" s="366">
        <f>O70-(Q70+R70+T70+U70+X70-V70)</f>
        <v>0</v>
      </c>
      <c r="Q70" s="278">
        <v>585.1</v>
      </c>
      <c r="R70" s="376">
        <v>78.099999999999994</v>
      </c>
      <c r="S70" s="374">
        <f>R70/D70</f>
        <v>0.12558289114005466</v>
      </c>
      <c r="T70" s="292">
        <v>18.600000000000001</v>
      </c>
      <c r="U70" s="292">
        <v>20.200000000000003</v>
      </c>
      <c r="V70" s="372">
        <v>71</v>
      </c>
      <c r="W70" s="374">
        <f>V70/D70</f>
        <v>0.11416626467277698</v>
      </c>
      <c r="X70" s="366">
        <f>O70-(Q70+R70+T70+U70-V70)</f>
        <v>-9.1000000000001364</v>
      </c>
      <c r="Y70" s="367"/>
      <c r="Z70" s="366"/>
      <c r="AA70" s="366"/>
      <c r="AB70" s="366"/>
      <c r="AC70" s="443">
        <f>AC71*AF70/AF71</f>
        <v>65.879271573084836</v>
      </c>
      <c r="AD70" s="302">
        <f>AC70/D70</f>
        <v>0.10593225851919093</v>
      </c>
      <c r="AE70" s="278">
        <v>67.444000000000003</v>
      </c>
      <c r="AF70" s="278">
        <v>71.869598173735255</v>
      </c>
      <c r="AG70" s="326">
        <v>193.1</v>
      </c>
      <c r="AH70" s="295">
        <f>AG70/C70</f>
        <v>3.1448487019966775E-2</v>
      </c>
      <c r="AI70" s="295">
        <f>(AG70-AN70)/C70</f>
        <v>2.8109833555910232E-2</v>
      </c>
      <c r="AJ70" s="357">
        <f>AG70-(AK70+AL70+AM70+AN70)</f>
        <v>0</v>
      </c>
      <c r="AK70" s="288">
        <v>136.20000000000002</v>
      </c>
      <c r="AL70" s="288">
        <v>30</v>
      </c>
      <c r="AM70" s="290">
        <v>6.4</v>
      </c>
      <c r="AN70" s="288">
        <v>20.5</v>
      </c>
      <c r="AO70" s="372">
        <v>29.2</v>
      </c>
      <c r="AP70" s="333">
        <v>144.53975</v>
      </c>
      <c r="AQ70" s="333">
        <v>26.469622999999999</v>
      </c>
      <c r="AR70" s="333"/>
      <c r="AS70" s="333"/>
      <c r="AT70" s="361">
        <f>(O70-AG70)/C70</f>
        <v>6.9834858799387639E-2</v>
      </c>
      <c r="AU70" s="360">
        <v>0.35</v>
      </c>
      <c r="AV70" s="359">
        <f>(AK70+AL70)/(G70+L70-T70)</f>
        <v>0.26385140498491827</v>
      </c>
      <c r="AW70" s="353">
        <f>(AK70+AL70)/(G70+L70-T70-AE70)</f>
        <v>0.29548978053394404</v>
      </c>
      <c r="AX70" s="302">
        <f>(AG70-AN70-AM70)/(G70+L70-T70+V70)</f>
        <v>0.23712369810243972</v>
      </c>
      <c r="AY70" s="359">
        <f>(AG70-AN70-AM70+AO70)/(G70+L70-T70+AO70)</f>
        <v>0.29646487634653312</v>
      </c>
      <c r="AZ70" s="353">
        <f>(AG70-AN70-AM70+AO70)/(G70+L70-T70+AO70-AC70)</f>
        <v>0.32938835518805248</v>
      </c>
      <c r="BA70" s="302">
        <f>(AG70-AN70)/Q70</f>
        <v>0.29499230900700735</v>
      </c>
      <c r="BB70" s="302">
        <f>(AG70-AN70)/(Q70+R70)</f>
        <v>0.26025331724969841</v>
      </c>
      <c r="BC70" s="358">
        <f>D70</f>
        <v>621.9</v>
      </c>
      <c r="BD70" s="357">
        <f>BC70-(BE70+BF70+BG70)</f>
        <v>0</v>
      </c>
      <c r="BE70" s="356">
        <f>AG70</f>
        <v>193.1</v>
      </c>
      <c r="BF70" s="314">
        <v>236</v>
      </c>
      <c r="BG70" s="314">
        <v>192.8</v>
      </c>
      <c r="BH70" s="302">
        <f>BG70/D70</f>
        <v>0.31001768773114652</v>
      </c>
      <c r="BI70" s="288">
        <v>153</v>
      </c>
      <c r="BJ70" s="288">
        <f>BG70-BI70</f>
        <v>39.800000000000011</v>
      </c>
      <c r="BK70" s="302">
        <f>BJ70/D70</f>
        <v>6.3997427239105981E-2</v>
      </c>
      <c r="BL70" s="302">
        <f>DD70/(D70)</f>
        <v>1.7128155652034089E-2</v>
      </c>
      <c r="BM70" s="302">
        <f>DD70/(CV70+CW70)</f>
        <v>0.15637110980622429</v>
      </c>
      <c r="BN70" s="302">
        <f>CQ70*DF70</f>
        <v>0.15440590256135214</v>
      </c>
      <c r="BO70" s="302">
        <f>BJ70/I70</f>
        <v>0.51025641025641044</v>
      </c>
      <c r="BP70" s="294">
        <v>44.031999999999996</v>
      </c>
      <c r="BQ70" s="355">
        <f>L70</f>
        <v>104.6</v>
      </c>
      <c r="BR70" s="442"/>
      <c r="BX70" s="315">
        <v>68.986999999999995</v>
      </c>
      <c r="BY70" s="314">
        <v>1.5429999999999999</v>
      </c>
      <c r="BZ70" s="314">
        <v>5.7050000000000001</v>
      </c>
      <c r="CA70" s="314">
        <v>1.23</v>
      </c>
      <c r="CB70" s="314">
        <v>4.468</v>
      </c>
      <c r="CC70" s="314">
        <f>CD70+CE70</f>
        <v>5.52</v>
      </c>
      <c r="CD70" s="314">
        <v>3.2719999999999998</v>
      </c>
      <c r="CE70" s="314">
        <v>2.2479999999999998</v>
      </c>
      <c r="CF70" s="314">
        <v>2.1349999999999998</v>
      </c>
      <c r="CG70" s="314">
        <f>BY70+BZ70+CA70+CB70+CD70+CE70+CF70</f>
        <v>20.600999999999999</v>
      </c>
      <c r="CH70" s="314">
        <f>BX70-CG70</f>
        <v>48.385999999999996</v>
      </c>
      <c r="CI70" s="302">
        <f>BY70/$BX70</f>
        <v>2.2366532825025005E-2</v>
      </c>
      <c r="CJ70" s="302">
        <f>BZ70/$BX70</f>
        <v>8.2696739965500754E-2</v>
      </c>
      <c r="CK70" s="302">
        <f>CA70/$BX70</f>
        <v>1.7829446127531276E-2</v>
      </c>
      <c r="CL70" s="302">
        <f>CB70/$BX70</f>
        <v>6.4765825445373765E-2</v>
      </c>
      <c r="CM70" s="300">
        <f>CN70+CO70</f>
        <v>8.0015075304042782E-2</v>
      </c>
      <c r="CN70" s="302">
        <f>CD70/$BX70</f>
        <v>4.7429225796164494E-2</v>
      </c>
      <c r="CO70" s="302">
        <f>CE70/$BX70</f>
        <v>3.2585849507878295E-2</v>
      </c>
      <c r="CP70" s="302">
        <f>CF70/$BX70</f>
        <v>3.0947859741690464E-2</v>
      </c>
      <c r="CQ70" s="302">
        <f>CG70/$BX70</f>
        <v>0.29862147940916406</v>
      </c>
      <c r="CR70" s="302">
        <f>CQ70*N70</f>
        <v>5.0226413806397426E-2</v>
      </c>
      <c r="CS70" s="342">
        <f>BX70</f>
        <v>68.986999999999995</v>
      </c>
      <c r="CT70" s="355">
        <f>BX70</f>
        <v>68.986999999999995</v>
      </c>
      <c r="CU70" s="333">
        <f>CT70-(CV70+CW70)</f>
        <v>0.86699999999999022</v>
      </c>
      <c r="CV70" s="347">
        <v>44.031999999999996</v>
      </c>
      <c r="CW70" s="315">
        <v>24.088000000000001</v>
      </c>
      <c r="CX70" s="314">
        <v>0.91</v>
      </c>
      <c r="CY70" s="314">
        <v>3.1320000000000001</v>
      </c>
      <c r="CZ70" s="314">
        <v>0.60899999999999999</v>
      </c>
      <c r="DA70" s="314">
        <v>2.2559999999999998</v>
      </c>
      <c r="DB70" s="314">
        <v>2.5059999999999998</v>
      </c>
      <c r="DC70" s="314">
        <v>1.2390000000000001</v>
      </c>
      <c r="DD70" s="315">
        <f>DC70+DB70+DA70+CZ70+CY70+CX70</f>
        <v>10.651999999999999</v>
      </c>
      <c r="DE70" s="315"/>
      <c r="DF70" s="302">
        <f>DD70/CG70</f>
        <v>0.5170622785301684</v>
      </c>
      <c r="DG70" s="314">
        <f>CW70-DD70</f>
        <v>13.436000000000002</v>
      </c>
      <c r="DH70" s="302">
        <f>DD70/CW70</f>
        <v>0.44221188973762865</v>
      </c>
      <c r="DI70" s="302">
        <f>CW70/(CW70+CV70)</f>
        <v>0.35361127422196126</v>
      </c>
      <c r="DJ70" s="325">
        <v>73.251999999999995</v>
      </c>
      <c r="DK70" s="322">
        <v>-0.33700000000000002</v>
      </c>
      <c r="DL70" s="322">
        <v>7.6050000000000004</v>
      </c>
      <c r="DM70" s="322">
        <v>0.51700000000000002</v>
      </c>
      <c r="DN70" s="322">
        <v>0.94</v>
      </c>
      <c r="DO70" s="322">
        <v>3.5979999999999999</v>
      </c>
      <c r="DP70" s="322">
        <v>0.89700000000000002</v>
      </c>
      <c r="DQ70" s="322">
        <v>1.8360000000000001</v>
      </c>
      <c r="DR70" s="314">
        <f>DQ70+DO70+DN70+DM70+DL70+DK70</f>
        <v>14.159000000000002</v>
      </c>
      <c r="DS70" s="314">
        <f>DJ70-DR70</f>
        <v>59.092999999999989</v>
      </c>
      <c r="DT70" s="300">
        <f>DR70/DJ70</f>
        <v>0.19329165073991159</v>
      </c>
      <c r="DU70" s="325">
        <f>DJ70-CW70</f>
        <v>49.163999999999994</v>
      </c>
      <c r="DV70" s="314">
        <v>49.164000000000001</v>
      </c>
      <c r="DW70" s="314">
        <f>DK70-CX70</f>
        <v>-1.2470000000000001</v>
      </c>
      <c r="DX70" s="314">
        <f>DL70-CY70</f>
        <v>4.4730000000000008</v>
      </c>
      <c r="DY70" s="314">
        <f>DM70-CZ70</f>
        <v>-9.1999999999999971E-2</v>
      </c>
      <c r="DZ70" s="314">
        <f>DN70-DA70</f>
        <v>-1.3159999999999998</v>
      </c>
      <c r="EA70" s="314">
        <f>DO70-DB70</f>
        <v>1.0920000000000001</v>
      </c>
      <c r="EB70" s="314">
        <f>DQ70-DC70</f>
        <v>0.59699999999999998</v>
      </c>
      <c r="EC70" s="314">
        <f>EB70+EA70+DZ70+DY70+DX70+DW70</f>
        <v>3.5070000000000014</v>
      </c>
      <c r="ED70" s="314">
        <f>DU70-EC70</f>
        <v>45.656999999999996</v>
      </c>
      <c r="EE70" s="302">
        <f>EC70/DU70</f>
        <v>7.1332682450573628E-2</v>
      </c>
      <c r="EF70" s="315">
        <v>33.658999999999999</v>
      </c>
      <c r="EG70" s="314">
        <v>0.26500000000000001</v>
      </c>
      <c r="EH70" s="314">
        <v>3.8380000000000001</v>
      </c>
      <c r="EI70" s="314">
        <v>3.3000000000000002E-2</v>
      </c>
      <c r="EJ70" s="323">
        <f>(EJ69+EJ71)/2</f>
        <v>0.45300000000000001</v>
      </c>
      <c r="EK70" s="314">
        <v>1.2410000000000001</v>
      </c>
      <c r="EL70" s="314">
        <v>0.27200000000000002</v>
      </c>
      <c r="EM70" s="314">
        <f>EL70+EK70+EJ70+EI70+EH70+EG70</f>
        <v>6.1019999999999994</v>
      </c>
      <c r="EN70" s="314">
        <f>EF70-EM70</f>
        <v>27.556999999999999</v>
      </c>
      <c r="EO70" s="302">
        <f>EM70/EF70</f>
        <v>0.18128880834249383</v>
      </c>
      <c r="EP70" s="352">
        <v>612.89300000000003</v>
      </c>
      <c r="EQ70" s="278">
        <v>7.2389999999999999</v>
      </c>
      <c r="ER70" s="278">
        <v>29.888999999999999</v>
      </c>
      <c r="ES70" s="278">
        <v>6.31</v>
      </c>
      <c r="ET70" s="278">
        <v>27.908000000000001</v>
      </c>
      <c r="EU70" s="278">
        <v>48.722000000000001</v>
      </c>
      <c r="EV70" s="278">
        <v>28.355</v>
      </c>
      <c r="EW70" s="278">
        <v>10.94</v>
      </c>
      <c r="EX70" s="278">
        <f>EW70+EU70+ET70+ES70+ER70+EQ70</f>
        <v>131.00799999999998</v>
      </c>
      <c r="EY70" s="278">
        <f>EP70-EX70</f>
        <v>481.88500000000005</v>
      </c>
      <c r="EZ70" s="302">
        <f>EX70/EP70</f>
        <v>0.21375346104458687</v>
      </c>
      <c r="FA70" s="308">
        <f>(BX70+(EP70-EP69)-DJ70)/EP69</f>
        <v>7.8586453960158315E-2</v>
      </c>
      <c r="FB70" s="302">
        <f>(BY70+(EQ70-EQ69)-DK70)/EQ69</f>
        <v>1.1087703736556126E-2</v>
      </c>
      <c r="FC70" s="302">
        <f>(BZ70+(ER70-ER69)-DL70)/ER69</f>
        <v>0.33848213858734622</v>
      </c>
      <c r="FD70" s="302">
        <f>(CA70+(ES70-ES69)-DM70)/ES69</f>
        <v>0.25164854749599003</v>
      </c>
      <c r="FE70" s="302">
        <f>(CB70+(ET70-ET69)-DN70)/ET69</f>
        <v>-4.9007744433688175E-2</v>
      </c>
      <c r="FF70" s="302">
        <f>(CC70+(EU70-EU69)-DO70)/EU69</f>
        <v>0.22982030111704715</v>
      </c>
      <c r="FG70" s="302">
        <f>(CD70+(EV70-EV69)-DP70)/EV69</f>
        <v>7.2001674457545531E-2</v>
      </c>
      <c r="FH70" s="302">
        <f>(CF70+(EW70-EW69)-DQ70)/EW69</f>
        <v>0.26636619718309845</v>
      </c>
      <c r="FI70" s="302">
        <f>(CG70+(EX70-EX69)-DR70)/EX69</f>
        <v>0.15842969355763054</v>
      </c>
      <c r="FJ70" s="302">
        <f>(CH70+(EY70-EY69)-DS70)/EY69</f>
        <v>5.7327699374594726E-2</v>
      </c>
      <c r="FK70" s="302">
        <f>(CH70+AO70+(EY70-EY69)-DS70)/EY69</f>
        <v>0.12285276383375489</v>
      </c>
      <c r="FL70" s="296">
        <f>BX70/EP69</f>
        <v>0.12225603110495974</v>
      </c>
      <c r="FM70" s="302">
        <f>BY70/EQ69</f>
        <v>0.17108326865506152</v>
      </c>
      <c r="FN70" s="302">
        <f>BZ70/ER69</f>
        <v>0.27282291616852372</v>
      </c>
      <c r="FO70" s="302">
        <f>CA70/ES69</f>
        <v>0.21921226162894317</v>
      </c>
      <c r="FP70" s="302">
        <f>CB70/ET69</f>
        <v>0.13516456921587611</v>
      </c>
      <c r="FQ70" s="302">
        <f>CC70/EU69</f>
        <v>0.13404565322972314</v>
      </c>
      <c r="FR70" s="302">
        <f>CD70/EV69</f>
        <v>0.11414218935324076</v>
      </c>
      <c r="FS70" s="302">
        <f>CF70/EW69</f>
        <v>0.24056338028169011</v>
      </c>
      <c r="FT70" s="302">
        <f>CG70/EX69</f>
        <v>0.17362539190236995</v>
      </c>
      <c r="FU70" s="302">
        <f>CH70/EY69</f>
        <v>0.10857862222331928</v>
      </c>
    </row>
    <row r="71" spans="2:177">
      <c r="B71" s="288">
        <v>1995</v>
      </c>
      <c r="C71" s="344">
        <v>6479.5</v>
      </c>
      <c r="D71" s="352">
        <v>703</v>
      </c>
      <c r="E71" s="361">
        <f>D71/C71</f>
        <v>0.10849602592792654</v>
      </c>
      <c r="F71" s="333">
        <f>D71-(G71+I71)</f>
        <v>0</v>
      </c>
      <c r="G71" s="278">
        <f>D71-I71</f>
        <v>610.1</v>
      </c>
      <c r="H71" s="302">
        <f>G71/C71</f>
        <v>9.4158499884250332E-2</v>
      </c>
      <c r="I71" s="292">
        <v>92.9</v>
      </c>
      <c r="J71" s="343">
        <f>I71/C71</f>
        <v>1.433752604367621E-2</v>
      </c>
      <c r="K71" s="361">
        <f>I71/D71</f>
        <v>0.13214793741109532</v>
      </c>
      <c r="L71" s="371">
        <v>127.4</v>
      </c>
      <c r="M71" s="343">
        <f>L71/C71</f>
        <v>1.9662010957635621E-2</v>
      </c>
      <c r="N71" s="370">
        <f>L71/D71</f>
        <v>0.18122332859174967</v>
      </c>
      <c r="O71" s="352">
        <f>D71</f>
        <v>703</v>
      </c>
      <c r="P71" s="366">
        <f>O71-(Q71+R71+T71+U71+X71-V71)</f>
        <v>0</v>
      </c>
      <c r="Q71" s="278">
        <v>717.8</v>
      </c>
      <c r="R71" s="376">
        <v>85.7</v>
      </c>
      <c r="S71" s="374">
        <f>R71/D71</f>
        <v>0.12190611664295875</v>
      </c>
      <c r="T71" s="292">
        <v>23.1</v>
      </c>
      <c r="U71" s="292">
        <v>17.7</v>
      </c>
      <c r="V71" s="372">
        <v>115.5</v>
      </c>
      <c r="W71" s="374">
        <f>V71/D71</f>
        <v>0.1642958748221906</v>
      </c>
      <c r="X71" s="366">
        <f>O71-(Q71+R71+T71+U71-V71)</f>
        <v>-25.800000000000068</v>
      </c>
      <c r="Y71" s="367">
        <v>77.511418000000006</v>
      </c>
      <c r="Z71" s="366">
        <f>Z72*Y71/Y72</f>
        <v>-5.9190352273905242</v>
      </c>
      <c r="AA71" s="366">
        <v>-5.4453279999999999</v>
      </c>
      <c r="AB71" s="366">
        <f>Z71-AA71</f>
        <v>-0.47370722739052429</v>
      </c>
      <c r="AC71" s="366">
        <f>Y71+Z71</f>
        <v>71.592382772609483</v>
      </c>
      <c r="AD71" s="302">
        <f>AC71/D71</f>
        <v>0.10183838232234635</v>
      </c>
      <c r="AE71" s="278">
        <v>80.754999999999995</v>
      </c>
      <c r="AF71" s="278">
        <v>78.102196021697111</v>
      </c>
      <c r="AG71" s="326">
        <v>217.8</v>
      </c>
      <c r="AH71" s="295">
        <f>AG71/C71</f>
        <v>3.3613704761169844E-2</v>
      </c>
      <c r="AI71" s="295">
        <f>(AG71-AN71)/C71</f>
        <v>3.0002314993440853E-2</v>
      </c>
      <c r="AJ71" s="357">
        <f>AG71-(AK71+AL71+AM71+AN71)</f>
        <v>-9.9999999999994316E-2</v>
      </c>
      <c r="AK71" s="288">
        <v>155.9</v>
      </c>
      <c r="AL71" s="288">
        <v>31.7</v>
      </c>
      <c r="AM71" s="290">
        <v>6.9</v>
      </c>
      <c r="AN71" s="288">
        <v>23.4</v>
      </c>
      <c r="AO71" s="372">
        <v>33.5</v>
      </c>
      <c r="AP71" s="333">
        <v>160.709</v>
      </c>
      <c r="AQ71" s="333"/>
      <c r="AR71" s="333"/>
      <c r="AS71" s="333"/>
      <c r="AT71" s="361">
        <f>(O71-AG71)/C71</f>
        <v>7.4882321166756693E-2</v>
      </c>
      <c r="AU71" s="360">
        <v>0.35</v>
      </c>
      <c r="AV71" s="359">
        <f>(AK71+AL71)/(G71+L71-T71)</f>
        <v>0.26259798432250842</v>
      </c>
      <c r="AW71" s="353">
        <f>(AK71+AL71)/(G71+L71-T71-AE71)</f>
        <v>0.29606483125409339</v>
      </c>
      <c r="AX71" s="302">
        <f>(AG71-AN71-AM71)/(G71+L71-T71+V71)</f>
        <v>0.22593083504036632</v>
      </c>
      <c r="AY71" s="359">
        <f>(AG71-AN71-AM71+AO71)/(G71+L71-T71+AO71)</f>
        <v>0.29549405000668538</v>
      </c>
      <c r="AZ71" s="353">
        <f>(AG71-AN71-AM71+AO71)/(G71+L71-T71+AO71-AC71)</f>
        <v>0.32677437658623121</v>
      </c>
      <c r="BA71" s="302">
        <f>(AG71-AN71)/Q71</f>
        <v>0.27082752855948733</v>
      </c>
      <c r="BB71" s="302">
        <f>(AG71-AN71)/(Q71+R71)</f>
        <v>0.2419415059116366</v>
      </c>
      <c r="BC71" s="358">
        <f>D71</f>
        <v>703</v>
      </c>
      <c r="BD71" s="357">
        <f>BC71-(BE71+BF71+BG71)</f>
        <v>0</v>
      </c>
      <c r="BE71" s="356">
        <f>AG71</f>
        <v>217.8</v>
      </c>
      <c r="BF71" s="314">
        <v>259</v>
      </c>
      <c r="BG71" s="314">
        <v>226.2</v>
      </c>
      <c r="BH71" s="302">
        <f>BG71/D71</f>
        <v>0.32176386913229016</v>
      </c>
      <c r="BI71" s="288">
        <v>166.1</v>
      </c>
      <c r="BJ71" s="288">
        <f>BG71-BI71</f>
        <v>60.099999999999994</v>
      </c>
      <c r="BK71" s="302">
        <f>BJ71/D71</f>
        <v>8.5490753911806536E-2</v>
      </c>
      <c r="BL71" s="302">
        <f>DD71/(D71)</f>
        <v>1.944381223328592E-2</v>
      </c>
      <c r="BM71" s="302">
        <f>DD71/(CV71+CW71)</f>
        <v>0.15871486130302012</v>
      </c>
      <c r="BN71" s="302">
        <f>CQ71*DF71</f>
        <v>0.15649256977995554</v>
      </c>
      <c r="BO71" s="302">
        <f>BJ71/I71</f>
        <v>0.64693218514531747</v>
      </c>
      <c r="BP71" s="294">
        <v>38.890999999999998</v>
      </c>
      <c r="BQ71" s="355">
        <f>L71</f>
        <v>127.4</v>
      </c>
      <c r="BR71" s="442"/>
      <c r="BX71" s="315">
        <v>87.346000000000004</v>
      </c>
      <c r="BY71" s="314">
        <v>2.1520000000000001</v>
      </c>
      <c r="BZ71" s="314">
        <v>7.4560000000000004</v>
      </c>
      <c r="CA71" s="314">
        <v>1.2909999999999999</v>
      </c>
      <c r="CB71" s="314">
        <v>4.2009999999999996</v>
      </c>
      <c r="CC71" s="314">
        <f>CD71+CE71</f>
        <v>5.3410000000000002</v>
      </c>
      <c r="CD71" s="314">
        <v>3.0230000000000001</v>
      </c>
      <c r="CE71" s="314">
        <v>2.3180000000000001</v>
      </c>
      <c r="CF71" s="314">
        <v>2.4660000000000002</v>
      </c>
      <c r="CG71" s="314">
        <f>BY71+BZ71+CA71+CB71+CD71+CE71+CF71</f>
        <v>22.907000000000004</v>
      </c>
      <c r="CH71" s="314">
        <f>BX71-CG71</f>
        <v>64.438999999999993</v>
      </c>
      <c r="CI71" s="302">
        <f>BY71/$BX71</f>
        <v>2.4637647974721223E-2</v>
      </c>
      <c r="CJ71" s="302">
        <f>BZ71/$BX71</f>
        <v>8.5361665102008114E-2</v>
      </c>
      <c r="CK71" s="302">
        <f>CA71/$BX71</f>
        <v>1.4780299040597163E-2</v>
      </c>
      <c r="CL71" s="302">
        <f>CB71/$BX71</f>
        <v>4.8096077668124466E-2</v>
      </c>
      <c r="CM71" s="300">
        <f>CN71+CO71</f>
        <v>6.1147619810867124E-2</v>
      </c>
      <c r="CN71" s="302">
        <f>CD71/$BX71</f>
        <v>3.4609484120623729E-2</v>
      </c>
      <c r="CO71" s="302">
        <f>CE71/$BX71</f>
        <v>2.6538135690243398E-2</v>
      </c>
      <c r="CP71" s="302">
        <f>CF71/$BX71</f>
        <v>2.8232546424564377E-2</v>
      </c>
      <c r="CQ71" s="302">
        <f>CG71/$BX71</f>
        <v>0.26225585602088247</v>
      </c>
      <c r="CR71" s="302">
        <f>CQ71*N71</f>
        <v>4.7526879170782972E-2</v>
      </c>
      <c r="CS71" s="342">
        <f>BX71</f>
        <v>87.346000000000004</v>
      </c>
      <c r="CT71" s="355">
        <f>BX71</f>
        <v>87.346000000000004</v>
      </c>
      <c r="CU71" s="333">
        <f>CT71-(CV71+CW71)</f>
        <v>1.2230000000000132</v>
      </c>
      <c r="CV71" s="347">
        <v>38.890999999999998</v>
      </c>
      <c r="CW71" s="315">
        <v>47.231999999999999</v>
      </c>
      <c r="CX71" s="314">
        <v>1.7330000000000001</v>
      </c>
      <c r="CY71" s="314">
        <v>5.2930000000000001</v>
      </c>
      <c r="CZ71" s="314">
        <v>0.66900000000000004</v>
      </c>
      <c r="DA71" s="314">
        <v>1.1990000000000001</v>
      </c>
      <c r="DB71" s="314">
        <v>3.012</v>
      </c>
      <c r="DC71" s="314">
        <v>1.7629999999999999</v>
      </c>
      <c r="DD71" s="315">
        <f>DC71+DB71+DA71+CZ71+CY71+CX71</f>
        <v>13.669</v>
      </c>
      <c r="DE71" s="315"/>
      <c r="DF71" s="302">
        <f>DD71/CG71</f>
        <v>0.59671716069323777</v>
      </c>
      <c r="DG71" s="314">
        <f>CW71-DD71</f>
        <v>33.563000000000002</v>
      </c>
      <c r="DH71" s="302">
        <f>DD71/CW71</f>
        <v>0.28940125338753386</v>
      </c>
      <c r="DI71" s="302">
        <f>CW71/(CW71+CV71)</f>
        <v>0.54842492713909186</v>
      </c>
      <c r="DJ71" s="325">
        <v>92.073999999999998</v>
      </c>
      <c r="DK71" s="322">
        <v>0.69499999999999995</v>
      </c>
      <c r="DL71" s="322">
        <v>9.3859999999999992</v>
      </c>
      <c r="DM71" s="322">
        <v>-0.47699999999999998</v>
      </c>
      <c r="DN71" s="322">
        <v>1.85</v>
      </c>
      <c r="DO71" s="322">
        <v>0.245</v>
      </c>
      <c r="DP71" s="322">
        <v>0.27500000000000002</v>
      </c>
      <c r="DQ71" s="322">
        <v>0.94699999999999995</v>
      </c>
      <c r="DR71" s="314">
        <f>DQ71+DO71+DN71+DM71+DL71+DK71</f>
        <v>12.645999999999999</v>
      </c>
      <c r="DS71" s="314">
        <f>DJ71-DR71</f>
        <v>79.427999999999997</v>
      </c>
      <c r="DT71" s="300">
        <f>DR71/DJ71</f>
        <v>0.13734604774420575</v>
      </c>
      <c r="DU71" s="325">
        <f>DJ71-CW71</f>
        <v>44.841999999999999</v>
      </c>
      <c r="DV71" s="314">
        <v>44.841999999999999</v>
      </c>
      <c r="DW71" s="314">
        <f>DK71-CX71</f>
        <v>-1.0380000000000003</v>
      </c>
      <c r="DX71" s="314">
        <f>DL71-CY71</f>
        <v>4.0929999999999991</v>
      </c>
      <c r="DY71" s="314">
        <f>DM71-CZ71</f>
        <v>-1.1459999999999999</v>
      </c>
      <c r="DZ71" s="314">
        <f>DN71-DA71</f>
        <v>0.65100000000000002</v>
      </c>
      <c r="EA71" s="314">
        <f>DO71-DB71</f>
        <v>-2.7669999999999999</v>
      </c>
      <c r="EB71" s="314">
        <f>DQ71-DC71</f>
        <v>-0.81599999999999995</v>
      </c>
      <c r="EC71" s="314">
        <f>EB71+EA71+DZ71+DY71+DX71+DW71</f>
        <v>-1.0230000000000006</v>
      </c>
      <c r="ED71" s="314">
        <f>DU71-EC71</f>
        <v>45.865000000000002</v>
      </c>
      <c r="EE71" s="302">
        <f>EC71/DU71</f>
        <v>-2.2813433834351738E-2</v>
      </c>
      <c r="EF71" s="315">
        <v>40.484999999999999</v>
      </c>
      <c r="EG71" s="314">
        <v>0.249</v>
      </c>
      <c r="EH71" s="314">
        <v>1.238</v>
      </c>
      <c r="EI71" s="314">
        <v>-0.15</v>
      </c>
      <c r="EJ71" s="314">
        <v>0.65700000000000003</v>
      </c>
      <c r="EK71" s="314">
        <v>1.1870000000000001</v>
      </c>
      <c r="EL71" s="314">
        <v>-0.125</v>
      </c>
      <c r="EM71" s="314">
        <f>EL71+EK71+EJ71+EI71+EH71+EG71</f>
        <v>3.0560000000000005</v>
      </c>
      <c r="EN71" s="314">
        <f>EF71-EM71</f>
        <v>37.429000000000002</v>
      </c>
      <c r="EO71" s="302">
        <f>EM71/EF71</f>
        <v>7.5484747437322475E-2</v>
      </c>
      <c r="EP71" s="352">
        <v>699.01499999999999</v>
      </c>
      <c r="EQ71" s="278">
        <v>7.9960000000000004</v>
      </c>
      <c r="ER71" s="278">
        <v>42.113</v>
      </c>
      <c r="ES71" s="278">
        <v>5.9290000000000003</v>
      </c>
      <c r="ET71" s="278">
        <v>31.125</v>
      </c>
      <c r="EU71" s="278">
        <v>48.713999999999999</v>
      </c>
      <c r="EV71" s="278">
        <v>28.373999999999999</v>
      </c>
      <c r="EW71" s="278">
        <v>12.14</v>
      </c>
      <c r="EX71" s="278">
        <f>EW71+EU71+ET71+ES71+ER71+EQ71</f>
        <v>148.01700000000002</v>
      </c>
      <c r="EY71" s="278">
        <f>EP71-EX71</f>
        <v>550.99799999999993</v>
      </c>
      <c r="EZ71" s="302">
        <f>EX71/EP71</f>
        <v>0.211750820797837</v>
      </c>
      <c r="FA71" s="308">
        <f>(BX71+(EP71-EP70)-DJ71)/EP70</f>
        <v>0.13280295255452412</v>
      </c>
      <c r="FB71" s="302">
        <f>(BY71+(EQ71-EQ70)-DK71)/EQ70</f>
        <v>0.30584334852880246</v>
      </c>
      <c r="FC71" s="302">
        <f>(BZ71+(ER71-ER70)-DL71)/ER70</f>
        <v>0.34440764160728027</v>
      </c>
      <c r="FD71" s="302">
        <f>(CA71+(ES71-ES70)-DM71)/ES70</f>
        <v>0.21980982567353416</v>
      </c>
      <c r="FE71" s="302">
        <f>(CB71+(ET71-ET70)-DN71)/ET70</f>
        <v>0.19951268453490031</v>
      </c>
      <c r="FF71" s="302">
        <f>(CC71+(EU71-EU70)-DO71)/EU70</f>
        <v>0.10442921062353756</v>
      </c>
      <c r="FG71" s="302">
        <f>(CD71+(EV71-EV70)-DP71)/EV70</f>
        <v>9.7584200317404279E-2</v>
      </c>
      <c r="FH71" s="302">
        <f>(CF71+(EW71-EW70)-DQ71)/EW70</f>
        <v>0.24853747714808055</v>
      </c>
      <c r="FI71" s="302">
        <f>(CG71+(EX71-EX70)-DR71)/EX70</f>
        <v>0.20815522716170043</v>
      </c>
      <c r="FJ71" s="302">
        <f>(CH71+(EY71-EY70)-DS71)/EY70</f>
        <v>0.11231725411664584</v>
      </c>
      <c r="FK71" s="302">
        <f>(CH71+AO71+(EY71-EY70)-DS71)/EY70</f>
        <v>0.18183591520798503</v>
      </c>
      <c r="FL71" s="296">
        <f>BX71/EP70</f>
        <v>0.14251427247496709</v>
      </c>
      <c r="FM71" s="302">
        <f>BY71/EQ70</f>
        <v>0.29727862964497859</v>
      </c>
      <c r="FN71" s="302">
        <f>BZ71/ER70</f>
        <v>0.24945632172371107</v>
      </c>
      <c r="FO71" s="302">
        <f>CA71/ES70</f>
        <v>0.20459587955625991</v>
      </c>
      <c r="FP71" s="302">
        <f>CB71/ET70</f>
        <v>0.15053031388849072</v>
      </c>
      <c r="FQ71" s="302">
        <f>CC71/EU70</f>
        <v>0.10962193670210582</v>
      </c>
      <c r="FR71" s="302">
        <f>CD71/EV70</f>
        <v>0.10661259037206842</v>
      </c>
      <c r="FS71" s="302">
        <f>CF71/EW70</f>
        <v>0.22541133455210241</v>
      </c>
      <c r="FT71" s="302">
        <f>CG71/EX70</f>
        <v>0.17485191744015638</v>
      </c>
      <c r="FU71" s="302">
        <f>CH71/EY70</f>
        <v>0.133722776181039</v>
      </c>
    </row>
    <row r="72" spans="2:177">
      <c r="B72" s="288">
        <v>1996</v>
      </c>
      <c r="C72" s="344">
        <v>6899.4</v>
      </c>
      <c r="D72" s="352">
        <v>786.1</v>
      </c>
      <c r="E72" s="361">
        <f>D72/C72</f>
        <v>0.11393744383569587</v>
      </c>
      <c r="F72" s="333">
        <f>D72-(G72+I72)</f>
        <v>0</v>
      </c>
      <c r="G72" s="278">
        <f>D72-I72</f>
        <v>684.1</v>
      </c>
      <c r="H72" s="302">
        <f>G72/C72</f>
        <v>9.9153549584021811E-2</v>
      </c>
      <c r="I72" s="292">
        <v>102</v>
      </c>
      <c r="J72" s="343">
        <f>I72/C72</f>
        <v>1.4783894251674059E-2</v>
      </c>
      <c r="K72" s="361">
        <f>I72/D72</f>
        <v>0.1297544841623203</v>
      </c>
      <c r="L72" s="371">
        <v>139.39999999999998</v>
      </c>
      <c r="M72" s="343">
        <f>L72/C72</f>
        <v>2.0204655477287878E-2</v>
      </c>
      <c r="N72" s="370">
        <f>L72/D72</f>
        <v>0.17733112835517106</v>
      </c>
      <c r="O72" s="352">
        <f>D72</f>
        <v>786.1</v>
      </c>
      <c r="P72" s="366">
        <f>O72-(Q72+R72+T72+U72+X72-V72)</f>
        <v>0</v>
      </c>
      <c r="Q72" s="278">
        <v>797.6</v>
      </c>
      <c r="R72" s="376">
        <v>94.1</v>
      </c>
      <c r="S72" s="374">
        <f>R72/D72</f>
        <v>0.11970487215367001</v>
      </c>
      <c r="T72" s="292">
        <v>22.7</v>
      </c>
      <c r="U72" s="292">
        <v>47.300000000000004</v>
      </c>
      <c r="V72" s="372">
        <v>132.80000000000001</v>
      </c>
      <c r="W72" s="374">
        <f>V72/D72</f>
        <v>0.16893524996819745</v>
      </c>
      <c r="X72" s="366">
        <f>O72-(Q72+R72+T72+U72-V72)</f>
        <v>-42.800000000000068</v>
      </c>
      <c r="Y72" s="367">
        <v>93.858492999999996</v>
      </c>
      <c r="Z72" s="366">
        <f>Z73*Y72/Y73</f>
        <v>-7.1673534143935651</v>
      </c>
      <c r="AA72" s="366"/>
      <c r="AB72" s="366"/>
      <c r="AC72" s="366">
        <f>Y72+Z72</f>
        <v>86.691139585606436</v>
      </c>
      <c r="AD72" s="302">
        <f>AC72/D72</f>
        <v>0.11028004018013794</v>
      </c>
      <c r="AE72" s="278">
        <v>102.563</v>
      </c>
      <c r="AF72" s="278">
        <v>88.092103986650486</v>
      </c>
      <c r="AG72" s="326">
        <v>231.5</v>
      </c>
      <c r="AH72" s="295">
        <f>AG72/C72</f>
        <v>3.3553642345711225E-2</v>
      </c>
      <c r="AI72" s="295">
        <f>(AG72-AN72)/C72</f>
        <v>3.0640345537293102E-2</v>
      </c>
      <c r="AJ72" s="357">
        <f>AG72-(AK72+AL72+AM72+AN72)</f>
        <v>9.9999999999994316E-2</v>
      </c>
      <c r="AK72" s="288">
        <v>170.5</v>
      </c>
      <c r="AL72" s="288">
        <v>33</v>
      </c>
      <c r="AM72" s="290">
        <v>7.8</v>
      </c>
      <c r="AN72" s="288">
        <v>20.100000000000001</v>
      </c>
      <c r="AO72" s="372">
        <v>43.3</v>
      </c>
      <c r="AP72" s="333">
        <v>174.44125</v>
      </c>
      <c r="AQ72" s="333"/>
      <c r="AR72" s="333"/>
      <c r="AS72" s="333"/>
      <c r="AT72" s="361">
        <f>(O72-AG72)/C72</f>
        <v>8.0383801489984641E-2</v>
      </c>
      <c r="AU72" s="360">
        <v>0.35</v>
      </c>
      <c r="AV72" s="359">
        <f>(AK72+AL72)/(G72+L72-T72)</f>
        <v>0.25412087912087916</v>
      </c>
      <c r="AW72" s="353">
        <f>(AK72+AL72)/(G72+L72-T72-AE72)</f>
        <v>0.29144831912373592</v>
      </c>
      <c r="AX72" s="302">
        <f>(AG72-AN72-AM72)/(G72+L72-T72+V72)</f>
        <v>0.21808054841473867</v>
      </c>
      <c r="AY72" s="359">
        <f>(AG72-AN72-AM72+AO72)/(G72+L72-T72+AO72)</f>
        <v>0.29250088852031753</v>
      </c>
      <c r="AZ72" s="353">
        <f>(AG72-AN72-AM72+AO72)/(G72+L72-T72+AO72-AC72)</f>
        <v>0.32597981473957943</v>
      </c>
      <c r="BA72" s="302">
        <f>(AG72-AN72)/Q72</f>
        <v>0.26504513540621866</v>
      </c>
      <c r="BB72" s="302">
        <f>(AG72-AN72)/(Q72+R72)</f>
        <v>0.2370752495233823</v>
      </c>
      <c r="BC72" s="358">
        <f>D72</f>
        <v>786.1</v>
      </c>
      <c r="BD72" s="357">
        <f>BC72-(BE72+BF72+BG72)</f>
        <v>0</v>
      </c>
      <c r="BE72" s="356">
        <f>AG72</f>
        <v>231.5</v>
      </c>
      <c r="BF72" s="314">
        <v>303.5</v>
      </c>
      <c r="BG72" s="314">
        <v>251.1</v>
      </c>
      <c r="BH72" s="302">
        <f>BG72/D72</f>
        <v>0.31942500954077085</v>
      </c>
      <c r="BI72" s="288">
        <v>189.5</v>
      </c>
      <c r="BJ72" s="288">
        <f>BG72-BI72</f>
        <v>61.599999999999994</v>
      </c>
      <c r="BK72" s="302">
        <f>BJ72/D72</f>
        <v>7.8361531611754215E-2</v>
      </c>
      <c r="BL72" s="302">
        <f>DD72/(D72)</f>
        <v>2.005724462536573E-2</v>
      </c>
      <c r="BM72" s="302">
        <f>DD72/(CV72+CW72)</f>
        <v>0.16980055139140177</v>
      </c>
      <c r="BN72" s="302">
        <f>CQ72*DF72</f>
        <v>0.16846165352479864</v>
      </c>
      <c r="BO72" s="302">
        <f>BJ72/I72</f>
        <v>0.60392156862745094</v>
      </c>
      <c r="BP72" s="294">
        <v>45.622999999999998</v>
      </c>
      <c r="BQ72" s="355">
        <f>L72</f>
        <v>139.39999999999998</v>
      </c>
      <c r="BR72" s="442"/>
      <c r="BX72" s="315">
        <v>93.593999999999994</v>
      </c>
      <c r="BY72" s="314">
        <v>1.982</v>
      </c>
      <c r="BZ72" s="314">
        <v>9.6319999999999997</v>
      </c>
      <c r="CA72" s="314">
        <v>1.504</v>
      </c>
      <c r="CB72" s="314">
        <v>4.42</v>
      </c>
      <c r="CC72" s="314">
        <f>CD72+CE72</f>
        <v>5.4669999999999996</v>
      </c>
      <c r="CD72" s="314">
        <v>3.3620000000000001</v>
      </c>
      <c r="CE72" s="314">
        <v>2.1049999999999995</v>
      </c>
      <c r="CF72" s="314">
        <v>2.7509999999999999</v>
      </c>
      <c r="CG72" s="314">
        <f>BY72+BZ72+CA72+CB72+CD72+CE72+CF72</f>
        <v>25.756</v>
      </c>
      <c r="CH72" s="314">
        <f>BX72-CG72</f>
        <v>67.837999999999994</v>
      </c>
      <c r="CI72" s="302">
        <f>BY72/$BX72</f>
        <v>2.1176571147723144E-2</v>
      </c>
      <c r="CJ72" s="302">
        <f>BZ72/$BX72</f>
        <v>0.10291257986623074</v>
      </c>
      <c r="CK72" s="302">
        <f>CA72/$BX72</f>
        <v>1.6069406158514436E-2</v>
      </c>
      <c r="CL72" s="302">
        <f>CB72/$BX72</f>
        <v>4.7225249481804392E-2</v>
      </c>
      <c r="CM72" s="300">
        <f>CN72+CO72</f>
        <v>5.8411864008376599E-2</v>
      </c>
      <c r="CN72" s="302">
        <f>CD72/$BX72</f>
        <v>3.592110605380687E-2</v>
      </c>
      <c r="CO72" s="302">
        <f>CE72/$BX72</f>
        <v>2.2490757954569732E-2</v>
      </c>
      <c r="CP72" s="302">
        <f>CF72/$BX72</f>
        <v>2.939290980191038E-2</v>
      </c>
      <c r="CQ72" s="302">
        <f>CG72/$BX72</f>
        <v>0.27518858046455974</v>
      </c>
      <c r="CR72" s="302">
        <f>CQ72*N72</f>
        <v>4.8799501484238166E-2</v>
      </c>
      <c r="CS72" s="342">
        <f>BX72</f>
        <v>93.593999999999994</v>
      </c>
      <c r="CT72" s="355">
        <f>BX72</f>
        <v>93.593999999999994</v>
      </c>
      <c r="CU72" s="333">
        <f>CT72-(CV72+CW72)</f>
        <v>0.73799999999999955</v>
      </c>
      <c r="CV72" s="347">
        <v>45.622999999999998</v>
      </c>
      <c r="CW72" s="315">
        <v>47.232999999999997</v>
      </c>
      <c r="CX72" s="314">
        <v>1.403</v>
      </c>
      <c r="CY72" s="314">
        <v>6.8120000000000003</v>
      </c>
      <c r="CZ72" s="314">
        <v>1.0189999999999999</v>
      </c>
      <c r="DA72" s="314">
        <v>1.7130000000000001</v>
      </c>
      <c r="DB72" s="314">
        <v>2.96</v>
      </c>
      <c r="DC72" s="314">
        <v>1.86</v>
      </c>
      <c r="DD72" s="315">
        <f>DC72+DB72+DA72+CZ72+CY72+CX72</f>
        <v>15.767000000000001</v>
      </c>
      <c r="DE72" s="315"/>
      <c r="DF72" s="302">
        <f>DD72/CG72</f>
        <v>0.61216803851529744</v>
      </c>
      <c r="DG72" s="314">
        <f>CW72-DD72</f>
        <v>31.465999999999994</v>
      </c>
      <c r="DH72" s="302">
        <f>DD72/CW72</f>
        <v>0.33381322380539036</v>
      </c>
      <c r="DI72" s="302">
        <f>CW72/(CW72+CV72)</f>
        <v>0.50866933746876886</v>
      </c>
      <c r="DJ72" s="325">
        <v>84.426000000000002</v>
      </c>
      <c r="DK72" s="322">
        <v>1.954</v>
      </c>
      <c r="DL72" s="322">
        <v>6.3079999999999998</v>
      </c>
      <c r="DM72" s="322">
        <v>1.0409999999999999</v>
      </c>
      <c r="DN72" s="322">
        <v>1.264</v>
      </c>
      <c r="DO72" s="322">
        <v>6.3710000000000004</v>
      </c>
      <c r="DP72" s="322">
        <v>3.17</v>
      </c>
      <c r="DQ72" s="322">
        <v>2.76</v>
      </c>
      <c r="DR72" s="314">
        <f>DQ72+DO72+DN72+DM72+DL72+DK72</f>
        <v>19.698</v>
      </c>
      <c r="DS72" s="314">
        <f>DJ72-DR72</f>
        <v>64.728000000000009</v>
      </c>
      <c r="DT72" s="300">
        <f>DR72/DJ72</f>
        <v>0.23331675076398267</v>
      </c>
      <c r="DU72" s="325">
        <f>DJ72-CW72</f>
        <v>37.193000000000005</v>
      </c>
      <c r="DV72" s="314">
        <v>37.194000000000003</v>
      </c>
      <c r="DW72" s="314">
        <f>DK72-CX72</f>
        <v>0.55099999999999993</v>
      </c>
      <c r="DX72" s="314">
        <f>DL72-CY72</f>
        <v>-0.50400000000000045</v>
      </c>
      <c r="DY72" s="314">
        <f>DM72-CZ72</f>
        <v>2.200000000000002E-2</v>
      </c>
      <c r="DZ72" s="314">
        <f>DN72-DA72</f>
        <v>-0.44900000000000007</v>
      </c>
      <c r="EA72" s="314">
        <f>DO72-DB72</f>
        <v>3.4110000000000005</v>
      </c>
      <c r="EB72" s="314">
        <f>DQ72-DC72</f>
        <v>0.89999999999999969</v>
      </c>
      <c r="EC72" s="314">
        <f>EB72+EA72+DZ72+DY72+DX72+DW72</f>
        <v>3.931</v>
      </c>
      <c r="ED72" s="314">
        <f>DU72-EC72</f>
        <v>33.262000000000008</v>
      </c>
      <c r="EE72" s="302">
        <f>EC72/DU72</f>
        <v>0.10569193127739089</v>
      </c>
      <c r="EF72" s="315">
        <v>27.533000000000001</v>
      </c>
      <c r="EG72" s="314">
        <v>0.32800000000000001</v>
      </c>
      <c r="EH72" s="314">
        <v>1.4279999999999999</v>
      </c>
      <c r="EI72" s="314">
        <v>-4.2000000000000003E-2</v>
      </c>
      <c r="EJ72" s="314">
        <v>0.40200000000000002</v>
      </c>
      <c r="EK72" s="314">
        <v>1.2470000000000001</v>
      </c>
      <c r="EL72" s="314">
        <v>0.22700000000000001</v>
      </c>
      <c r="EM72" s="314">
        <f>EL72+EK72+EJ72+EI72+EH72+EG72</f>
        <v>3.5900000000000003</v>
      </c>
      <c r="EN72" s="314">
        <f>EF72-EM72</f>
        <v>23.943000000000001</v>
      </c>
      <c r="EO72" s="302">
        <f>EM72/EF72</f>
        <v>0.13038898776014238</v>
      </c>
      <c r="EP72" s="352">
        <v>795.19500000000005</v>
      </c>
      <c r="EQ72" s="278">
        <v>10.132999999999999</v>
      </c>
      <c r="ER72" s="278">
        <v>54.118000000000002</v>
      </c>
      <c r="ES72" s="278">
        <v>7.7530000000000001</v>
      </c>
      <c r="ET72" s="278">
        <v>30.744</v>
      </c>
      <c r="EU72" s="278">
        <v>60.886000000000003</v>
      </c>
      <c r="EV72" s="278">
        <v>37.091000000000001</v>
      </c>
      <c r="EW72" s="278">
        <v>14.912000000000001</v>
      </c>
      <c r="EX72" s="278">
        <f>EW72+EU72+ET72+ES72+ER72+EQ72</f>
        <v>178.54600000000002</v>
      </c>
      <c r="EY72" s="278">
        <f>EP72-EX72</f>
        <v>616.649</v>
      </c>
      <c r="EZ72" s="302">
        <f>EX72/EP72</f>
        <v>0.2245310898584624</v>
      </c>
      <c r="FA72" s="308">
        <f>(BX72+(EP72-EP71)-DJ72)/EP71</f>
        <v>0.15070921224866426</v>
      </c>
      <c r="FB72" s="302">
        <f>(BY72+(EQ72-EQ71)-DK72)/EQ71</f>
        <v>0.27076038019009491</v>
      </c>
      <c r="FC72" s="302">
        <f>(BZ72+(ER72-ER71)-DL72)/ER71</f>
        <v>0.36399686557595046</v>
      </c>
      <c r="FD72" s="302">
        <f>(CA72+(ES72-ES71)-DM72)/ES71</f>
        <v>0.3857311519649182</v>
      </c>
      <c r="FE72" s="302">
        <f>(CB72+(ET72-ET71)-DN72)/ET71</f>
        <v>8.9156626506024073E-2</v>
      </c>
      <c r="FF72" s="302">
        <f>(CC72+(EU72-EU71)-DO72)/EU71</f>
        <v>0.23130927454119971</v>
      </c>
      <c r="FG72" s="302">
        <f>(CD72+(EV72-EV71)-DP72)/EV71</f>
        <v>0.31398463381969421</v>
      </c>
      <c r="FH72" s="302">
        <f>(CF72+(EW72-EW71)-DQ72)/EW71</f>
        <v>0.22759472817133442</v>
      </c>
      <c r="FI72" s="302">
        <f>(CG72+(EX72-EX71)-DR72)/EX71</f>
        <v>0.24718106703959675</v>
      </c>
      <c r="FJ72" s="302">
        <f>(CH72+(EY72-EY71)-DS72)/EY71</f>
        <v>0.12479355641944265</v>
      </c>
      <c r="FK72" s="302">
        <f>(CH72+AO72+(EY72-EY71)-DS72)/EY71</f>
        <v>0.20337823367779928</v>
      </c>
      <c r="FL72" s="296">
        <f>BX72/EP71</f>
        <v>0.13389412244372437</v>
      </c>
      <c r="FM72" s="302">
        <f>BY72/EQ71</f>
        <v>0.24787393696848423</v>
      </c>
      <c r="FN72" s="302">
        <f>BZ72/ER71</f>
        <v>0.22871797307244793</v>
      </c>
      <c r="FO72" s="302">
        <f>CA72/ES71</f>
        <v>0.25366840951256536</v>
      </c>
      <c r="FP72" s="302">
        <f>CB72/ET71</f>
        <v>0.14200803212851407</v>
      </c>
      <c r="FQ72" s="302">
        <f>CC72/EU71</f>
        <v>0.11222646467134705</v>
      </c>
      <c r="FR72" s="302">
        <f>CD72/EV71</f>
        <v>0.11848875731303307</v>
      </c>
      <c r="FS72" s="302">
        <f>CF72/EW71</f>
        <v>0.22660626029654035</v>
      </c>
      <c r="FT72" s="302">
        <f>CG72/EX71</f>
        <v>0.17400703973192266</v>
      </c>
      <c r="FU72" s="302">
        <f>CH72/EY71</f>
        <v>0.12311841422291914</v>
      </c>
    </row>
    <row r="73" spans="2:177">
      <c r="B73" s="288">
        <v>1997</v>
      </c>
      <c r="C73" s="344">
        <v>7380.4</v>
      </c>
      <c r="D73" s="352">
        <v>865.8</v>
      </c>
      <c r="E73" s="361">
        <f>D73/C73</f>
        <v>0.1173107148664029</v>
      </c>
      <c r="F73" s="333">
        <f>D73-(G73+I73)</f>
        <v>0</v>
      </c>
      <c r="G73" s="278">
        <f>D73-I73</f>
        <v>758.19999999999993</v>
      </c>
      <c r="H73" s="302">
        <f>G73/C73</f>
        <v>0.10273155926508049</v>
      </c>
      <c r="I73" s="292">
        <v>107.6</v>
      </c>
      <c r="J73" s="343">
        <f>I73/C73</f>
        <v>1.4579155601322422E-2</v>
      </c>
      <c r="K73" s="361">
        <f>I73/D73</f>
        <v>0.12427812427812428</v>
      </c>
      <c r="L73" s="371">
        <v>155.5</v>
      </c>
      <c r="M73" s="343">
        <f>L73/C73</f>
        <v>2.1069318736111866E-2</v>
      </c>
      <c r="N73" s="370">
        <f>L73/D73</f>
        <v>0.17960267960267962</v>
      </c>
      <c r="O73" s="352">
        <f>D73</f>
        <v>865.8</v>
      </c>
      <c r="P73" s="366">
        <f>O73-(Q73+R73+T73+U73+X73-V73)</f>
        <v>0</v>
      </c>
      <c r="Q73" s="278">
        <v>905.5</v>
      </c>
      <c r="R73" s="376">
        <v>107.7</v>
      </c>
      <c r="S73" s="374">
        <f>R73/D73</f>
        <v>0.12439362439362441</v>
      </c>
      <c r="T73" s="292">
        <v>24.4</v>
      </c>
      <c r="U73" s="292">
        <v>68.899999999999991</v>
      </c>
      <c r="V73" s="372">
        <v>200.8</v>
      </c>
      <c r="W73" s="374">
        <f>V73/D73</f>
        <v>0.23192423192423195</v>
      </c>
      <c r="X73" s="366">
        <f>O73-(Q73+R73+T73+U73-V73)</f>
        <v>-39.900000000000318</v>
      </c>
      <c r="Y73" s="367">
        <v>112.665933</v>
      </c>
      <c r="Z73" s="366">
        <f>Z74*Y73/Y74</f>
        <v>-8.603553432009468</v>
      </c>
      <c r="AA73" s="366"/>
      <c r="AB73" s="366"/>
      <c r="AC73" s="366">
        <f>Y73+Z73</f>
        <v>104.06237956799053</v>
      </c>
      <c r="AD73" s="302">
        <f>AC73/D73</f>
        <v>0.12019216859319766</v>
      </c>
      <c r="AE73" s="278">
        <v>118.07299999999999</v>
      </c>
      <c r="AF73" s="278">
        <v>102.5831710744001</v>
      </c>
      <c r="AG73" s="326">
        <v>245.4</v>
      </c>
      <c r="AH73" s="295">
        <f>AG73/C73</f>
        <v>3.3250230339818984E-2</v>
      </c>
      <c r="AI73" s="295">
        <f>(AG73-AN73)/C73</f>
        <v>3.044550430870956E-2</v>
      </c>
      <c r="AJ73" s="357">
        <f>AG73-(AK73+AL73+AM73+AN73)</f>
        <v>-9.9999999999965894E-2</v>
      </c>
      <c r="AK73" s="288">
        <v>182.39999999999998</v>
      </c>
      <c r="AL73" s="288">
        <v>34.1</v>
      </c>
      <c r="AM73" s="290">
        <v>8.3000000000000007</v>
      </c>
      <c r="AN73" s="288">
        <v>20.7</v>
      </c>
      <c r="AO73" s="372">
        <v>44.9</v>
      </c>
      <c r="AP73" s="333">
        <v>183.88900000000001</v>
      </c>
      <c r="AQ73" s="333"/>
      <c r="AR73" s="333"/>
      <c r="AS73" s="333"/>
      <c r="AT73" s="361">
        <f>(O73-AG73)/C73</f>
        <v>8.406048452658392E-2</v>
      </c>
      <c r="AU73" s="360">
        <v>0.35</v>
      </c>
      <c r="AV73" s="359">
        <f>(AK73+AL73)/(G73+L73-T73)</f>
        <v>0.24344990441920611</v>
      </c>
      <c r="AW73" s="353">
        <f>(AK73+AL73)/(G73+L73-T73-AE73)</f>
        <v>0.28072149963629384</v>
      </c>
      <c r="AX73" s="302">
        <f>(AG73-AN73-AM73)/(G73+L73-T73+V73)</f>
        <v>0.19851389780754061</v>
      </c>
      <c r="AY73" s="359">
        <f>(AG73-AN73-AM73+AO73)/(G73+L73-T73+AO73)</f>
        <v>0.27970456005138089</v>
      </c>
      <c r="AZ73" s="353">
        <f>(AG73-AN73-AM73+AO73)/(G73+L73-T73+AO73-AC73)</f>
        <v>0.31476708628626865</v>
      </c>
      <c r="BA73" s="302">
        <f>(AG73-AN73)/Q73</f>
        <v>0.24815019326339041</v>
      </c>
      <c r="BB73" s="302">
        <f>(AG73-AN73)/(Q73+R73)</f>
        <v>0.22177260165811291</v>
      </c>
      <c r="BC73" s="358">
        <f>D73</f>
        <v>865.8</v>
      </c>
      <c r="BD73" s="357">
        <f>BC73-(BE73+BF73+BG73)</f>
        <v>0</v>
      </c>
      <c r="BE73" s="356">
        <f>AG73</f>
        <v>245.4</v>
      </c>
      <c r="BF73" s="314">
        <v>339.5</v>
      </c>
      <c r="BG73" s="314">
        <v>280.89999999999998</v>
      </c>
      <c r="BH73" s="302">
        <f>BG73/D73</f>
        <v>0.32443982443982444</v>
      </c>
      <c r="BI73" s="288">
        <v>220.6</v>
      </c>
      <c r="BJ73" s="288">
        <f>BG73-BI73</f>
        <v>60.299999999999983</v>
      </c>
      <c r="BK73" s="302">
        <f>BJ73/D73</f>
        <v>6.9646569646569637E-2</v>
      </c>
      <c r="BL73" s="302">
        <f>DD73/(D73)</f>
        <v>2.0359205359205362E-2</v>
      </c>
      <c r="BM73" s="302">
        <f>DD73/(CV73+CW73)</f>
        <v>0.16920728780693842</v>
      </c>
      <c r="BN73" s="302">
        <f>CQ73*DF73</f>
        <v>0.16820619501116479</v>
      </c>
      <c r="BO73" s="302">
        <f>BJ73/I73</f>
        <v>0.56040892193308534</v>
      </c>
      <c r="BP73" s="294">
        <v>55.195999999999998</v>
      </c>
      <c r="BQ73" s="355">
        <f>L73</f>
        <v>155.5</v>
      </c>
      <c r="BR73" s="442"/>
      <c r="BX73" s="315">
        <v>104.794</v>
      </c>
      <c r="BY73" s="314">
        <v>2.3479999999999999</v>
      </c>
      <c r="BZ73" s="314">
        <v>11.587999999999999</v>
      </c>
      <c r="CA73" s="314">
        <v>1.5580000000000001</v>
      </c>
      <c r="CB73" s="314">
        <v>5.0709999999999997</v>
      </c>
      <c r="CC73" s="314">
        <f>CD73+CE73</f>
        <v>7.0759999999999996</v>
      </c>
      <c r="CD73" s="314">
        <v>3.9649999999999999</v>
      </c>
      <c r="CE73" s="314">
        <v>3.1109999999999998</v>
      </c>
      <c r="CF73" s="314">
        <v>3.4649999999999999</v>
      </c>
      <c r="CG73" s="314">
        <f>BY73+BZ73+CA73+CB73+CD73+CE73+CF73</f>
        <v>31.105999999999998</v>
      </c>
      <c r="CH73" s="314">
        <f>BX73-CG73</f>
        <v>73.688000000000002</v>
      </c>
      <c r="CI73" s="302">
        <f>BY73/$BX73</f>
        <v>2.2405862931083841E-2</v>
      </c>
      <c r="CJ73" s="302">
        <f>BZ73/$BX73</f>
        <v>0.11057884993415654</v>
      </c>
      <c r="CK73" s="302">
        <f>CA73/$BX73</f>
        <v>1.4867263392942346E-2</v>
      </c>
      <c r="CL73" s="302">
        <f>CB73/$BX73</f>
        <v>4.8390175010019659E-2</v>
      </c>
      <c r="CM73" s="300">
        <f>CN73+CO73</f>
        <v>6.7522949787201553E-2</v>
      </c>
      <c r="CN73" s="302">
        <f>CD73/$BX73</f>
        <v>3.7836135656621563E-2</v>
      </c>
      <c r="CO73" s="302">
        <f>CE73/$BX73</f>
        <v>2.9686814130579994E-2</v>
      </c>
      <c r="CP73" s="302">
        <f>CF73/$BX73</f>
        <v>3.3064870126152258E-2</v>
      </c>
      <c r="CQ73" s="302">
        <f>CG73/$BX73</f>
        <v>0.29682997118155618</v>
      </c>
      <c r="CR73" s="302">
        <f>CQ73*N73</f>
        <v>5.331145821059366E-2</v>
      </c>
      <c r="CS73" s="342">
        <f>BX73</f>
        <v>104.794</v>
      </c>
      <c r="CT73" s="355">
        <f>BX73</f>
        <v>104.794</v>
      </c>
      <c r="CU73" s="333">
        <f>CT73-(CV73+CW73)</f>
        <v>0.61999999999999034</v>
      </c>
      <c r="CV73" s="347">
        <v>55.195999999999998</v>
      </c>
      <c r="CW73" s="315">
        <v>48.978000000000002</v>
      </c>
      <c r="CX73" s="314">
        <v>1.0880000000000001</v>
      </c>
      <c r="CY73" s="314">
        <v>8.7850000000000001</v>
      </c>
      <c r="CZ73" s="314">
        <v>1.2490000000000001</v>
      </c>
      <c r="DA73" s="314">
        <v>0.42299999999999999</v>
      </c>
      <c r="DB73" s="314">
        <v>3.7080000000000002</v>
      </c>
      <c r="DC73" s="314">
        <v>2.3740000000000001</v>
      </c>
      <c r="DD73" s="315">
        <f>DC73+DB73+DA73+CZ73+CY73+CX73</f>
        <v>17.627000000000002</v>
      </c>
      <c r="DE73" s="315"/>
      <c r="DF73" s="302">
        <f>DD73/CG73</f>
        <v>0.56667523950363285</v>
      </c>
      <c r="DG73" s="314">
        <f>CW73-DD73</f>
        <v>31.350999999999999</v>
      </c>
      <c r="DH73" s="302">
        <f>DD73/CW73</f>
        <v>0.35989627996243218</v>
      </c>
      <c r="DI73" s="302">
        <f>CW73/(CW73+CV73)</f>
        <v>0.47015570103864684</v>
      </c>
      <c r="DJ73" s="325">
        <v>95.769000000000005</v>
      </c>
      <c r="DK73" s="322">
        <v>2.266</v>
      </c>
      <c r="DL73" s="322">
        <v>12.45</v>
      </c>
      <c r="DM73" s="322">
        <v>2.444</v>
      </c>
      <c r="DN73" s="322">
        <v>-0.79200000000000004</v>
      </c>
      <c r="DO73" s="322">
        <v>3.4630000000000001</v>
      </c>
      <c r="DP73" s="322">
        <v>0.58899999999999997</v>
      </c>
      <c r="DQ73" s="322">
        <v>3.6970000000000001</v>
      </c>
      <c r="DR73" s="314">
        <f>DQ73+DO73+DN73+DM73+DL73+DK73</f>
        <v>23.527999999999999</v>
      </c>
      <c r="DS73" s="314">
        <f>DJ73-DR73</f>
        <v>72.241000000000014</v>
      </c>
      <c r="DT73" s="300">
        <f>DR73/DJ73</f>
        <v>0.24567448756904633</v>
      </c>
      <c r="DU73" s="325">
        <f>DJ73-CW73</f>
        <v>46.791000000000004</v>
      </c>
      <c r="DV73" s="314">
        <v>46.790999999999997</v>
      </c>
      <c r="DW73" s="314">
        <f>DK73-CX73</f>
        <v>1.1779999999999999</v>
      </c>
      <c r="DX73" s="314">
        <f>DL73-CY73</f>
        <v>3.6649999999999991</v>
      </c>
      <c r="DY73" s="314">
        <f>DM73-CZ73</f>
        <v>1.1949999999999998</v>
      </c>
      <c r="DZ73" s="314">
        <f>DN73-DA73</f>
        <v>-1.2150000000000001</v>
      </c>
      <c r="EA73" s="314">
        <f>DO73-DB73</f>
        <v>-0.24500000000000011</v>
      </c>
      <c r="EB73" s="314">
        <f>DQ73-DC73</f>
        <v>1.323</v>
      </c>
      <c r="EC73" s="314">
        <f>EB73+EA73+DZ73+DY73+DX73+DW73</f>
        <v>5.9009999999999989</v>
      </c>
      <c r="ED73" s="314">
        <f>DU73-EC73</f>
        <v>40.890000000000008</v>
      </c>
      <c r="EE73" s="302">
        <f>EC73/DU73</f>
        <v>0.12611399628133613</v>
      </c>
      <c r="EF73" s="315">
        <v>40.792000000000002</v>
      </c>
      <c r="EG73" s="314">
        <v>0.877</v>
      </c>
      <c r="EH73" s="314">
        <v>2.9390000000000001</v>
      </c>
      <c r="EI73" s="314">
        <v>0.14199999999999999</v>
      </c>
      <c r="EJ73" s="314">
        <v>0.83499999999999996</v>
      </c>
      <c r="EK73" s="314">
        <v>2.226</v>
      </c>
      <c r="EL73" s="314">
        <v>0.45100000000000001</v>
      </c>
      <c r="EM73" s="314">
        <f>EL73+EK73+EJ73+EI73+EH73+EG73</f>
        <v>7.47</v>
      </c>
      <c r="EN73" s="314">
        <f>EF73-EM73</f>
        <v>33.322000000000003</v>
      </c>
      <c r="EO73" s="302">
        <f>EM73/EF73</f>
        <v>0.1831241419886252</v>
      </c>
      <c r="EP73" s="352">
        <v>871.31600000000003</v>
      </c>
      <c r="EQ73" s="278">
        <v>11.339</v>
      </c>
      <c r="ER73" s="278">
        <v>68.619</v>
      </c>
      <c r="ES73" s="278">
        <v>10.257999999999999</v>
      </c>
      <c r="ET73" s="278">
        <v>30.634</v>
      </c>
      <c r="EU73" s="278">
        <v>62.761000000000003</v>
      </c>
      <c r="EV73" s="278">
        <v>38.070999999999998</v>
      </c>
      <c r="EW73" s="278">
        <v>18.026</v>
      </c>
      <c r="EX73" s="278">
        <f>EW73+EU73+ET73+ES73+ER73+EQ73</f>
        <v>201.637</v>
      </c>
      <c r="EY73" s="278">
        <f>EP73-EX73</f>
        <v>669.67900000000009</v>
      </c>
      <c r="EZ73" s="302">
        <f>EX73/EP73</f>
        <v>0.23141661578577691</v>
      </c>
      <c r="FA73" s="308">
        <f>(BX73+(EP73-EP72)-DJ73)/EP72</f>
        <v>0.10707562296040588</v>
      </c>
      <c r="FB73" s="302">
        <f>(BY73+(EQ73-EQ72)-DK73)/EQ72</f>
        <v>0.12710944438961821</v>
      </c>
      <c r="FC73" s="302">
        <f>(BZ73+(ER73-ER72)-DL73)/ER72</f>
        <v>0.25202335636941497</v>
      </c>
      <c r="FD73" s="302">
        <f>(CA73+(ES73-ES72)-DM73)/ES72</f>
        <v>0.20882239133238731</v>
      </c>
      <c r="FE73" s="302">
        <f>(CB73+(ET73-ET72)-DN73)/ET72</f>
        <v>0.18712594327348425</v>
      </c>
      <c r="FF73" s="302">
        <f>(CC73+(EU73-EU72)-DO73)/EU72</f>
        <v>9.0135663370889865E-2</v>
      </c>
      <c r="FG73" s="302">
        <f>(CD73+(EV73-EV72)-DP73)/EV72</f>
        <v>0.11744088862527287</v>
      </c>
      <c r="FH73" s="302">
        <f>(CF73+(EW73-EW72)-DQ73)/EW72</f>
        <v>0.19326716738197416</v>
      </c>
      <c r="FI73" s="302">
        <f>(CG73+(EX73-EX72)-DR73)/EX72</f>
        <v>0.17177086017048812</v>
      </c>
      <c r="FJ73" s="302">
        <f>(CH73+(EY73-EY72)-DS73)/EY72</f>
        <v>8.8343612006181918E-2</v>
      </c>
      <c r="FK73" s="302">
        <f>(CH73+AO73+(EY73-EY72)-DS73)/EY72</f>
        <v>0.16115650880809029</v>
      </c>
      <c r="FL73" s="296">
        <f>BX73/EP72</f>
        <v>0.13178402781707629</v>
      </c>
      <c r="FM73" s="302">
        <f>BY73/EQ72</f>
        <v>0.23171814862330997</v>
      </c>
      <c r="FN73" s="302">
        <f>BZ73/ER72</f>
        <v>0.21412469049114896</v>
      </c>
      <c r="FO73" s="302">
        <f>CA73/ES72</f>
        <v>0.20095446923771443</v>
      </c>
      <c r="FP73" s="302">
        <f>CB73/ET72</f>
        <v>0.16494275305750714</v>
      </c>
      <c r="FQ73" s="302">
        <f>CC73/EU72</f>
        <v>0.11621719278651906</v>
      </c>
      <c r="FR73" s="302">
        <f>CD73/EV72</f>
        <v>0.10689924779596127</v>
      </c>
      <c r="FS73" s="302">
        <f>CF73/EW72</f>
        <v>0.23236319742489267</v>
      </c>
      <c r="FT73" s="302">
        <f>CG73/EX72</f>
        <v>0.17421840870139904</v>
      </c>
      <c r="FU73" s="302">
        <f>CH73/EY72</f>
        <v>0.11949747749530122</v>
      </c>
    </row>
    <row r="74" spans="2:177">
      <c r="B74" s="288">
        <v>1998</v>
      </c>
      <c r="C74" s="344">
        <v>7857.3</v>
      </c>
      <c r="D74" s="352">
        <v>804.1</v>
      </c>
      <c r="E74" s="361">
        <f>D74/C74</f>
        <v>0.10233795324093518</v>
      </c>
      <c r="F74" s="333">
        <f>D74-(G74+I74)</f>
        <v>0</v>
      </c>
      <c r="G74" s="278">
        <f>D74-I74</f>
        <v>701.30000000000007</v>
      </c>
      <c r="H74" s="302">
        <f>G74/C74</f>
        <v>8.9254578544792754E-2</v>
      </c>
      <c r="I74" s="292">
        <v>102.8</v>
      </c>
      <c r="J74" s="343">
        <f>I74/C74</f>
        <v>1.3083374696142441E-2</v>
      </c>
      <c r="K74" s="361">
        <f>I74/D74</f>
        <v>0.12784479542345478</v>
      </c>
      <c r="L74" s="371">
        <v>146.69999999999999</v>
      </c>
      <c r="M74" s="343">
        <f>L74/C74</f>
        <v>1.8670535680195485E-2</v>
      </c>
      <c r="N74" s="370">
        <f>L74/D74</f>
        <v>0.18243999502549432</v>
      </c>
      <c r="O74" s="352">
        <f>D74</f>
        <v>804.1</v>
      </c>
      <c r="P74" s="366">
        <f>O74-(Q74+R74+T74+U74+X74-V74)</f>
        <v>0</v>
      </c>
      <c r="Q74" s="278">
        <v>834.5</v>
      </c>
      <c r="R74" s="376">
        <v>119.5</v>
      </c>
      <c r="S74" s="374">
        <f>R74/D74</f>
        <v>0.14861335654769306</v>
      </c>
      <c r="T74" s="292">
        <v>25.8</v>
      </c>
      <c r="U74" s="292">
        <v>76</v>
      </c>
      <c r="V74" s="372">
        <v>201</v>
      </c>
      <c r="W74" s="374">
        <f>V74/D74</f>
        <v>0.24996890933963437</v>
      </c>
      <c r="X74" s="366">
        <f>O74-(Q74+R74+T74+U74-V74)</f>
        <v>-50.699999999999932</v>
      </c>
      <c r="Y74" s="367">
        <v>125.848938</v>
      </c>
      <c r="Z74" s="366">
        <f>Z75*Y74/Y75</f>
        <v>-9.6102524837267964</v>
      </c>
      <c r="AA74" s="366"/>
      <c r="AB74" s="366"/>
      <c r="AC74" s="366">
        <f>Y74+Z74</f>
        <v>116.23868551627321</v>
      </c>
      <c r="AD74" s="302">
        <f>AC74/D74</f>
        <v>0.14455749970933118</v>
      </c>
      <c r="AE74" s="278">
        <v>149.95400000000001</v>
      </c>
      <c r="AF74" s="278">
        <v>114.47283901051873</v>
      </c>
      <c r="AG74" s="326">
        <v>248.4</v>
      </c>
      <c r="AH74" s="295">
        <f>AG74/C74</f>
        <v>3.1613913176281927E-2</v>
      </c>
      <c r="AI74" s="295">
        <f>(AG74-AN74)/C74</f>
        <v>2.8228526338564139E-2</v>
      </c>
      <c r="AJ74" s="357">
        <f>AG74-(AK74+AL74+AM74+AN74)</f>
        <v>0.10000000000002274</v>
      </c>
      <c r="AK74" s="288">
        <v>177.6</v>
      </c>
      <c r="AL74" s="288">
        <v>34.9</v>
      </c>
      <c r="AM74" s="290">
        <v>9.1999999999999993</v>
      </c>
      <c r="AN74" s="288">
        <v>26.6</v>
      </c>
      <c r="AO74" s="372">
        <v>39.799999999999997</v>
      </c>
      <c r="AP74" s="333">
        <v>187.67775</v>
      </c>
      <c r="AQ74" s="333"/>
      <c r="AR74" s="333"/>
      <c r="AS74" s="333"/>
      <c r="AT74" s="361">
        <f>(O74-AG74)/C74</f>
        <v>7.0724040064653257E-2</v>
      </c>
      <c r="AU74" s="360">
        <v>0.35</v>
      </c>
      <c r="AV74" s="359">
        <f>(AK74+AL74)/(G74+L74-T74)</f>
        <v>0.2584529311603016</v>
      </c>
      <c r="AW74" s="353">
        <f>(AK74+AL74)/(G74+L74-T74-AE74)</f>
        <v>0.31610452126156197</v>
      </c>
      <c r="AX74" s="302">
        <f>(AG74-AN74-AM74)/(G74+L74-T74+V74)</f>
        <v>0.20777951524628618</v>
      </c>
      <c r="AY74" s="297">
        <f>(AG74-AN74-AM74+AO74)/(G74+L74-T74+AO74)</f>
        <v>0.29280742459396758</v>
      </c>
      <c r="AZ74" s="353">
        <f>(AG74-AN74-AM74+AO74)/(G74+L74-T74+AO74-AC74)</f>
        <v>0.33844608871235254</v>
      </c>
      <c r="BA74" s="302">
        <f>(AG74-AN74)/Q74</f>
        <v>0.26578789694427801</v>
      </c>
      <c r="BB74" s="302">
        <f>(AG74-AN74)/(Q74+R74)</f>
        <v>0.23249475890985327</v>
      </c>
      <c r="BC74" s="358">
        <f>D74</f>
        <v>804.1</v>
      </c>
      <c r="BD74" s="357">
        <f>BC74-(BE74+BF74+BG74)</f>
        <v>-0.10000000000002274</v>
      </c>
      <c r="BE74" s="356">
        <f>AG74</f>
        <v>248.4</v>
      </c>
      <c r="BF74" s="314">
        <v>357.1</v>
      </c>
      <c r="BG74" s="314">
        <v>198.7</v>
      </c>
      <c r="BH74" s="302">
        <f>BG74/D74</f>
        <v>0.24710856858599675</v>
      </c>
      <c r="BI74" s="288">
        <v>138.19999999999999</v>
      </c>
      <c r="BJ74" s="288">
        <f>BG74-BI74</f>
        <v>60.5</v>
      </c>
      <c r="BK74" s="302">
        <f>BJ74/D74</f>
        <v>7.523939808481532E-2</v>
      </c>
      <c r="BL74" s="302">
        <f>DD74/(D74)</f>
        <v>2.1392861584380054E-2</v>
      </c>
      <c r="BM74" s="302">
        <f>DD74/(CV74+CW74)</f>
        <v>0.19270926689370857</v>
      </c>
      <c r="BN74" s="302">
        <f>CQ74*DF74</f>
        <v>0.18970841236931493</v>
      </c>
      <c r="BO74" s="302">
        <f>BJ74/I74</f>
        <v>0.58852140077821014</v>
      </c>
      <c r="BP74" s="294">
        <v>56.741999999999997</v>
      </c>
      <c r="BQ74" s="355">
        <f>L74</f>
        <v>146.69999999999999</v>
      </c>
      <c r="BR74" s="442"/>
      <c r="BS74" s="278"/>
      <c r="BT74" s="278"/>
      <c r="BU74" s="278"/>
      <c r="BV74" s="278"/>
      <c r="BW74" s="278"/>
      <c r="BX74" s="315">
        <v>90.676000000000002</v>
      </c>
      <c r="BY74" s="314">
        <v>4.5650000000000004</v>
      </c>
      <c r="BZ74" s="314">
        <v>10.077999999999999</v>
      </c>
      <c r="CA74" s="314">
        <v>1.7430000000000001</v>
      </c>
      <c r="CB74" s="314">
        <v>6.1520000000000001</v>
      </c>
      <c r="CC74" s="314">
        <f>CD74+CE74</f>
        <v>6.8380000000000001</v>
      </c>
      <c r="CD74" s="314">
        <v>3.6579999999999999</v>
      </c>
      <c r="CE74" s="314">
        <v>3.18</v>
      </c>
      <c r="CF74" s="314">
        <v>1.7709999999999999</v>
      </c>
      <c r="CG74" s="314">
        <f>BY74+BZ74+CA74+CB74+CD74+CE74+CF74</f>
        <v>31.147000000000002</v>
      </c>
      <c r="CH74" s="314">
        <f>BX74-CG74</f>
        <v>59.528999999999996</v>
      </c>
      <c r="CI74" s="302">
        <f>BY74/$BX74</f>
        <v>5.0344082226829595E-2</v>
      </c>
      <c r="CJ74" s="302">
        <f>BZ74/$BX74</f>
        <v>0.11114297057655828</v>
      </c>
      <c r="CK74" s="302">
        <f>CA74/$BX74</f>
        <v>1.9222285941153116E-2</v>
      </c>
      <c r="CL74" s="302">
        <f>CB74/$BX74</f>
        <v>6.7845957033834753E-2</v>
      </c>
      <c r="CM74" s="300">
        <f>CN74+CO74</f>
        <v>7.5411354713485382E-2</v>
      </c>
      <c r="CN74" s="302">
        <f>CD74/$BX74</f>
        <v>4.0341435440469364E-2</v>
      </c>
      <c r="CO74" s="302">
        <f>CE74/$BX74</f>
        <v>3.5069919273016018E-2</v>
      </c>
      <c r="CP74" s="302">
        <f>CF74/$BX74</f>
        <v>1.953107768317967E-2</v>
      </c>
      <c r="CQ74" s="302">
        <f>CG74/$BX74</f>
        <v>0.34349772817504082</v>
      </c>
      <c r="CR74" s="302">
        <f>CQ74*N74</f>
        <v>6.2667723819523041E-2</v>
      </c>
      <c r="CS74" s="342">
        <f>BX74</f>
        <v>90.676000000000002</v>
      </c>
      <c r="CT74" s="355">
        <f>BX74</f>
        <v>90.676000000000002</v>
      </c>
      <c r="CU74" s="333">
        <f>CT74-(CV74+CW74)</f>
        <v>1.4120000000000061</v>
      </c>
      <c r="CV74" s="347">
        <v>56.741999999999997</v>
      </c>
      <c r="CW74" s="315">
        <v>32.521999999999998</v>
      </c>
      <c r="CX74" s="314">
        <v>3.6960000000000002</v>
      </c>
      <c r="CY74" s="314">
        <v>7.7759999999999998</v>
      </c>
      <c r="CZ74" s="314">
        <v>0.80300000000000005</v>
      </c>
      <c r="DA74" s="314">
        <v>4.5410000000000004</v>
      </c>
      <c r="DB74" s="314">
        <v>0.13500000000000001</v>
      </c>
      <c r="DC74" s="314">
        <v>0.251</v>
      </c>
      <c r="DD74" s="315">
        <f>DC74+DB74+DA74+CZ74+CY74+CX74</f>
        <v>17.202000000000002</v>
      </c>
      <c r="DE74" s="315"/>
      <c r="DF74" s="302">
        <f>DD74/CG74</f>
        <v>0.55228432914887471</v>
      </c>
      <c r="DG74" s="314">
        <f>CW74-DD74</f>
        <v>15.319999999999997</v>
      </c>
      <c r="DH74" s="302">
        <f>DD74/CW74</f>
        <v>0.52893425988561593</v>
      </c>
      <c r="DI74" s="302">
        <f>CW74/(CW74+CV74)</f>
        <v>0.36433500627352572</v>
      </c>
      <c r="DJ74" s="325">
        <v>131.00399999999999</v>
      </c>
      <c r="DK74" s="322">
        <v>7.891</v>
      </c>
      <c r="DL74" s="322">
        <v>22.213000000000001</v>
      </c>
      <c r="DM74" s="322">
        <v>4.0839999999999996</v>
      </c>
      <c r="DN74" s="322">
        <v>8.2230000000000008</v>
      </c>
      <c r="DO74" s="322">
        <v>3.6840000000000002</v>
      </c>
      <c r="DP74" s="322">
        <v>2.3580000000000001</v>
      </c>
      <c r="DQ74" s="322">
        <v>0.26100000000000001</v>
      </c>
      <c r="DR74" s="314">
        <f>DQ74+DO74+DN74+DM74+DL74+DK74</f>
        <v>46.356000000000002</v>
      </c>
      <c r="DS74" s="314">
        <f>DJ74-DR74</f>
        <v>84.647999999999996</v>
      </c>
      <c r="DT74" s="300">
        <f>DR74/DJ74</f>
        <v>0.35385179078501422</v>
      </c>
      <c r="DU74" s="325">
        <f>DJ74-CW74</f>
        <v>98.481999999999999</v>
      </c>
      <c r="DV74" s="314">
        <v>98.481999999999999</v>
      </c>
      <c r="DW74" s="314">
        <f>DK74-CX74</f>
        <v>4.1950000000000003</v>
      </c>
      <c r="DX74" s="314">
        <f>DL74-CY74</f>
        <v>14.437000000000001</v>
      </c>
      <c r="DY74" s="314">
        <f>DM74-CZ74</f>
        <v>3.2809999999999997</v>
      </c>
      <c r="DZ74" s="314">
        <f>DN74-DA74</f>
        <v>3.6820000000000004</v>
      </c>
      <c r="EA74" s="314">
        <f>DO74-DB74</f>
        <v>3.5490000000000004</v>
      </c>
      <c r="EB74" s="314">
        <f>DQ74-DC74</f>
        <v>1.0000000000000009E-2</v>
      </c>
      <c r="EC74" s="314">
        <f>EB74+EA74+DZ74+DY74+DX74+DW74</f>
        <v>29.154000000000003</v>
      </c>
      <c r="ED74" s="314">
        <f>DU74-EC74</f>
        <v>69.328000000000003</v>
      </c>
      <c r="EE74" s="302">
        <f>EC74/DU74</f>
        <v>0.2960337929773969</v>
      </c>
      <c r="EF74" s="315">
        <v>72.447000000000003</v>
      </c>
      <c r="EG74" s="314">
        <v>1.4450000000000001</v>
      </c>
      <c r="EH74" s="314">
        <v>4.7759999999999998</v>
      </c>
      <c r="EI74" s="314">
        <v>0.23100000000000001</v>
      </c>
      <c r="EJ74" s="314">
        <v>1.1859999999999999</v>
      </c>
      <c r="EK74" s="314">
        <v>6.2670000000000003</v>
      </c>
      <c r="EL74" s="314">
        <v>0.54600000000000004</v>
      </c>
      <c r="EM74" s="314">
        <f>EL74+EK74+EJ74+EI74+EH74+EG74</f>
        <v>14.451000000000001</v>
      </c>
      <c r="EN74" s="314">
        <f>EF74-EM74</f>
        <v>57.996000000000002</v>
      </c>
      <c r="EO74" s="302">
        <f>EM74/EF74</f>
        <v>0.19946995734813036</v>
      </c>
      <c r="EP74" s="352">
        <v>1000.703</v>
      </c>
      <c r="EQ74" s="278">
        <v>21.824999999999999</v>
      </c>
      <c r="ER74" s="278">
        <v>89.977999999999994</v>
      </c>
      <c r="ES74" s="278">
        <v>14.571</v>
      </c>
      <c r="ET74" s="278">
        <v>38.225000000000001</v>
      </c>
      <c r="EU74" s="278">
        <v>68.126999999999995</v>
      </c>
      <c r="EV74" s="278">
        <v>41.908000000000001</v>
      </c>
      <c r="EW74" s="278">
        <v>17.55</v>
      </c>
      <c r="EX74" s="278">
        <f>EW74+EU74+ET74+ES74+ER74+EQ74</f>
        <v>250.27599999999995</v>
      </c>
      <c r="EY74" s="278">
        <f>EP74-EX74</f>
        <v>750.42700000000002</v>
      </c>
      <c r="EZ74" s="302">
        <f>EX74/EP74</f>
        <v>0.25010017957375963</v>
      </c>
      <c r="FA74" s="308">
        <f>(BX74+(EP74-EP73)-DJ74)/EP73</f>
        <v>0.10221205624595432</v>
      </c>
      <c r="FB74" s="302">
        <f>(BY74+(EQ74-EQ73)-DK74)/EQ73</f>
        <v>0.63144898139165695</v>
      </c>
      <c r="FC74" s="302">
        <f>(BZ74+(ER74-ER73)-DL74)/ER73</f>
        <v>0.13442341042568376</v>
      </c>
      <c r="FD74" s="302">
        <f>(CA74+(ES74-ES73)-DM74)/ES73</f>
        <v>0.19224020276857101</v>
      </c>
      <c r="FE74" s="302">
        <f>(CB74+(ET74-ET73)-DN74)/ET73</f>
        <v>0.18019194359208726</v>
      </c>
      <c r="FF74" s="302">
        <f>(CC74+(EU74-EU73)-DO74)/EU73</f>
        <v>0.1357530950749668</v>
      </c>
      <c r="FG74" s="302">
        <f>(CD74+(EV74-EV73)-DP74)/EV73</f>
        <v>0.13493210054897434</v>
      </c>
      <c r="FH74" s="302">
        <f>(CF74+(EW74-EW73)-DQ74)/EW73</f>
        <v>5.7361588816154482E-2</v>
      </c>
      <c r="FI74" s="302">
        <f>(CG74+(EX74-EX73)-DR74)/EX73</f>
        <v>0.16579298442250162</v>
      </c>
      <c r="FJ74" s="302">
        <f>(CH74+(EY74-EY73)-DS74)/EY73</f>
        <v>8.306815653469786E-2</v>
      </c>
      <c r="FK74" s="302">
        <f>(CH74+AO74+(EY74-EY73)-DS74)/EY73</f>
        <v>0.14249961548741999</v>
      </c>
      <c r="FL74" s="296">
        <f>BX74/EP73</f>
        <v>0.10406786975104325</v>
      </c>
      <c r="FM74" s="302">
        <f>BY74/EQ73</f>
        <v>0.40259282123644063</v>
      </c>
      <c r="FN74" s="302">
        <f>BZ74/ER73</f>
        <v>0.1468689430041242</v>
      </c>
      <c r="FO74" s="302">
        <f>CA74/ES73</f>
        <v>0.16991616299473583</v>
      </c>
      <c r="FP74" s="302">
        <f>CB74/ET73</f>
        <v>0.20082261539465954</v>
      </c>
      <c r="FQ74" s="302">
        <f>CC74/EU73</f>
        <v>0.10895301222096525</v>
      </c>
      <c r="FR74" s="302">
        <f>CD74/EV73</f>
        <v>9.6083633211630909E-2</v>
      </c>
      <c r="FS74" s="302">
        <f>CF74/EW73</f>
        <v>9.8246976589370899E-2</v>
      </c>
      <c r="FT74" s="302">
        <f>CG74/EX73</f>
        <v>0.15447065766699564</v>
      </c>
      <c r="FU74" s="302">
        <f>CH74/EY73</f>
        <v>8.8891842210969713E-2</v>
      </c>
    </row>
    <row r="75" spans="2:177" s="377" customFormat="1">
      <c r="B75" s="392">
        <v>1999</v>
      </c>
      <c r="C75" s="405">
        <v>8324.4</v>
      </c>
      <c r="D75" s="382">
        <v>830.2</v>
      </c>
      <c r="E75" s="378">
        <f>D75/C75</f>
        <v>9.9730911537167857E-2</v>
      </c>
      <c r="F75" s="389">
        <f>D75-(G75+I75)</f>
        <v>0</v>
      </c>
      <c r="G75" s="381">
        <f>D75-I75</f>
        <v>708.2</v>
      </c>
      <c r="H75" s="378">
        <f>G75/C75</f>
        <v>8.5075200615059354E-2</v>
      </c>
      <c r="I75" s="389">
        <v>122</v>
      </c>
      <c r="J75" s="400">
        <f>I75/C75</f>
        <v>1.4655710922108501E-2</v>
      </c>
      <c r="K75" s="378">
        <f>I75/D75</f>
        <v>0.14695254155625151</v>
      </c>
      <c r="L75" s="383">
        <v>177.3</v>
      </c>
      <c r="M75" s="400">
        <f>L75/C75</f>
        <v>2.1298832348277355E-2</v>
      </c>
      <c r="N75" s="404">
        <f>L75/D75</f>
        <v>0.21356299686822452</v>
      </c>
      <c r="O75" s="382">
        <f>D75</f>
        <v>830.2</v>
      </c>
      <c r="P75" s="381">
        <f>O75-(Q75+R75+T75+U75+X75-V75)</f>
        <v>0</v>
      </c>
      <c r="Q75" s="381">
        <v>925.4</v>
      </c>
      <c r="R75" s="403">
        <v>136.1</v>
      </c>
      <c r="S75" s="396">
        <f>R75/D75</f>
        <v>0.16393640086726088</v>
      </c>
      <c r="T75" s="392">
        <v>26.8</v>
      </c>
      <c r="U75" s="392">
        <v>64</v>
      </c>
      <c r="V75" s="399">
        <v>269.39999999999998</v>
      </c>
      <c r="W75" s="396">
        <f>V75/D75</f>
        <v>0.32450012045290288</v>
      </c>
      <c r="X75" s="381">
        <f>O75-(Q75+R75+T75+U75-V75)</f>
        <v>-52.699999999999932</v>
      </c>
      <c r="Y75" s="402">
        <v>138.69934799999999</v>
      </c>
      <c r="Z75" s="381">
        <f>Z76*Y75/Y76</f>
        <v>-10.591553451236013</v>
      </c>
      <c r="AA75" s="381"/>
      <c r="AB75" s="381"/>
      <c r="AC75" s="381">
        <f>Y75+Z75</f>
        <v>128.10779454876396</v>
      </c>
      <c r="AD75" s="378">
        <f>AC75/D75</f>
        <v>0.1543095573943194</v>
      </c>
      <c r="AE75" s="381">
        <v>157.31899999999999</v>
      </c>
      <c r="AF75" s="381">
        <v>124.98620277758366</v>
      </c>
      <c r="AG75" s="401">
        <v>258.8</v>
      </c>
      <c r="AH75" s="400">
        <f>AG75/C75</f>
        <v>3.1089327759358035E-2</v>
      </c>
      <c r="AI75" s="400">
        <f>(AG75-AN75)/C75</f>
        <v>2.8038056796886264E-2</v>
      </c>
      <c r="AJ75" s="394">
        <f>AG75-(AK75+AL75+AM75+AN75)</f>
        <v>0.10000000000002274</v>
      </c>
      <c r="AK75" s="392">
        <v>187.5</v>
      </c>
      <c r="AL75" s="392">
        <v>35.799999999999997</v>
      </c>
      <c r="AM75" s="399">
        <v>10</v>
      </c>
      <c r="AN75" s="392">
        <v>25.4</v>
      </c>
      <c r="AO75" s="399">
        <v>39.9</v>
      </c>
      <c r="AP75" s="389">
        <v>190.33224999999999</v>
      </c>
      <c r="AQ75" s="389"/>
      <c r="AR75" s="389"/>
      <c r="AS75" s="389"/>
      <c r="AT75" s="378">
        <f>(O75-AG75)/C75</f>
        <v>6.8641583777809823E-2</v>
      </c>
      <c r="AU75" s="398">
        <v>0.35</v>
      </c>
      <c r="AV75" s="397">
        <f>(AK75+AL75)/(G75+L75-T75)</f>
        <v>0.26004425294049144</v>
      </c>
      <c r="AW75" s="396">
        <f>(AK75+AL75)/(G75+L75-T75-AE75)</f>
        <v>0.31837189772748331</v>
      </c>
      <c r="AX75" s="378">
        <f>(AG75-AN75-AM75)/(G75+L75-T75+V75)</f>
        <v>0.19803208935378072</v>
      </c>
      <c r="AY75" s="441">
        <f>(AG75-AN75-AM75+AO75)/(G75+L75-T75+AO75)</f>
        <v>0.29301135099042958</v>
      </c>
      <c r="AZ75" s="396">
        <f>(AG75-AN75-AM75+AO75)/(G75+L75-T75+AO75-AC75)</f>
        <v>0.34172960886190834</v>
      </c>
      <c r="BA75" s="378">
        <f>(AG75-AN75)/Q75</f>
        <v>0.2522152582666955</v>
      </c>
      <c r="BB75" s="378">
        <f>(AG75-AN75)/(Q75+R75)</f>
        <v>0.21987753179463024</v>
      </c>
      <c r="BC75" s="395">
        <f>D75</f>
        <v>830.2</v>
      </c>
      <c r="BD75" s="394">
        <f>BC75-(BE75+BF75+BG75)</f>
        <v>0</v>
      </c>
      <c r="BE75" s="393">
        <f>AG75</f>
        <v>258.8</v>
      </c>
      <c r="BF75" s="383">
        <v>347.9</v>
      </c>
      <c r="BG75" s="383">
        <v>223.5</v>
      </c>
      <c r="BH75" s="378">
        <f>BG75/D75</f>
        <v>0.26921223801493616</v>
      </c>
      <c r="BI75" s="392">
        <v>143.1</v>
      </c>
      <c r="BJ75" s="392">
        <f>BG75-BI75</f>
        <v>80.400000000000006</v>
      </c>
      <c r="BK75" s="378">
        <f>BJ75/D75</f>
        <v>9.684413394362805E-2</v>
      </c>
      <c r="BL75" s="378">
        <f>DD75/(D75)</f>
        <v>3.2324741026258728E-2</v>
      </c>
      <c r="BM75" s="378">
        <f>DD75/(CV75+CW75)</f>
        <v>0.24123981949263765</v>
      </c>
      <c r="BN75" s="378">
        <f>CQ75*DF75</f>
        <v>0.23468709553293454</v>
      </c>
      <c r="BO75" s="378">
        <f>BJ75/I75</f>
        <v>0.65901639344262297</v>
      </c>
      <c r="BP75" s="391">
        <v>62.536000000000001</v>
      </c>
      <c r="BQ75" s="390">
        <f>L75</f>
        <v>177.3</v>
      </c>
      <c r="BR75" s="389">
        <f>BQ75-(BS75+BT75+BU75)</f>
        <v>0</v>
      </c>
      <c r="BS75" s="381">
        <f>BQ75-BT75-BU75</f>
        <v>20.392000000000024</v>
      </c>
      <c r="BT75" s="381">
        <v>30.123000000000001</v>
      </c>
      <c r="BU75" s="381">
        <v>126.785</v>
      </c>
      <c r="BV75" s="381">
        <v>15.542999999999999</v>
      </c>
      <c r="BW75" s="378">
        <f>BT75/BQ75</f>
        <v>0.16989847715736039</v>
      </c>
      <c r="BX75" s="384">
        <v>114.348</v>
      </c>
      <c r="BY75" s="383">
        <v>4.1669999999999998</v>
      </c>
      <c r="BZ75" s="383">
        <v>13.646000000000001</v>
      </c>
      <c r="CA75" s="383">
        <v>3.5609999999999999</v>
      </c>
      <c r="CB75" s="383">
        <v>6.6859999999999999</v>
      </c>
      <c r="CC75" s="383">
        <f>CD75+CE75</f>
        <v>9.423</v>
      </c>
      <c r="CD75" s="383">
        <v>4.6550000000000002</v>
      </c>
      <c r="CE75" s="383">
        <v>4.7679999999999998</v>
      </c>
      <c r="CF75" s="383">
        <v>2.6040000000000001</v>
      </c>
      <c r="CG75" s="383">
        <f>BY75+BZ75+CA75+CB75+CD75+CE75+CF75</f>
        <v>40.087000000000003</v>
      </c>
      <c r="CH75" s="383">
        <f>BX75-CG75</f>
        <v>74.260999999999996</v>
      </c>
      <c r="CI75" s="378">
        <f>BY75/$BX75</f>
        <v>3.6441389442753699E-2</v>
      </c>
      <c r="CJ75" s="378">
        <f>BZ75/$BX75</f>
        <v>0.11933746108370939</v>
      </c>
      <c r="CK75" s="378">
        <f>CA75/$BX75</f>
        <v>3.1141777731136529E-2</v>
      </c>
      <c r="CL75" s="378">
        <f>CB75/$BX75</f>
        <v>5.8470633504739918E-2</v>
      </c>
      <c r="CM75" s="386">
        <f>CN75+CO75</f>
        <v>8.2406338545492702E-2</v>
      </c>
      <c r="CN75" s="378">
        <f>CD75/$BX75</f>
        <v>4.070906356035961E-2</v>
      </c>
      <c r="CO75" s="378">
        <f>CE75/$BX75</f>
        <v>4.16972749851331E-2</v>
      </c>
      <c r="CP75" s="378">
        <f>CF75/$BX75</f>
        <v>2.277258893902823E-2</v>
      </c>
      <c r="CQ75" s="378">
        <f>CG75/$BX75</f>
        <v>0.35057018924686051</v>
      </c>
      <c r="CR75" s="378">
        <f>CQ75*N75</f>
        <v>7.4868820228220154E-2</v>
      </c>
      <c r="CS75" s="389">
        <f>BX75</f>
        <v>114.348</v>
      </c>
      <c r="CT75" s="390">
        <f>BX75</f>
        <v>114.348</v>
      </c>
      <c r="CU75" s="389">
        <f>CT75-(CV75+CW75)</f>
        <v>3.1059999999999945</v>
      </c>
      <c r="CV75" s="388">
        <v>62.536000000000001</v>
      </c>
      <c r="CW75" s="384">
        <v>48.706000000000003</v>
      </c>
      <c r="CX75" s="383">
        <v>3.073</v>
      </c>
      <c r="CY75" s="383">
        <v>11.724</v>
      </c>
      <c r="CZ75" s="383">
        <v>2.73</v>
      </c>
      <c r="DA75" s="383">
        <v>4.1379999999999999</v>
      </c>
      <c r="DB75" s="383">
        <v>3.8279999999999998</v>
      </c>
      <c r="DC75" s="383">
        <v>1.343</v>
      </c>
      <c r="DD75" s="384">
        <f>DC75+DB75+DA75+CZ75+CY75+CX75</f>
        <v>26.835999999999999</v>
      </c>
      <c r="DE75" s="384"/>
      <c r="DF75" s="378">
        <f>DD75/CG75</f>
        <v>0.66944395938833023</v>
      </c>
      <c r="DG75" s="383">
        <f>CW75-DD75</f>
        <v>21.870000000000005</v>
      </c>
      <c r="DH75" s="378">
        <f>DD75/CW75</f>
        <v>0.55097934546051819</v>
      </c>
      <c r="DI75" s="378">
        <f>CW75/(CW75+CV75)</f>
        <v>0.4378382265691016</v>
      </c>
      <c r="DJ75" s="385">
        <v>209.392</v>
      </c>
      <c r="DK75" s="387">
        <v>4.7409999999999997</v>
      </c>
      <c r="DL75" s="387">
        <v>13.32</v>
      </c>
      <c r="DM75" s="387">
        <v>4.5350000000000001</v>
      </c>
      <c r="DN75" s="387">
        <v>6.9290000000000003</v>
      </c>
      <c r="DO75" s="387">
        <v>21.838000000000001</v>
      </c>
      <c r="DP75" s="387">
        <v>6.8710000000000004</v>
      </c>
      <c r="DQ75" s="387">
        <v>3.863</v>
      </c>
      <c r="DR75" s="383">
        <f>DQ75+DO75+DN75+DM75+DL75+DK75</f>
        <v>55.226000000000006</v>
      </c>
      <c r="DS75" s="383">
        <f>DJ75-DR75</f>
        <v>154.166</v>
      </c>
      <c r="DT75" s="386">
        <f>DR75/DJ75</f>
        <v>0.26374455566592808</v>
      </c>
      <c r="DU75" s="385">
        <f>DJ75-CW75</f>
        <v>160.68599999999998</v>
      </c>
      <c r="DV75" s="383">
        <v>160.685</v>
      </c>
      <c r="DW75" s="383">
        <f>DK75-CX75</f>
        <v>1.6679999999999997</v>
      </c>
      <c r="DX75" s="383">
        <f>DL75-CY75</f>
        <v>1.5960000000000001</v>
      </c>
      <c r="DY75" s="383">
        <f>DM75-CZ75</f>
        <v>1.8050000000000002</v>
      </c>
      <c r="DZ75" s="383">
        <f>DN75-DA75</f>
        <v>2.7910000000000004</v>
      </c>
      <c r="EA75" s="383">
        <f>DO75-DB75</f>
        <v>18.010000000000002</v>
      </c>
      <c r="EB75" s="383">
        <f>DQ75-DC75</f>
        <v>2.52</v>
      </c>
      <c r="EC75" s="383">
        <f>EB75+EA75+DZ75+DY75+DX75+DW75</f>
        <v>28.39</v>
      </c>
      <c r="ED75" s="383">
        <f>DU75-EC75</f>
        <v>132.29599999999999</v>
      </c>
      <c r="EE75" s="378">
        <f>EC75/DU75</f>
        <v>0.17667998456617257</v>
      </c>
      <c r="EF75" s="384">
        <v>98.929000000000002</v>
      </c>
      <c r="EG75" s="383">
        <v>1.4330000000000001</v>
      </c>
      <c r="EH75" s="383">
        <v>1.262</v>
      </c>
      <c r="EI75" s="383">
        <v>2.278</v>
      </c>
      <c r="EJ75" s="383">
        <v>-3.206</v>
      </c>
      <c r="EK75" s="383">
        <v>15.145</v>
      </c>
      <c r="EL75" s="383">
        <v>0.57399999999999995</v>
      </c>
      <c r="EM75" s="383">
        <f>EL75+EK75+EJ75+EI75+EH75+EG75</f>
        <v>17.486000000000001</v>
      </c>
      <c r="EN75" s="383">
        <f>EF75-EM75</f>
        <v>81.442999999999998</v>
      </c>
      <c r="EO75" s="378">
        <f>EM75/EF75</f>
        <v>0.17675302489664305</v>
      </c>
      <c r="EP75" s="382">
        <v>1215.96</v>
      </c>
      <c r="EQ75" s="381">
        <v>25.157</v>
      </c>
      <c r="ER75" s="381">
        <v>121.315</v>
      </c>
      <c r="ES75" s="381">
        <v>22.148</v>
      </c>
      <c r="ET75" s="381">
        <v>40.531999999999996</v>
      </c>
      <c r="EU75" s="381">
        <v>96.69</v>
      </c>
      <c r="EV75" s="381">
        <v>50.847000000000001</v>
      </c>
      <c r="EW75" s="381">
        <v>20.664999999999999</v>
      </c>
      <c r="EX75" s="381">
        <f>EW75+EU75+ET75+ES75+ER75+EQ75</f>
        <v>326.50700000000001</v>
      </c>
      <c r="EY75" s="381">
        <f>EP75-EX75</f>
        <v>889.45299999999997</v>
      </c>
      <c r="EZ75" s="378">
        <f>EX75/EP75</f>
        <v>0.26851787887759465</v>
      </c>
      <c r="FA75" s="380">
        <f>(BX75+(EP75-EP74)-DJ75)/EP74</f>
        <v>0.12012854962961046</v>
      </c>
      <c r="FB75" s="378">
        <f>(BY75+(EQ75-EQ74)-DK75)/EQ74</f>
        <v>0.12636884306987403</v>
      </c>
      <c r="FC75" s="378">
        <f>(BZ75+(ER75-ER74)-DL75)/ER74</f>
        <v>0.35189713040965576</v>
      </c>
      <c r="FD75" s="378">
        <f>(CA75+(ES75-ES74)-DM75)/ES74</f>
        <v>0.45316038707020795</v>
      </c>
      <c r="FE75" s="378">
        <f>(CB75+(ET75-ET74)-DN75)/ET74</f>
        <v>5.3996075866579327E-2</v>
      </c>
      <c r="FF75" s="378">
        <f>(CC75+(EU75-EU74)-DO75)/EU74</f>
        <v>0.23702790376796284</v>
      </c>
      <c r="FG75" s="378">
        <f>(CD75+(EV75-EV74)-DP75)/EV74</f>
        <v>0.16042283096306195</v>
      </c>
      <c r="FH75" s="378">
        <f>(CF75+(EW75-EW74)-DQ75)/EW74</f>
        <v>0.10575498575498567</v>
      </c>
      <c r="FI75" s="378">
        <f>(CG75+(EX75-EX74)-DR75)/EX74</f>
        <v>0.24409851523917619</v>
      </c>
      <c r="FJ75" s="378">
        <f>(CH75+(EY75-EY74)-DS75)/EY74</f>
        <v>7.8783146128803938E-2</v>
      </c>
      <c r="FK75" s="378">
        <f>(CH75+AO75+(EY75-EY74)-DS75)/EY74</f>
        <v>0.13195287482993009</v>
      </c>
      <c r="FL75" s="379">
        <f>BX75/EP74</f>
        <v>0.11426766982811085</v>
      </c>
      <c r="FM75" s="378">
        <f>BY75/EQ74</f>
        <v>0.1909278350515464</v>
      </c>
      <c r="FN75" s="378">
        <f>BZ75/ER74</f>
        <v>0.1516592944942097</v>
      </c>
      <c r="FO75" s="378">
        <f>CA75/ES74</f>
        <v>0.24438954086884909</v>
      </c>
      <c r="FP75" s="378">
        <f>CB75/ET74</f>
        <v>0.17491170699803793</v>
      </c>
      <c r="FQ75" s="378">
        <f>CC75/EU74</f>
        <v>0.13831520542516185</v>
      </c>
      <c r="FR75" s="378">
        <f>CD75/EV74</f>
        <v>0.1110766440775031</v>
      </c>
      <c r="FS75" s="378">
        <f>CF75/EW74</f>
        <v>0.14837606837606837</v>
      </c>
      <c r="FT75" s="378">
        <f>CG75/EX74</f>
        <v>0.16017117102718603</v>
      </c>
      <c r="FU75" s="378">
        <f>CH75/EY74</f>
        <v>9.8958326392840329E-2</v>
      </c>
    </row>
    <row r="76" spans="2:177">
      <c r="B76" s="288">
        <v>2000</v>
      </c>
      <c r="C76" s="344">
        <v>8907</v>
      </c>
      <c r="D76" s="352">
        <v>781.2</v>
      </c>
      <c r="E76" s="361">
        <f>D76/C76</f>
        <v>8.7706298416975415E-2</v>
      </c>
      <c r="F76" s="333">
        <f>D76-(G76+I76)</f>
        <v>0</v>
      </c>
      <c r="G76" s="278">
        <f>D76-I76</f>
        <v>635</v>
      </c>
      <c r="H76" s="302">
        <f>G76/C76</f>
        <v>7.1292242056809257E-2</v>
      </c>
      <c r="I76" s="333">
        <v>146.19999999999999</v>
      </c>
      <c r="J76" s="343">
        <f>I76/C76</f>
        <v>1.6414056360166161E-2</v>
      </c>
      <c r="K76" s="361">
        <f>I76/D76</f>
        <v>0.18714797747055809</v>
      </c>
      <c r="L76" s="371">
        <v>203.10000000000002</v>
      </c>
      <c r="M76" s="343">
        <f>L76/C76</f>
        <v>2.2802290333445607E-2</v>
      </c>
      <c r="N76" s="370">
        <f>L76/D76</f>
        <v>0.25998463901689711</v>
      </c>
      <c r="O76" s="352">
        <f>D76</f>
        <v>781.2</v>
      </c>
      <c r="P76" s="366">
        <f>O76-(Q76+R76+T76+U76+X76-V76)</f>
        <v>0</v>
      </c>
      <c r="Q76" s="278">
        <v>914.2</v>
      </c>
      <c r="R76" s="376">
        <v>146.80000000000001</v>
      </c>
      <c r="S76" s="374">
        <f>R76/D76</f>
        <v>0.18791602662570406</v>
      </c>
      <c r="T76" s="292">
        <v>31.4</v>
      </c>
      <c r="U76" s="292">
        <v>34.099999999999994</v>
      </c>
      <c r="V76" s="372">
        <v>286.3</v>
      </c>
      <c r="W76" s="374">
        <f>V76/D76</f>
        <v>0.36648745519713261</v>
      </c>
      <c r="X76" s="366">
        <f>O76-(Q76+R76+T76+U76-V76)</f>
        <v>-59</v>
      </c>
      <c r="Y76" s="367">
        <v>140.44535400000001</v>
      </c>
      <c r="Z76" s="366">
        <f>Z77*Y76/Y77</f>
        <v>-10.724884401538528</v>
      </c>
      <c r="AA76" s="366">
        <v>-9.6084849999999999</v>
      </c>
      <c r="AB76" s="366">
        <f>Z76-AA76</f>
        <v>-1.1163994015385281</v>
      </c>
      <c r="AC76" s="366">
        <f>Y76+Z76</f>
        <v>129.72046959846148</v>
      </c>
      <c r="AD76" s="302">
        <f>AC76/D76</f>
        <v>0.16605282846705258</v>
      </c>
      <c r="AE76" s="278">
        <v>179.07300000000001</v>
      </c>
      <c r="AF76" s="278">
        <v>128.3492177152535</v>
      </c>
      <c r="AG76" s="326">
        <v>265.10000000000002</v>
      </c>
      <c r="AH76" s="295">
        <f>AG76/C76</f>
        <v>2.9763107668126194E-2</v>
      </c>
      <c r="AI76" s="295">
        <f>(AG76-AN76)/C76</f>
        <v>2.692264511058718E-2</v>
      </c>
      <c r="AJ76" s="357">
        <f>AG76-(AK76+AL76+AM76+AN76)</f>
        <v>0</v>
      </c>
      <c r="AK76" s="288">
        <v>194.20000000000002</v>
      </c>
      <c r="AL76" s="288">
        <v>35.200000000000003</v>
      </c>
      <c r="AM76" s="290">
        <v>10.4</v>
      </c>
      <c r="AN76" s="288">
        <v>25.3</v>
      </c>
      <c r="AO76" s="372">
        <v>49.9</v>
      </c>
      <c r="AP76" s="333">
        <v>193.2355</v>
      </c>
      <c r="AQ76" s="333">
        <v>52.513722000000001</v>
      </c>
      <c r="AR76" s="333"/>
      <c r="AS76" s="333"/>
      <c r="AT76" s="361">
        <f>(O76-AG76)/C76</f>
        <v>5.7943190748849224E-2</v>
      </c>
      <c r="AU76" s="360">
        <v>0.35</v>
      </c>
      <c r="AV76" s="359">
        <f>(AK76+AL76)/(G76+L76-T76)</f>
        <v>0.28436841452832529</v>
      </c>
      <c r="AW76" s="353">
        <f>(AK76+AL76)/(G76+L76-T76-AE76)</f>
        <v>0.36550371478601146</v>
      </c>
      <c r="AX76" s="302">
        <f>(AG76-AN76-AM76)/(G76+L76-T76+V76)</f>
        <v>0.20988106129917658</v>
      </c>
      <c r="AY76" s="297">
        <f>(AG76-AN76-AM76+AO76)/(G76+L76-T76+AO76)</f>
        <v>0.32605650245155265</v>
      </c>
      <c r="AZ76" s="353">
        <f>(AG76-AN76-AM76+AO76)/(G76+L76-T76+AO76-AC76)</f>
        <v>0.38424524053622855</v>
      </c>
      <c r="BA76" s="302">
        <f>(AG76-AN76)/Q76</f>
        <v>0.26230584117260991</v>
      </c>
      <c r="BB76" s="302">
        <f>(AG76-AN76)/(Q76+R76)</f>
        <v>0.22601319509896325</v>
      </c>
      <c r="BC76" s="358">
        <f>D76</f>
        <v>781.2</v>
      </c>
      <c r="BD76" s="357">
        <f>BC76-(BE76+BF76+BG76)</f>
        <v>0</v>
      </c>
      <c r="BE76" s="356">
        <f>AG76</f>
        <v>265.10000000000002</v>
      </c>
      <c r="BF76" s="314">
        <v>384.7</v>
      </c>
      <c r="BG76" s="314">
        <v>131.4</v>
      </c>
      <c r="BH76" s="302">
        <f>BG76/D76</f>
        <v>0.16820276497695852</v>
      </c>
      <c r="BI76" s="288">
        <v>14.5</v>
      </c>
      <c r="BJ76" s="288">
        <f>BG76-BI76</f>
        <v>116.9</v>
      </c>
      <c r="BK76" s="302">
        <f>BJ76/D76</f>
        <v>0.1496415770609319</v>
      </c>
      <c r="BL76" s="302">
        <f>DD76/(D76)</f>
        <v>3.5051203277009724E-2</v>
      </c>
      <c r="BM76" s="302">
        <f>DD76/(CV76+CW76)</f>
        <v>0.21082375405178586</v>
      </c>
      <c r="BN76" s="302">
        <f>CQ76*DF76</f>
        <v>0.20481405020494867</v>
      </c>
      <c r="BO76" s="302">
        <f>BJ76/I76</f>
        <v>0.79958960328317386</v>
      </c>
      <c r="BP76" s="294">
        <v>52.863</v>
      </c>
      <c r="BQ76" s="355">
        <f>L76</f>
        <v>203.10000000000002</v>
      </c>
      <c r="BR76" s="333">
        <f>BQ76-(BS76+BT76+BU76)</f>
        <v>0</v>
      </c>
      <c r="BS76" s="278">
        <f>BQ76-BT76-BU76</f>
        <v>23.159999999999997</v>
      </c>
      <c r="BT76" s="278">
        <v>33.472999999999999</v>
      </c>
      <c r="BU76" s="278">
        <v>146.46700000000001</v>
      </c>
      <c r="BV76" s="278">
        <v>16.585999999999999</v>
      </c>
      <c r="BW76" s="302">
        <f>BT76/BQ76</f>
        <v>0.16481043820777941</v>
      </c>
      <c r="BX76" s="315">
        <v>133.69200000000001</v>
      </c>
      <c r="BY76" s="314">
        <v>5.7729999999999997</v>
      </c>
      <c r="BZ76" s="314">
        <v>13.401999999999999</v>
      </c>
      <c r="CA76" s="314">
        <v>2.891</v>
      </c>
      <c r="CB76" s="314">
        <v>5.0270000000000001</v>
      </c>
      <c r="CC76" s="314">
        <f>CD76+CE76</f>
        <v>10.807</v>
      </c>
      <c r="CD76" s="314">
        <v>6.4459999999999997</v>
      </c>
      <c r="CE76" s="314">
        <v>4.3610000000000007</v>
      </c>
      <c r="CF76" s="314">
        <v>4.0449999999999999</v>
      </c>
      <c r="CG76" s="314">
        <f>BY76+BZ76+CA76+CB76+CD76+CE76+CF76</f>
        <v>41.944999999999993</v>
      </c>
      <c r="CH76" s="314">
        <f>BX76-CG76</f>
        <v>91.747000000000014</v>
      </c>
      <c r="CI76" s="302">
        <f>BY76/$BX76</f>
        <v>4.3181342189510211E-2</v>
      </c>
      <c r="CJ76" s="302">
        <f>BZ76/$BX76</f>
        <v>0.10024534003530503</v>
      </c>
      <c r="CK76" s="302">
        <f>CA76/$BX76</f>
        <v>2.1624330550818298E-2</v>
      </c>
      <c r="CL76" s="302">
        <f>CB76/$BX76</f>
        <v>3.7601352362145825E-2</v>
      </c>
      <c r="CM76" s="300">
        <f>CN76+CO76</f>
        <v>8.0835053705532123E-2</v>
      </c>
      <c r="CN76" s="302">
        <f>CD76/$BX76</f>
        <v>4.8215300840738412E-2</v>
      </c>
      <c r="CO76" s="302">
        <f>CE76/$BX76</f>
        <v>3.2619752864793711E-2</v>
      </c>
      <c r="CP76" s="302">
        <f>CF76/$BX76</f>
        <v>3.0256111061245247E-2</v>
      </c>
      <c r="CQ76" s="302">
        <f>CG76/$BX76</f>
        <v>0.31374352990455667</v>
      </c>
      <c r="CR76" s="302">
        <f>CQ76*N76</f>
        <v>8.1568498366123232E-2</v>
      </c>
      <c r="CS76" s="342">
        <f>BX76</f>
        <v>133.69200000000001</v>
      </c>
      <c r="CT76" s="355">
        <f>BX76</f>
        <v>133.69200000000001</v>
      </c>
      <c r="CU76" s="333">
        <f>CT76-(CV76+CW76)</f>
        <v>3.811000000000007</v>
      </c>
      <c r="CV76" s="347">
        <v>52.863</v>
      </c>
      <c r="CW76" s="315">
        <v>77.018000000000001</v>
      </c>
      <c r="CX76" s="314">
        <v>4.3449999999999998</v>
      </c>
      <c r="CY76" s="314">
        <v>10.077999999999999</v>
      </c>
      <c r="CZ76" s="314">
        <v>2.5350000000000001</v>
      </c>
      <c r="DA76" s="314">
        <v>2.9489999999999998</v>
      </c>
      <c r="DB76" s="314">
        <v>4.2679999999999998</v>
      </c>
      <c r="DC76" s="314">
        <v>3.2069999999999999</v>
      </c>
      <c r="DD76" s="315">
        <f>DC76+DB76+DA76+CZ76+CY76+CX76</f>
        <v>27.381999999999998</v>
      </c>
      <c r="DE76" s="315"/>
      <c r="DF76" s="302">
        <f>DD76/CG76</f>
        <v>0.65280724758612474</v>
      </c>
      <c r="DG76" s="314">
        <f>CW76-DD76</f>
        <v>49.636000000000003</v>
      </c>
      <c r="DH76" s="302">
        <f>DD76/CW76</f>
        <v>0.35552727933729772</v>
      </c>
      <c r="DI76" s="302">
        <f>CW76/(CW76+CV76)</f>
        <v>0.5929889668234769</v>
      </c>
      <c r="DJ76" s="325">
        <v>142.62700000000001</v>
      </c>
      <c r="DK76" s="322">
        <v>9.8230000000000004</v>
      </c>
      <c r="DL76" s="322">
        <v>0.96099999999999997</v>
      </c>
      <c r="DM76" s="322">
        <v>2.4740000000000002</v>
      </c>
      <c r="DN76" s="322">
        <v>8.6869999999999994</v>
      </c>
      <c r="DO76" s="322">
        <v>8.9589999999999996</v>
      </c>
      <c r="DP76" s="322">
        <v>9.3629999999999995</v>
      </c>
      <c r="DQ76" s="322">
        <v>3.6880000000000002</v>
      </c>
      <c r="DR76" s="314">
        <f>DQ76+DO76+DN76+DM76+DL76+DK76</f>
        <v>34.591999999999999</v>
      </c>
      <c r="DS76" s="314">
        <f>DJ76-DR76</f>
        <v>108.03500000000001</v>
      </c>
      <c r="DT76" s="300">
        <f>DR76/DJ76</f>
        <v>0.24253472343946095</v>
      </c>
      <c r="DU76" s="325">
        <f>DJ76-CW76</f>
        <v>65.609000000000009</v>
      </c>
      <c r="DV76" s="314">
        <v>65.61</v>
      </c>
      <c r="DW76" s="314">
        <f>DK76-CX76</f>
        <v>5.4780000000000006</v>
      </c>
      <c r="DX76" s="314">
        <f>DL76-CY76</f>
        <v>-9.1169999999999991</v>
      </c>
      <c r="DY76" s="314">
        <f>DM76-CZ76</f>
        <v>-6.0999999999999943E-2</v>
      </c>
      <c r="DZ76" s="314">
        <f>DN76-DA76</f>
        <v>5.7379999999999995</v>
      </c>
      <c r="EA76" s="314">
        <f>DO76-DB76</f>
        <v>4.6909999999999998</v>
      </c>
      <c r="EB76" s="314">
        <f>DQ76-DC76</f>
        <v>0.48100000000000032</v>
      </c>
      <c r="EC76" s="314">
        <f>EB76+EA76+DZ76+DY76+DX76+DW76</f>
        <v>7.2100000000000017</v>
      </c>
      <c r="ED76" s="314">
        <f>DU76-EC76</f>
        <v>58.399000000000008</v>
      </c>
      <c r="EE76" s="302">
        <f>EC76/DU76</f>
        <v>0.10989345973875536</v>
      </c>
      <c r="EF76" s="315">
        <v>78.040999999999997</v>
      </c>
      <c r="EG76" s="314">
        <v>0.82499999999999996</v>
      </c>
      <c r="EH76" s="314">
        <v>1.329</v>
      </c>
      <c r="EI76" s="323">
        <f>(EI75+EI77)/2</f>
        <v>1.5489999999999999</v>
      </c>
      <c r="EJ76" s="314">
        <v>5.2789999999999999</v>
      </c>
      <c r="EK76" s="314">
        <v>6.899</v>
      </c>
      <c r="EL76" s="314">
        <v>-0.39800000000000002</v>
      </c>
      <c r="EM76" s="314">
        <f>EL76+EK76+EJ76+EI76+EH76+EG76</f>
        <v>15.483000000000001</v>
      </c>
      <c r="EN76" s="314">
        <f>EF76-EM76</f>
        <v>62.557999999999993</v>
      </c>
      <c r="EO76" s="302">
        <f>EM76/EF76</f>
        <v>0.19839571507284634</v>
      </c>
      <c r="EP76" s="352">
        <v>1316.2470000000001</v>
      </c>
      <c r="EQ76" s="278">
        <v>35.902999999999999</v>
      </c>
      <c r="ER76" s="278">
        <v>115.429</v>
      </c>
      <c r="ES76" s="278">
        <v>27.849</v>
      </c>
      <c r="ET76" s="278">
        <v>55.377000000000002</v>
      </c>
      <c r="EU76" s="278">
        <v>108.515</v>
      </c>
      <c r="EV76" s="278">
        <v>60.113999999999997</v>
      </c>
      <c r="EW76" s="278">
        <v>24.132999999999999</v>
      </c>
      <c r="EX76" s="278">
        <f>EW76+EU76+ET76+ES76+ER76+EQ76</f>
        <v>367.20600000000002</v>
      </c>
      <c r="EY76" s="278">
        <f>EP76-EX76</f>
        <v>949.04100000000005</v>
      </c>
      <c r="EZ76" s="302">
        <f>EX76/EP76</f>
        <v>0.27897955322975093</v>
      </c>
      <c r="FA76" s="308">
        <f>(BX76+(EP76-EP75)-DJ76)/EP75</f>
        <v>7.5127471298398002E-2</v>
      </c>
      <c r="FB76" s="302">
        <f>(BY76+(EQ76-EQ75)-DK76)/EQ75</f>
        <v>0.26616846205827394</v>
      </c>
      <c r="FC76" s="302">
        <f>(BZ76+(ER76-ER75)-DL76)/ER75</f>
        <v>5.4032889584964792E-2</v>
      </c>
      <c r="FD76" s="302">
        <f>(CA76+(ES76-ES75)-DM76)/ES75</f>
        <v>0.27623261694058154</v>
      </c>
      <c r="FE76" s="302">
        <f>(CB76+(ET76-ET75)-DN76)/ET75</f>
        <v>0.27595480114477472</v>
      </c>
      <c r="FF76" s="302">
        <f>(CC76+(EU76-EU75)-DO76)/EU75</f>
        <v>0.141410693970421</v>
      </c>
      <c r="FG76" s="302">
        <f>(CD76+(EV76-EV75)-DP76)/EV75</f>
        <v>0.12488445729344889</v>
      </c>
      <c r="FH76" s="302">
        <f>(CF76+(EW76-EW75)-DQ76)/EW75</f>
        <v>0.1850955722235664</v>
      </c>
      <c r="FI76" s="302">
        <f>(CG76+(EX76-EX75)-DR76)/EX75</f>
        <v>0.14716989222283139</v>
      </c>
      <c r="FJ76" s="302">
        <f>(CH76+(EY76-EY75)-DS76)/EY75</f>
        <v>4.8681605436150174E-2</v>
      </c>
      <c r="FK76" s="302">
        <f>(CH76+AO76+(EY76-EY75)-DS76)/EY75</f>
        <v>0.10478350177018919</v>
      </c>
      <c r="FL76" s="296">
        <f>BX76/EP75</f>
        <v>0.10994769564788316</v>
      </c>
      <c r="FM76" s="302">
        <f>BY76/EQ75</f>
        <v>0.22947887267957226</v>
      </c>
      <c r="FN76" s="302">
        <f>BZ76/ER75</f>
        <v>0.11047273626509499</v>
      </c>
      <c r="FO76" s="302">
        <f>CA76/ES75</f>
        <v>0.13053097345132744</v>
      </c>
      <c r="FP76" s="302">
        <f>CB76/ET75</f>
        <v>0.12402546136386067</v>
      </c>
      <c r="FQ76" s="302">
        <f>CC76/EU75</f>
        <v>0.11176957286172304</v>
      </c>
      <c r="FR76" s="302">
        <f>CD76/EV75</f>
        <v>0.1267724742856019</v>
      </c>
      <c r="FS76" s="302">
        <f>CF76/EW75</f>
        <v>0.19574159206387612</v>
      </c>
      <c r="FT76" s="302">
        <f>CG76/EX75</f>
        <v>0.12846585218693624</v>
      </c>
      <c r="FU76" s="302">
        <f>CH76/EY75</f>
        <v>0.10314991348615386</v>
      </c>
    </row>
    <row r="77" spans="2:177">
      <c r="B77" s="288">
        <v>2001</v>
      </c>
      <c r="C77" s="344">
        <v>9184.6</v>
      </c>
      <c r="D77" s="352">
        <v>754</v>
      </c>
      <c r="E77" s="361">
        <f>D77/C77</f>
        <v>8.2093939855845649E-2</v>
      </c>
      <c r="F77" s="333">
        <f>D77-(G77+I77)</f>
        <v>0</v>
      </c>
      <c r="G77" s="278">
        <f>D77-I77</f>
        <v>583.6</v>
      </c>
      <c r="H77" s="302">
        <f>G77/C77</f>
        <v>6.3541144960041804E-2</v>
      </c>
      <c r="I77" s="333">
        <v>170.4</v>
      </c>
      <c r="J77" s="343">
        <f>I77/C77</f>
        <v>1.8552794895803845E-2</v>
      </c>
      <c r="K77" s="361">
        <f>I77/D77</f>
        <v>0.22599469496021221</v>
      </c>
      <c r="L77" s="371">
        <v>183.3</v>
      </c>
      <c r="M77" s="343">
        <f>L77/C77</f>
        <v>1.9957319861507308E-2</v>
      </c>
      <c r="N77" s="370">
        <f>L77/D77</f>
        <v>0.24310344827586208</v>
      </c>
      <c r="O77" s="352">
        <f>D77</f>
        <v>754</v>
      </c>
      <c r="P77" s="366">
        <f>O77-(Q77+R77+T77+U77+X77-V77)</f>
        <v>0</v>
      </c>
      <c r="Q77" s="278">
        <v>590</v>
      </c>
      <c r="R77" s="376">
        <v>168.2</v>
      </c>
      <c r="S77" s="374">
        <f>R77/D77</f>
        <v>0.22307692307692306</v>
      </c>
      <c r="T77" s="292">
        <v>29.2</v>
      </c>
      <c r="U77" s="292">
        <v>63.4</v>
      </c>
      <c r="V77" s="372">
        <v>156.6</v>
      </c>
      <c r="W77" s="374">
        <f>V77/D77</f>
        <v>0.20769230769230768</v>
      </c>
      <c r="X77" s="366">
        <f>O77-(Q77+R77+T77+U77-V77)</f>
        <v>59.799999999999955</v>
      </c>
      <c r="Y77" s="367">
        <v>143.92514600000001</v>
      </c>
      <c r="Z77" s="366">
        <f>Z78*Y77/Y78</f>
        <v>-10.990613141425493</v>
      </c>
      <c r="AA77" s="366"/>
      <c r="AB77" s="366"/>
      <c r="AC77" s="366">
        <f>Y77+Z77</f>
        <v>132.93453285857453</v>
      </c>
      <c r="AD77" s="302">
        <f>AC77/D77</f>
        <v>0.17630574649678318</v>
      </c>
      <c r="AE77" s="278">
        <v>180.27500000000001</v>
      </c>
      <c r="AF77" s="278">
        <v>129.06788698837997</v>
      </c>
      <c r="AG77" s="326">
        <v>203.3</v>
      </c>
      <c r="AH77" s="295">
        <f>AG77/C77</f>
        <v>2.2134877947869259E-2</v>
      </c>
      <c r="AI77" s="295">
        <f>(AG77-AN77)/C77</f>
        <v>1.9184286740848815E-2</v>
      </c>
      <c r="AJ77" s="357">
        <f>AG77-(AK77+AL77+AM77+AN77)</f>
        <v>-0.19999999999998863</v>
      </c>
      <c r="AK77" s="288">
        <v>137.69999999999999</v>
      </c>
      <c r="AL77" s="288">
        <v>28.9</v>
      </c>
      <c r="AM77" s="290">
        <v>9.8000000000000007</v>
      </c>
      <c r="AN77" s="288">
        <v>27.1</v>
      </c>
      <c r="AO77" s="372">
        <v>42.3</v>
      </c>
      <c r="AP77" s="333">
        <v>150.31725</v>
      </c>
      <c r="AQ77" s="333"/>
      <c r="AR77" s="333"/>
      <c r="AS77" s="333"/>
      <c r="AT77" s="361">
        <f>(O77-AG77)/C77</f>
        <v>5.9959061907976396E-2</v>
      </c>
      <c r="AU77" s="360">
        <v>0.35</v>
      </c>
      <c r="AV77" s="359">
        <f>(AK77+AL77)/(G77+L77-T77)</f>
        <v>0.22583706113596311</v>
      </c>
      <c r="AW77" s="353">
        <f>(AK77+AL77)/(G77+L77-T77-AE77)</f>
        <v>0.29887428802080995</v>
      </c>
      <c r="AX77" s="302">
        <f>(AG77-AN77-AM77)/(G77+L77-T77+V77)</f>
        <v>0.18606731521860673</v>
      </c>
      <c r="AY77" s="297">
        <f>(AG77-AN77-AM77+AO77)/(G77+L77-T77+AO77)</f>
        <v>0.26756410256410257</v>
      </c>
      <c r="AZ77" s="353">
        <f>(AG77-AN77-AM77+AO77)/(G77+L77-T77+AO77-AC77)</f>
        <v>0.3225330520603808</v>
      </c>
      <c r="BA77" s="302">
        <f>(AG77-AN77)/Q77</f>
        <v>0.29864406779661018</v>
      </c>
      <c r="BB77" s="302">
        <f>(AG77-AN77)/(Q77+R77)</f>
        <v>0.23239250857293592</v>
      </c>
      <c r="BC77" s="358">
        <f>D77</f>
        <v>754</v>
      </c>
      <c r="BD77" s="357">
        <f>BC77-(BE77+BF77+BG77)</f>
        <v>-0.10000000000013642</v>
      </c>
      <c r="BE77" s="356">
        <f>AG77</f>
        <v>203.3</v>
      </c>
      <c r="BF77" s="314">
        <v>370.6</v>
      </c>
      <c r="BG77" s="314">
        <v>180.2</v>
      </c>
      <c r="BH77" s="302">
        <f>BG77/D77</f>
        <v>0.2389920424403183</v>
      </c>
      <c r="BI77" s="288">
        <v>50.4</v>
      </c>
      <c r="BJ77" s="288">
        <f>BG77-BI77</f>
        <v>129.79999999999998</v>
      </c>
      <c r="BK77" s="302">
        <f>BJ77/D77</f>
        <v>0.17214854111405833</v>
      </c>
      <c r="BL77" s="302">
        <f>DD77/(D77)</f>
        <v>3.1058355437665781E-2</v>
      </c>
      <c r="BM77" s="302">
        <f>DD77/(CV77+CW77)</f>
        <v>0.22188533366179969</v>
      </c>
      <c r="BN77" s="302">
        <f>CQ77*DF77</f>
        <v>0.21283479809868305</v>
      </c>
      <c r="BO77" s="302">
        <f>BJ77/I77</f>
        <v>0.76173708920187777</v>
      </c>
      <c r="BP77" s="294">
        <v>53.234000000000002</v>
      </c>
      <c r="BQ77" s="355">
        <f>L77</f>
        <v>183.3</v>
      </c>
      <c r="BR77" s="333">
        <f>BQ77-(BS77+BT77+BU77)</f>
        <v>0</v>
      </c>
      <c r="BS77" s="278">
        <f>BQ77-BT77-BU77</f>
        <v>26.119000000000028</v>
      </c>
      <c r="BT77" s="278">
        <v>34.164000000000001</v>
      </c>
      <c r="BU77" s="278">
        <v>123.017</v>
      </c>
      <c r="BV77" s="278">
        <v>17.475999999999999</v>
      </c>
      <c r="BW77" s="302">
        <f>BT77/BQ77</f>
        <v>0.18638297872340426</v>
      </c>
      <c r="BX77" s="315">
        <v>110.029</v>
      </c>
      <c r="BY77" s="314">
        <v>5.1609999999999996</v>
      </c>
      <c r="BZ77" s="314">
        <v>10.922000000000001</v>
      </c>
      <c r="CA77" s="314">
        <v>5.0789999999999997</v>
      </c>
      <c r="CB77" s="314">
        <v>6.6360000000000001</v>
      </c>
      <c r="CC77" s="314">
        <f>CD77+CE77</f>
        <v>11.741</v>
      </c>
      <c r="CD77" s="314">
        <v>5.25</v>
      </c>
      <c r="CE77" s="314">
        <v>6.4909999999999997</v>
      </c>
      <c r="CF77" s="314">
        <v>3.3340000000000001</v>
      </c>
      <c r="CG77" s="314">
        <f>BY77+BZ77+CA77+CB77+CD77+CE77+CF77</f>
        <v>42.873000000000005</v>
      </c>
      <c r="CH77" s="314">
        <f>BX77-CG77</f>
        <v>67.155999999999992</v>
      </c>
      <c r="CI77" s="302">
        <f>BY77/$BX77</f>
        <v>4.6905815739486857E-2</v>
      </c>
      <c r="CJ77" s="302">
        <f>BZ77/$BX77</f>
        <v>9.9264739296003796E-2</v>
      </c>
      <c r="CK77" s="302">
        <f>CA77/$BX77</f>
        <v>4.6160557671159418E-2</v>
      </c>
      <c r="CL77" s="302">
        <f>CB77/$BX77</f>
        <v>6.0311372456352416E-2</v>
      </c>
      <c r="CM77" s="300">
        <f>CN77+CO77</f>
        <v>0.1067082314662498</v>
      </c>
      <c r="CN77" s="302">
        <f>CD77/$BX77</f>
        <v>4.7714693399012992E-2</v>
      </c>
      <c r="CO77" s="302">
        <f>CE77/$BX77</f>
        <v>5.8993538067236818E-2</v>
      </c>
      <c r="CP77" s="302">
        <f>CF77/$BX77</f>
        <v>3.0301102436630343E-2</v>
      </c>
      <c r="CQ77" s="302">
        <f>CG77/$BX77</f>
        <v>0.3896518190658827</v>
      </c>
      <c r="CR77" s="302">
        <f>CQ77*N77</f>
        <v>9.4725700841878382E-2</v>
      </c>
      <c r="CS77" s="342">
        <f>BX77</f>
        <v>110.029</v>
      </c>
      <c r="CT77" s="355">
        <f>BX77</f>
        <v>110.029</v>
      </c>
      <c r="CU77" s="333">
        <f>CT77-(CV77+CW77)</f>
        <v>4.4879999999999995</v>
      </c>
      <c r="CV77" s="347">
        <v>53.234000000000002</v>
      </c>
      <c r="CW77" s="315">
        <v>52.307000000000002</v>
      </c>
      <c r="CX77" s="314">
        <v>3.8559999999999999</v>
      </c>
      <c r="CY77" s="314">
        <v>7.52</v>
      </c>
      <c r="CZ77" s="314">
        <v>3.0939999999999999</v>
      </c>
      <c r="DA77" s="314">
        <v>2.7050000000000001</v>
      </c>
      <c r="DB77" s="314">
        <v>3.8940000000000001</v>
      </c>
      <c r="DC77" s="314">
        <v>2.3490000000000002</v>
      </c>
      <c r="DD77" s="315">
        <f>DC77+DB77+DA77+CZ77+CY77+CX77</f>
        <v>23.417999999999999</v>
      </c>
      <c r="DE77" s="315"/>
      <c r="DF77" s="302">
        <f>DD77/CG77</f>
        <v>0.54621789937723031</v>
      </c>
      <c r="DG77" s="314">
        <f>CW77-DD77</f>
        <v>28.889000000000003</v>
      </c>
      <c r="DH77" s="302">
        <f>DD77/CW77</f>
        <v>0.44770298430420402</v>
      </c>
      <c r="DI77" s="302">
        <f>CW77/(CW77+CV77)</f>
        <v>0.4956083417818668</v>
      </c>
      <c r="DJ77" s="325">
        <v>124.873</v>
      </c>
      <c r="DK77" s="322">
        <v>2.4369999999999998</v>
      </c>
      <c r="DL77" s="322">
        <v>12.025</v>
      </c>
      <c r="DM77" s="322">
        <v>20.402000000000001</v>
      </c>
      <c r="DN77" s="322">
        <v>4.17</v>
      </c>
      <c r="DO77" s="322">
        <v>8.4510000000000005</v>
      </c>
      <c r="DP77" s="322">
        <v>7.0069999999999997</v>
      </c>
      <c r="DQ77" s="322">
        <v>5.593</v>
      </c>
      <c r="DR77" s="314">
        <f>DQ77+DO77+DN77+DM77+DL77+DK77</f>
        <v>53.077999999999996</v>
      </c>
      <c r="DS77" s="314">
        <f>DJ77-DR77</f>
        <v>71.795000000000016</v>
      </c>
      <c r="DT77" s="300">
        <f>DR77/DJ77</f>
        <v>0.42505585675045843</v>
      </c>
      <c r="DU77" s="325">
        <f>DJ77-CW77</f>
        <v>72.566000000000003</v>
      </c>
      <c r="DV77" s="314">
        <v>72.566000000000003</v>
      </c>
      <c r="DW77" s="314">
        <f>DK77-CX77</f>
        <v>-1.419</v>
      </c>
      <c r="DX77" s="314">
        <f>DL77-CY77</f>
        <v>4.5050000000000008</v>
      </c>
      <c r="DY77" s="314">
        <f>DM77-CZ77</f>
        <v>17.308</v>
      </c>
      <c r="DZ77" s="314">
        <f>DN77-DA77</f>
        <v>1.4649999999999999</v>
      </c>
      <c r="EA77" s="314">
        <f>DO77-DB77</f>
        <v>4.5570000000000004</v>
      </c>
      <c r="EB77" s="314">
        <f>DQ77-DC77</f>
        <v>3.2439999999999998</v>
      </c>
      <c r="EC77" s="314">
        <f>EB77+EA77+DZ77+DY77+DX77+DW77</f>
        <v>29.66</v>
      </c>
      <c r="ED77" s="314">
        <f>DU77-EC77</f>
        <v>42.906000000000006</v>
      </c>
      <c r="EE77" s="302">
        <f>EC77/DU77</f>
        <v>0.40873136179477992</v>
      </c>
      <c r="EF77" s="315">
        <v>60.942</v>
      </c>
      <c r="EG77" s="314">
        <v>1.998</v>
      </c>
      <c r="EH77" s="314">
        <v>2</v>
      </c>
      <c r="EI77" s="314">
        <v>0.82</v>
      </c>
      <c r="EJ77" s="314">
        <v>1.4339999999999999</v>
      </c>
      <c r="EK77" s="323">
        <f>(EK76+EK78)/2</f>
        <v>5.8330000000000002</v>
      </c>
      <c r="EL77" s="314">
        <v>2.782</v>
      </c>
      <c r="EM77" s="314">
        <f>EL77+EK77+EJ77+EI77+EH77+EG77</f>
        <v>14.866999999999999</v>
      </c>
      <c r="EN77" s="314">
        <f>EF77-EM77</f>
        <v>46.075000000000003</v>
      </c>
      <c r="EO77" s="302">
        <f>EM77/EF77</f>
        <v>0.24395326704079287</v>
      </c>
      <c r="EP77" s="352">
        <v>1460.3520000000001</v>
      </c>
      <c r="EQ77" s="278">
        <v>39.540999999999997</v>
      </c>
      <c r="ER77" s="278">
        <v>147.68700000000001</v>
      </c>
      <c r="ES77" s="278">
        <v>50.771000000000001</v>
      </c>
      <c r="ET77" s="278">
        <v>63.768000000000001</v>
      </c>
      <c r="EU77" s="278">
        <v>142.08600000000001</v>
      </c>
      <c r="EV77" s="278">
        <v>84.968999999999994</v>
      </c>
      <c r="EW77" s="278">
        <v>40.764000000000003</v>
      </c>
      <c r="EX77" s="278">
        <f>EW77+EU77+ET77+ES77+ER77+EQ77</f>
        <v>484.61700000000002</v>
      </c>
      <c r="EY77" s="278">
        <f>EP77-EX77</f>
        <v>975.73500000000013</v>
      </c>
      <c r="EZ77" s="302">
        <f>EX77/EP77</f>
        <v>0.33184944451748621</v>
      </c>
      <c r="FA77" s="308">
        <f>(BX77+(EP77-EP76)-DJ77)/EP76</f>
        <v>9.8204212431253421E-2</v>
      </c>
      <c r="FB77" s="302">
        <f>(BY77+(EQ77-EQ76)-DK77)/EQ76</f>
        <v>0.17719967690722219</v>
      </c>
      <c r="FC77" s="302">
        <f>(BZ77+(ER77-ER76)-DL77)/ER76</f>
        <v>0.26990617609093043</v>
      </c>
      <c r="FD77" s="302">
        <f>(CA77+(ES77-ES76)-DM77)/ES76</f>
        <v>0.27286437574060113</v>
      </c>
      <c r="FE77" s="302">
        <f>(CB77+(ET77-ET76)-DN77)/ET76</f>
        <v>0.19605612438376938</v>
      </c>
      <c r="FF77" s="302">
        <f>(CC77+(EU77-EU76)-DO77)/EU76</f>
        <v>0.33968575772934628</v>
      </c>
      <c r="FG77" s="302">
        <f>(CD77+(EV77-EV76)-DP77)/EV76</f>
        <v>0.38423661709418772</v>
      </c>
      <c r="FH77" s="302">
        <f>(CF77+(EW77-EW76)-DQ77)/EW76</f>
        <v>0.59553308747358402</v>
      </c>
      <c r="FI77" s="302">
        <f>(CG77+(EX77-EX76)-DR77)/EX76</f>
        <v>0.29195056725652624</v>
      </c>
      <c r="FJ77" s="302">
        <f>(CH77+(EY77-EY76)-DS77)/EY76</f>
        <v>2.323924888387335E-2</v>
      </c>
      <c r="FK77" s="302">
        <f>(CH77+AO77+(EY77-EY76)-DS77)/EY76</f>
        <v>6.7810558237210022E-2</v>
      </c>
      <c r="FL77" s="296">
        <f>BX77/EP76</f>
        <v>8.3592973051410557E-2</v>
      </c>
      <c r="FM77" s="302">
        <f>BY77/EQ76</f>
        <v>0.1437484332785561</v>
      </c>
      <c r="FN77" s="302">
        <f>BZ77/ER76</f>
        <v>9.4620935813357135E-2</v>
      </c>
      <c r="FO77" s="302">
        <f>CA77/ES76</f>
        <v>0.1823763869438759</v>
      </c>
      <c r="FP77" s="302">
        <f>CB77/ET76</f>
        <v>0.1198331437239287</v>
      </c>
      <c r="FQ77" s="302">
        <f>CC77/EU76</f>
        <v>0.10819702345297885</v>
      </c>
      <c r="FR77" s="302">
        <f>CD77/EV76</f>
        <v>8.7334065275975648E-2</v>
      </c>
      <c r="FS77" s="302">
        <f>CF77/EW76</f>
        <v>0.13815107943479882</v>
      </c>
      <c r="FT77" s="302">
        <f>CG77/EX76</f>
        <v>0.1167546281923498</v>
      </c>
      <c r="FU77" s="302">
        <f>CH77/EY76</f>
        <v>7.076195865089073E-2</v>
      </c>
    </row>
    <row r="78" spans="2:177">
      <c r="B78" s="288">
        <v>2002</v>
      </c>
      <c r="C78" s="344">
        <v>9436.7999999999993</v>
      </c>
      <c r="D78" s="352">
        <v>907.2</v>
      </c>
      <c r="E78" s="361">
        <f>D78/C78</f>
        <v>9.6134282807731453E-2</v>
      </c>
      <c r="F78" s="333">
        <f>D78-(G78+I78)</f>
        <v>0</v>
      </c>
      <c r="G78" s="278">
        <f>D78-I78</f>
        <v>748.40000000000009</v>
      </c>
      <c r="H78" s="302">
        <f>G78/C78</f>
        <v>7.9306544591386932E-2</v>
      </c>
      <c r="I78" s="333">
        <v>158.80000000000001</v>
      </c>
      <c r="J78" s="343">
        <f>I78/C78</f>
        <v>1.6827738216344527E-2</v>
      </c>
      <c r="K78" s="361">
        <f>I78/D78</f>
        <v>0.17504409171075838</v>
      </c>
      <c r="L78" s="371">
        <v>205.3</v>
      </c>
      <c r="M78" s="343">
        <f>L78/C78</f>
        <v>2.1755256018989491E-2</v>
      </c>
      <c r="N78" s="370">
        <f>L78/D78</f>
        <v>0.22630070546737213</v>
      </c>
      <c r="O78" s="352">
        <f>D78</f>
        <v>907.2</v>
      </c>
      <c r="P78" s="366">
        <f>O78-(Q78+R78+T78+U78+X78-V78)</f>
        <v>0</v>
      </c>
      <c r="Q78" s="278">
        <v>550.5</v>
      </c>
      <c r="R78" s="376">
        <v>186.5</v>
      </c>
      <c r="S78" s="374">
        <f>R78/D78</f>
        <v>0.20557760141093473</v>
      </c>
      <c r="T78" s="292">
        <v>23.9</v>
      </c>
      <c r="U78" s="292">
        <v>118.19999999999999</v>
      </c>
      <c r="V78" s="372">
        <v>96.4</v>
      </c>
      <c r="W78" s="374">
        <f>V78/D78</f>
        <v>0.10626102292768959</v>
      </c>
      <c r="X78" s="366">
        <f>O78-(Q78+R78+T78+U78-V78)</f>
        <v>124.50000000000011</v>
      </c>
      <c r="Y78" s="367">
        <v>151.84824699999999</v>
      </c>
      <c r="Z78" s="366">
        <f>Z79*Y78/Y79</f>
        <v>-11.595648052916506</v>
      </c>
      <c r="AA78" s="366"/>
      <c r="AB78" s="366"/>
      <c r="AC78" s="366">
        <f>Y78+Z78</f>
        <v>140.25259894708347</v>
      </c>
      <c r="AD78" s="302">
        <f>AC78/D78</f>
        <v>0.15459942564713786</v>
      </c>
      <c r="AE78" s="278">
        <v>178.56399999999999</v>
      </c>
      <c r="AF78" s="278">
        <v>138.39049039770941</v>
      </c>
      <c r="AG78" s="326">
        <v>192.3</v>
      </c>
      <c r="AH78" s="295">
        <f>AG78/C78</f>
        <v>2.0377670396744662E-2</v>
      </c>
      <c r="AI78" s="295">
        <f>(AG78-AN78)/C78</f>
        <v>1.77814513394371E-2</v>
      </c>
      <c r="AJ78" s="357">
        <f>AG78-(AK78+AL78+AM78+AN78)</f>
        <v>0</v>
      </c>
      <c r="AK78" s="288">
        <v>125.9</v>
      </c>
      <c r="AL78" s="288">
        <v>30.9</v>
      </c>
      <c r="AM78" s="290">
        <v>11</v>
      </c>
      <c r="AN78" s="288">
        <v>24.5</v>
      </c>
      <c r="AO78" s="372">
        <v>43.2</v>
      </c>
      <c r="AP78" s="333">
        <v>143.97749999999999</v>
      </c>
      <c r="AQ78" s="333"/>
      <c r="AR78" s="333"/>
      <c r="AS78" s="333"/>
      <c r="AT78" s="361">
        <f>(O78-AG78)/C78</f>
        <v>7.5756612410986787E-2</v>
      </c>
      <c r="AU78" s="360">
        <v>0.35</v>
      </c>
      <c r="AV78" s="359">
        <f>(AK78+AL78)/(G78+L78-T78)</f>
        <v>0.16863841686384168</v>
      </c>
      <c r="AW78" s="353">
        <f>(AK78+AL78)/(G78+L78-T78-AE78)</f>
        <v>0.20872269167079319</v>
      </c>
      <c r="AX78" s="302">
        <f>(AG78-AN78-AM78)/(G78+L78-T78+V78)</f>
        <v>0.15279672578444747</v>
      </c>
      <c r="AY78" s="297">
        <f>(AG78-AN78-AM78+AO78)/(G78+L78-T78+AO78)</f>
        <v>0.2055498458376156</v>
      </c>
      <c r="AZ78" s="353">
        <f>(AG78-AN78-AM78+AO78)/(G78+L78-T78+AO78-AC78)</f>
        <v>0.24016886723047373</v>
      </c>
      <c r="BA78" s="302">
        <f>(AG78-AN78)/Q78</f>
        <v>0.30481380563124433</v>
      </c>
      <c r="BB78" s="302">
        <f>(AG78-AN78)/(Q78+R78)</f>
        <v>0.2276797829036635</v>
      </c>
      <c r="BC78" s="358">
        <f>D78</f>
        <v>907.2</v>
      </c>
      <c r="BD78" s="357">
        <f>BC78-(BE78+BF78+BG78)</f>
        <v>0</v>
      </c>
      <c r="BE78" s="356">
        <f>AG78</f>
        <v>192.3</v>
      </c>
      <c r="BF78" s="314">
        <v>400.2</v>
      </c>
      <c r="BG78" s="314">
        <v>314.7</v>
      </c>
      <c r="BH78" s="302">
        <f>BG78/D78</f>
        <v>0.34689153439153436</v>
      </c>
      <c r="BI78" s="288">
        <v>203.8</v>
      </c>
      <c r="BJ78" s="288">
        <f>BG78-BI78</f>
        <v>110.89999999999998</v>
      </c>
      <c r="BK78" s="302">
        <f>BJ78/D78</f>
        <v>0.12224426807760137</v>
      </c>
      <c r="BL78" s="302">
        <f>DD78/(D78)</f>
        <v>3.908950617283951E-2</v>
      </c>
      <c r="BM78" s="302">
        <f>DD78/(CV78+CW78)</f>
        <v>0.29464256040413445</v>
      </c>
      <c r="BN78" s="302">
        <f>CQ78*DF78</f>
        <v>0.28383223947494801</v>
      </c>
      <c r="BO78" s="302">
        <f>BJ78/I78</f>
        <v>0.6983627204030225</v>
      </c>
      <c r="BP78" s="294">
        <v>54.6</v>
      </c>
      <c r="BQ78" s="355">
        <f>L78</f>
        <v>205.3</v>
      </c>
      <c r="BR78" s="333">
        <f>BQ78-(BS78+BT78+BU78)</f>
        <v>0</v>
      </c>
      <c r="BS78" s="278">
        <f>BQ78-BT78-BU78</f>
        <v>27.202000000000027</v>
      </c>
      <c r="BT78" s="278">
        <v>38.228999999999999</v>
      </c>
      <c r="BU78" s="278">
        <v>139.869</v>
      </c>
      <c r="BV78" s="278">
        <v>19.513000000000002</v>
      </c>
      <c r="BW78" s="302">
        <f>BT78/BQ78</f>
        <v>0.18621042377009253</v>
      </c>
      <c r="BX78" s="315">
        <v>124.94</v>
      </c>
      <c r="BY78" s="314">
        <v>6.3550000000000004</v>
      </c>
      <c r="BZ78" s="314">
        <v>11.756</v>
      </c>
      <c r="CA78" s="314">
        <v>7.5369999999999999</v>
      </c>
      <c r="CB78" s="314">
        <v>10.920999999999999</v>
      </c>
      <c r="CC78" s="314">
        <f>CD78+CE78</f>
        <v>10.46</v>
      </c>
      <c r="CD78" s="314">
        <v>4.569</v>
      </c>
      <c r="CE78" s="314">
        <v>5.8910000000000009</v>
      </c>
      <c r="CF78" s="314">
        <v>4.4379999999999997</v>
      </c>
      <c r="CG78" s="314">
        <f>BY78+BZ78+CA78+CB78+CD78+CE78+CF78</f>
        <v>51.467000000000006</v>
      </c>
      <c r="CH78" s="314">
        <f>BX78-CG78</f>
        <v>73.472999999999985</v>
      </c>
      <c r="CI78" s="302">
        <f>BY78/$BX78</f>
        <v>5.0864414919161202E-2</v>
      </c>
      <c r="CJ78" s="302">
        <f>BZ78/$BX78</f>
        <v>9.4093164719065162E-2</v>
      </c>
      <c r="CK78" s="302">
        <f>CA78/$BX78</f>
        <v>6.032495597886986E-2</v>
      </c>
      <c r="CL78" s="302">
        <f>CB78/$BX78</f>
        <v>8.7409956779254033E-2</v>
      </c>
      <c r="CM78" s="300">
        <f>CN78+CO78</f>
        <v>8.3720185689130783E-2</v>
      </c>
      <c r="CN78" s="302">
        <f>CD78/$BX78</f>
        <v>3.6569553385625099E-2</v>
      </c>
      <c r="CO78" s="302">
        <f>CE78/$BX78</f>
        <v>4.7150632303505691E-2</v>
      </c>
      <c r="CP78" s="302">
        <f>CF78/$BX78</f>
        <v>3.5521050104049941E-2</v>
      </c>
      <c r="CQ78" s="302">
        <f>CG78/$BX78</f>
        <v>0.41193372818953106</v>
      </c>
      <c r="CR78" s="302">
        <f>CQ78*N78</f>
        <v>9.32208932950956E-2</v>
      </c>
      <c r="CS78" s="342">
        <f>BX78</f>
        <v>124.94</v>
      </c>
      <c r="CT78" s="355">
        <f>BX78</f>
        <v>124.94</v>
      </c>
      <c r="CU78" s="333">
        <f>CT78-(CV78+CW78)</f>
        <v>4.5840000000000032</v>
      </c>
      <c r="CV78" s="347">
        <v>54.6</v>
      </c>
      <c r="CW78" s="315">
        <v>65.756</v>
      </c>
      <c r="CX78" s="314">
        <v>4.9269999999999996</v>
      </c>
      <c r="CY78" s="314">
        <v>9.0150000000000006</v>
      </c>
      <c r="CZ78" s="314">
        <v>6.125</v>
      </c>
      <c r="DA78" s="314">
        <v>7.7249999999999996</v>
      </c>
      <c r="DB78" s="314">
        <v>4.92</v>
      </c>
      <c r="DC78" s="314">
        <v>2.75</v>
      </c>
      <c r="DD78" s="315">
        <f>DC78+DB78+DA78+CZ78+CY78+CX78</f>
        <v>35.462000000000003</v>
      </c>
      <c r="DE78" s="315"/>
      <c r="DF78" s="302">
        <f>DD78/CG78</f>
        <v>0.68902403481842733</v>
      </c>
      <c r="DG78" s="314">
        <f>CW78-DD78</f>
        <v>30.293999999999997</v>
      </c>
      <c r="DH78" s="302">
        <f>DD78/CW78</f>
        <v>0.53929679420889354</v>
      </c>
      <c r="DI78" s="302">
        <f>CW78/(CW78+CV78)</f>
        <v>0.54634584067267111</v>
      </c>
      <c r="DJ78" s="325">
        <v>134.946</v>
      </c>
      <c r="DK78" s="322">
        <v>10.7</v>
      </c>
      <c r="DL78" s="322">
        <v>14.79</v>
      </c>
      <c r="DM78" s="322">
        <v>10.484999999999999</v>
      </c>
      <c r="DN78" s="322">
        <v>7.9240000000000004</v>
      </c>
      <c r="DO78" s="322">
        <v>10.294</v>
      </c>
      <c r="DP78" s="322">
        <v>4.3129999999999997</v>
      </c>
      <c r="DQ78" s="322">
        <v>0.53</v>
      </c>
      <c r="DR78" s="314">
        <f>DQ78+DO78+DN78+DM78+DL78+DK78</f>
        <v>54.722999999999999</v>
      </c>
      <c r="DS78" s="314">
        <f>DJ78-DR78</f>
        <v>80.222999999999999</v>
      </c>
      <c r="DT78" s="300">
        <f>DR78/DJ78</f>
        <v>0.40551776266061978</v>
      </c>
      <c r="DU78" s="325">
        <f>DJ78-CW78</f>
        <v>69.19</v>
      </c>
      <c r="DV78" s="314">
        <v>69.19</v>
      </c>
      <c r="DW78" s="314">
        <f>DK78-CX78</f>
        <v>5.7729999999999997</v>
      </c>
      <c r="DX78" s="314">
        <f>DL78-CY78</f>
        <v>5.7749999999999986</v>
      </c>
      <c r="DY78" s="314">
        <f>DM78-CZ78</f>
        <v>4.3599999999999994</v>
      </c>
      <c r="DZ78" s="314">
        <f>DN78-DA78</f>
        <v>0.19900000000000073</v>
      </c>
      <c r="EA78" s="314">
        <f>DO78-DB78</f>
        <v>5.3740000000000006</v>
      </c>
      <c r="EB78" s="314">
        <f>DQ78-DC78</f>
        <v>-2.2199999999999998</v>
      </c>
      <c r="EC78" s="314">
        <f>EB78+EA78+DZ78+DY78+DX78+DW78</f>
        <v>19.260999999999999</v>
      </c>
      <c r="ED78" s="314">
        <f>DU78-EC78</f>
        <v>49.929000000000002</v>
      </c>
      <c r="EE78" s="302">
        <f>EC78/DU78</f>
        <v>0.27837837837837837</v>
      </c>
      <c r="EF78" s="315">
        <v>42.707000000000001</v>
      </c>
      <c r="EG78" s="314">
        <v>3.5579999999999998</v>
      </c>
      <c r="EH78" s="314">
        <v>2.855</v>
      </c>
      <c r="EI78" s="314">
        <v>1.073</v>
      </c>
      <c r="EJ78" s="314">
        <v>1.2609999999999999</v>
      </c>
      <c r="EK78" s="314">
        <v>4.7670000000000003</v>
      </c>
      <c r="EL78" s="314">
        <v>0.153</v>
      </c>
      <c r="EM78" s="314">
        <f>EL78+EK78+EJ78+EI78+EH78+EG78</f>
        <v>13.667</v>
      </c>
      <c r="EN78" s="314">
        <f>EF78-EM78</f>
        <v>29.04</v>
      </c>
      <c r="EO78" s="302">
        <f>EM78/EF78</f>
        <v>0.32001779567752359</v>
      </c>
      <c r="EP78" s="352">
        <v>1616.548</v>
      </c>
      <c r="EQ78" s="278">
        <v>51.597999999999999</v>
      </c>
      <c r="ER78" s="278">
        <v>158.41499999999999</v>
      </c>
      <c r="ES78" s="278">
        <v>62.180999999999997</v>
      </c>
      <c r="ET78" s="278">
        <v>74.228999999999999</v>
      </c>
      <c r="EU78" s="278">
        <v>159.416</v>
      </c>
      <c r="EV78" s="278">
        <v>89.472999999999999</v>
      </c>
      <c r="EW78" s="278">
        <v>50.954999999999998</v>
      </c>
      <c r="EX78" s="278">
        <f>EW78+EU78+ET78+ES78+ER78+EQ78</f>
        <v>556.79399999999987</v>
      </c>
      <c r="EY78" s="278">
        <f>EP78-EX78</f>
        <v>1059.7540000000001</v>
      </c>
      <c r="EZ78" s="302">
        <f>EX78/EP78</f>
        <v>0.34443394195532695</v>
      </c>
      <c r="FA78" s="308">
        <f>(BX78+(EP78-EP77)-DJ78)/EP77</f>
        <v>0.10010600184065205</v>
      </c>
      <c r="FB78" s="302">
        <f>(BY78+(EQ78-EQ77)-DK78)/EQ77</f>
        <v>0.19503806175868096</v>
      </c>
      <c r="FC78" s="302">
        <f>(BZ78+(ER78-ER77)-DL78)/ER77</f>
        <v>5.2096663890525099E-2</v>
      </c>
      <c r="FD78" s="302">
        <f>(CA78+(ES78-ES77)-DM78)/ES77</f>
        <v>0.16666994938055182</v>
      </c>
      <c r="FE78" s="302">
        <f>(CB78+(ET78-ET77)-DN78)/ET77</f>
        <v>0.21104629281144144</v>
      </c>
      <c r="FF78" s="302">
        <f>(CC78+(EU78-EU77)-DO78)/EU77</f>
        <v>0.12313669186267459</v>
      </c>
      <c r="FG78" s="302">
        <f>(CD78+(EV78-EV77)-DP78)/EV77</f>
        <v>5.6020430980710668E-2</v>
      </c>
      <c r="FH78" s="302">
        <f>(CF78+(EW78-EW77)-DQ78)/EW77</f>
        <v>0.34586890393484432</v>
      </c>
      <c r="FI78" s="302">
        <f>(CG78+(EX78-EX77)-DR78)/EX77</f>
        <v>0.14221746244972805</v>
      </c>
      <c r="FJ78" s="302">
        <f>(CH78+(EY78-EY77)-DS78)/EY77</f>
        <v>7.9190558911999651E-2</v>
      </c>
      <c r="FK78" s="302">
        <f>(CH78+AO78+(EY78-EY77)-DS78)/EY77</f>
        <v>0.12346487519664662</v>
      </c>
      <c r="FL78" s="296">
        <f>BX78/EP77</f>
        <v>8.5554715575422907E-2</v>
      </c>
      <c r="FM78" s="302">
        <f>BY78/EQ77</f>
        <v>0.16071925343314536</v>
      </c>
      <c r="FN78" s="302">
        <f>BZ78/ER77</f>
        <v>7.9600777319601579E-2</v>
      </c>
      <c r="FO78" s="302">
        <f>CA78/ES77</f>
        <v>0.14845088731756317</v>
      </c>
      <c r="FP78" s="302">
        <f>CB78/ET77</f>
        <v>0.1712614477480868</v>
      </c>
      <c r="FQ78" s="302">
        <f>CC78/EU77</f>
        <v>7.3617386653153719E-2</v>
      </c>
      <c r="FR78" s="302">
        <f>CD78/EV77</f>
        <v>5.3772552342619073E-2</v>
      </c>
      <c r="FS78" s="302">
        <f>CF78/EW77</f>
        <v>0.10887057207339808</v>
      </c>
      <c r="FT78" s="302">
        <f>CG78/EX77</f>
        <v>0.10620139202710595</v>
      </c>
      <c r="FU78" s="302">
        <f>CH78/EY77</f>
        <v>7.5300158342172796E-2</v>
      </c>
    </row>
    <row r="79" spans="2:177">
      <c r="B79" s="288">
        <v>2003</v>
      </c>
      <c r="C79" s="344">
        <v>9864.2000000000007</v>
      </c>
      <c r="D79" s="352">
        <v>1056.4000000000001</v>
      </c>
      <c r="E79" s="343">
        <f>D79/C79</f>
        <v>0.10709434115285578</v>
      </c>
      <c r="F79" s="333">
        <f>D79-(G79+I79)</f>
        <v>0</v>
      </c>
      <c r="G79" s="278">
        <f>D79-I79</f>
        <v>889.80000000000007</v>
      </c>
      <c r="H79" s="302">
        <f>G79/C79</f>
        <v>9.0204983678352016E-2</v>
      </c>
      <c r="I79" s="333">
        <v>166.6</v>
      </c>
      <c r="J79" s="343">
        <f>I79/C79</f>
        <v>1.688935747450376E-2</v>
      </c>
      <c r="K79" s="361">
        <f>I79/D79</f>
        <v>0.15770541461567586</v>
      </c>
      <c r="L79" s="371">
        <v>250</v>
      </c>
      <c r="M79" s="343">
        <f>L79/C79</f>
        <v>2.5344173881308163E-2</v>
      </c>
      <c r="N79" s="370">
        <f>L79/D79</f>
        <v>0.23665278303672849</v>
      </c>
      <c r="O79" s="352">
        <f>D79</f>
        <v>1056.4000000000001</v>
      </c>
      <c r="P79" s="366">
        <f>O79-(Q79+R79+T79+U79+X79-V79)</f>
        <v>0</v>
      </c>
      <c r="Q79" s="278">
        <v>749</v>
      </c>
      <c r="R79" s="376">
        <v>187.1</v>
      </c>
      <c r="S79" s="374">
        <f>R79/D79</f>
        <v>0.17711094282468759</v>
      </c>
      <c r="T79" s="292">
        <v>20.5</v>
      </c>
      <c r="U79" s="292">
        <v>86.9</v>
      </c>
      <c r="V79" s="372">
        <v>123.3</v>
      </c>
      <c r="W79" s="374">
        <f>V79/D79</f>
        <v>0.11671715259371448</v>
      </c>
      <c r="X79" s="366">
        <f>O79-(Q79+R79+T79+U79-V79)</f>
        <v>136.20000000000005</v>
      </c>
      <c r="Y79" s="367">
        <v>172.93795800000001</v>
      </c>
      <c r="Z79" s="366">
        <f>Z80*Y79/Y80</f>
        <v>-13.206130038222019</v>
      </c>
      <c r="AA79" s="366"/>
      <c r="AB79" s="366"/>
      <c r="AC79" s="366">
        <f>Y79+Z79</f>
        <v>159.73182796177798</v>
      </c>
      <c r="AD79" s="302">
        <f>AC79/D79</f>
        <v>0.15120392650679473</v>
      </c>
      <c r="AE79" s="278">
        <v>189.86199999999999</v>
      </c>
      <c r="AF79" s="278">
        <v>147.13503761571775</v>
      </c>
      <c r="AG79" s="326">
        <v>243.8</v>
      </c>
      <c r="AH79" s="295">
        <f>AG79/C79</f>
        <v>2.4715638369051721E-2</v>
      </c>
      <c r="AI79" s="295">
        <f>(AG79-AN79)/C79</f>
        <v>2.2485351067496603E-2</v>
      </c>
      <c r="AJ79" s="357">
        <f>AG79-(AK79+AL79+AM79+AN79)</f>
        <v>0</v>
      </c>
      <c r="AK79" s="288">
        <v>175.80000000000004</v>
      </c>
      <c r="AL79" s="288">
        <v>34</v>
      </c>
      <c r="AM79" s="290">
        <v>12</v>
      </c>
      <c r="AN79" s="288">
        <v>22</v>
      </c>
      <c r="AO79" s="372">
        <v>51.1</v>
      </c>
      <c r="AP79" s="333">
        <v>146.17625000000001</v>
      </c>
      <c r="AQ79" s="333"/>
      <c r="AR79" s="333"/>
      <c r="AS79" s="333"/>
      <c r="AT79" s="361">
        <f>(O79-AG79)/C79</f>
        <v>8.2378702783804061E-2</v>
      </c>
      <c r="AU79" s="360">
        <v>0.35</v>
      </c>
      <c r="AV79" s="359">
        <f>(AK79+AL79)/(G79+L79-T79)</f>
        <v>0.18743857768248012</v>
      </c>
      <c r="AW79" s="353">
        <f>(AK79+AL79)/(G79+L79-T79-AE79)</f>
        <v>0.22572780540498666</v>
      </c>
      <c r="AX79" s="302">
        <f>(AG79-AN79-AM79)/(G79+L79-T79+V79)</f>
        <v>0.1688395300177048</v>
      </c>
      <c r="AY79" s="297">
        <f>(AG79-AN79-AM79+AO79)/(G79+L79-T79+AO79)</f>
        <v>0.22291524265208476</v>
      </c>
      <c r="AZ79" s="353">
        <f>(AG79-AN79-AM79+AO79)/(G79+L79-T79+AO79-AC79)</f>
        <v>0.25814605349037661</v>
      </c>
      <c r="BA79" s="302">
        <f>(AG79-AN79)/Q79</f>
        <v>0.29612817089452603</v>
      </c>
      <c r="BB79" s="302">
        <f>(AG79-AN79)/(Q79+R79)</f>
        <v>0.23694049781006304</v>
      </c>
      <c r="BC79" s="358">
        <f>D79</f>
        <v>1056.4000000000001</v>
      </c>
      <c r="BD79" s="357">
        <f>BC79-(BE79+BF79+BG79)</f>
        <v>0</v>
      </c>
      <c r="BE79" s="356">
        <f>AG79</f>
        <v>243.8</v>
      </c>
      <c r="BF79" s="314">
        <v>434</v>
      </c>
      <c r="BG79" s="314">
        <v>378.6</v>
      </c>
      <c r="BH79" s="302">
        <f>BG79/D79</f>
        <v>0.35838697463082164</v>
      </c>
      <c r="BI79" s="288">
        <v>244.1</v>
      </c>
      <c r="BJ79" s="288">
        <f>BG79-BI79</f>
        <v>134.50000000000003</v>
      </c>
      <c r="BK79" s="302">
        <f>BJ79/D79</f>
        <v>0.12731919727375995</v>
      </c>
      <c r="BL79" s="302">
        <f>DD79/(D79)</f>
        <v>4.2499053388867843E-2</v>
      </c>
      <c r="BM79" s="302">
        <f>DD79/(CV79+CW79)</f>
        <v>0.28070877465017691</v>
      </c>
      <c r="BN79" s="302">
        <f>CQ79*DF79</f>
        <v>0.27176261932289358</v>
      </c>
      <c r="BO79" s="302">
        <f>BJ79/I79</f>
        <v>0.80732292917166881</v>
      </c>
      <c r="BP79" s="294">
        <v>59.46</v>
      </c>
      <c r="BQ79" s="355">
        <f>L79</f>
        <v>250</v>
      </c>
      <c r="BR79" s="333">
        <f>BQ79-(BS79+BT79+BU79)</f>
        <v>0</v>
      </c>
      <c r="BS79" s="278">
        <f>BQ79-BT79-BU79</f>
        <v>28.298000000000002</v>
      </c>
      <c r="BT79" s="278">
        <v>41.554000000000002</v>
      </c>
      <c r="BU79" s="278">
        <v>180.148</v>
      </c>
      <c r="BV79" s="278">
        <v>20.210999999999999</v>
      </c>
      <c r="BW79" s="302">
        <f>BT79/BQ79</f>
        <v>0.166216</v>
      </c>
      <c r="BX79" s="315">
        <v>165.203</v>
      </c>
      <c r="BY79" s="314">
        <v>9.1340000000000003</v>
      </c>
      <c r="BZ79" s="314">
        <v>16.594999999999999</v>
      </c>
      <c r="CA79" s="314">
        <v>9.3770000000000007</v>
      </c>
      <c r="CB79" s="314">
        <v>12.643000000000001</v>
      </c>
      <c r="CC79" s="314">
        <f>CD79+CE79</f>
        <v>13.856999999999999</v>
      </c>
      <c r="CD79" s="314">
        <v>7.0890000000000004</v>
      </c>
      <c r="CE79" s="314">
        <v>6.7679999999999989</v>
      </c>
      <c r="CF79" s="314">
        <v>5.9870000000000001</v>
      </c>
      <c r="CG79" s="314">
        <f>BY79+BZ79+CA79+CB79+CD79+CE79+CF79</f>
        <v>67.593000000000004</v>
      </c>
      <c r="CH79" s="314">
        <f>BX79-CG79</f>
        <v>97.61</v>
      </c>
      <c r="CI79" s="302">
        <f>BY79/$BX79</f>
        <v>5.5289552853156419E-2</v>
      </c>
      <c r="CJ79" s="302">
        <f>BZ79/$BX79</f>
        <v>0.10045217096541829</v>
      </c>
      <c r="CK79" s="302">
        <f>CA79/$BX79</f>
        <v>5.6760470451505118E-2</v>
      </c>
      <c r="CL79" s="302">
        <f>CB79/$BX79</f>
        <v>7.6530087226018895E-2</v>
      </c>
      <c r="CM79" s="300">
        <f>CN79+CO79</f>
        <v>8.3878622058921437E-2</v>
      </c>
      <c r="CN79" s="302">
        <f>CD79/$BX79</f>
        <v>4.2910843023431781E-2</v>
      </c>
      <c r="CO79" s="302">
        <f>CE79/$BX79</f>
        <v>4.0967779035489663E-2</v>
      </c>
      <c r="CP79" s="302">
        <f>CF79/$BX79</f>
        <v>3.6240261980714637E-2</v>
      </c>
      <c r="CQ79" s="302">
        <f>CG79/$BX79</f>
        <v>0.40915116553573483</v>
      </c>
      <c r="CR79" s="302">
        <f>CQ79*N79</f>
        <v>9.6826762006752831E-2</v>
      </c>
      <c r="CS79" s="342">
        <f>BX79</f>
        <v>165.203</v>
      </c>
      <c r="CT79" s="355">
        <f>BX79</f>
        <v>165.203</v>
      </c>
      <c r="CU79" s="333">
        <f>CT79-(CV79+CW79)</f>
        <v>5.2650000000000148</v>
      </c>
      <c r="CV79" s="347">
        <v>59.46</v>
      </c>
      <c r="CW79" s="315">
        <v>100.47799999999999</v>
      </c>
      <c r="CX79" s="314">
        <v>7.3940000000000001</v>
      </c>
      <c r="CY79" s="314">
        <v>14.712999999999999</v>
      </c>
      <c r="CZ79" s="314">
        <v>3.169</v>
      </c>
      <c r="DA79" s="314">
        <v>9.0649999999999995</v>
      </c>
      <c r="DB79" s="314">
        <v>6.7619999999999996</v>
      </c>
      <c r="DC79" s="314">
        <v>3.7930000000000001</v>
      </c>
      <c r="DD79" s="315">
        <f>DC79+DB79+DA79+CZ79+CY79+CX79</f>
        <v>44.895999999999994</v>
      </c>
      <c r="DE79" s="315"/>
      <c r="DF79" s="302">
        <f>DD79/CG79</f>
        <v>0.66421079105824554</v>
      </c>
      <c r="DG79" s="314">
        <f>CW79-DD79</f>
        <v>55.582000000000001</v>
      </c>
      <c r="DH79" s="302">
        <f>DD79/CW79</f>
        <v>0.4468241804176038</v>
      </c>
      <c r="DI79" s="302">
        <f>CW79/(CW79+CV79)</f>
        <v>0.62823093948905206</v>
      </c>
      <c r="DJ79" s="325">
        <v>129.352</v>
      </c>
      <c r="DK79" s="322">
        <v>7.4080000000000004</v>
      </c>
      <c r="DL79" s="322">
        <v>15.502000000000001</v>
      </c>
      <c r="DM79" s="322">
        <v>8.08</v>
      </c>
      <c r="DN79" s="322">
        <v>14.462</v>
      </c>
      <c r="DO79" s="322">
        <v>-0.75700000000000001</v>
      </c>
      <c r="DP79" s="322">
        <v>-3.778</v>
      </c>
      <c r="DQ79" s="322">
        <v>5.4459999999999997</v>
      </c>
      <c r="DR79" s="314">
        <f>DQ79+DO79+DN79+DM79+DL79+DK79</f>
        <v>50.141000000000005</v>
      </c>
      <c r="DS79" s="314">
        <f>DJ79-DR79</f>
        <v>79.210999999999999</v>
      </c>
      <c r="DT79" s="300">
        <f>DR79/DJ79</f>
        <v>0.38763219741480615</v>
      </c>
      <c r="DU79" s="325">
        <f>DJ79-CW79</f>
        <v>28.874000000000009</v>
      </c>
      <c r="DV79" s="314">
        <v>28.875</v>
      </c>
      <c r="DW79" s="314">
        <f>DK79-CX79</f>
        <v>1.4000000000000234E-2</v>
      </c>
      <c r="DX79" s="314">
        <f>DL79-CY79</f>
        <v>0.78900000000000148</v>
      </c>
      <c r="DY79" s="314">
        <f>DM79-CZ79</f>
        <v>4.9109999999999996</v>
      </c>
      <c r="DZ79" s="314">
        <f>DN79-DA79</f>
        <v>5.3970000000000002</v>
      </c>
      <c r="EA79" s="314">
        <f>DO79-DB79</f>
        <v>-7.5189999999999992</v>
      </c>
      <c r="EB79" s="314">
        <f>DQ79-DC79</f>
        <v>1.6529999999999996</v>
      </c>
      <c r="EC79" s="314">
        <f>EB79+EA79+DZ79+DY79+DX79+DW79</f>
        <v>5.2450000000000019</v>
      </c>
      <c r="ED79" s="314">
        <f>DU79-EC79</f>
        <v>23.629000000000008</v>
      </c>
      <c r="EE79" s="302">
        <f>EC79/DU79</f>
        <v>0.18165131259957054</v>
      </c>
      <c r="EF79" s="315">
        <v>35.484000000000002</v>
      </c>
      <c r="EG79" s="314">
        <v>1.359</v>
      </c>
      <c r="EH79" s="314">
        <v>0.67500000000000004</v>
      </c>
      <c r="EI79" s="314">
        <v>8.3000000000000004E-2</v>
      </c>
      <c r="EJ79" s="323">
        <f>(EJ78+EJ80)/2</f>
        <v>1.407</v>
      </c>
      <c r="EK79" s="314">
        <v>2.032</v>
      </c>
      <c r="EL79" s="314">
        <v>-0.99099999999999999</v>
      </c>
      <c r="EM79" s="314">
        <f>EL79+EK79+EJ79+EI79+EH79+EG79</f>
        <v>4.5650000000000004</v>
      </c>
      <c r="EN79" s="314">
        <f>EF79-EM79</f>
        <v>30.919</v>
      </c>
      <c r="EO79" s="302">
        <f>EM79/EF79</f>
        <v>0.12864953218351935</v>
      </c>
      <c r="EP79" s="352">
        <v>1769.6130000000001</v>
      </c>
      <c r="EQ79" s="278">
        <v>60.603999999999999</v>
      </c>
      <c r="ER79" s="278">
        <v>186.36600000000001</v>
      </c>
      <c r="ES79" s="278">
        <v>68.298000000000002</v>
      </c>
      <c r="ET79" s="278">
        <v>92.75</v>
      </c>
      <c r="EU79" s="278">
        <v>166.31899999999999</v>
      </c>
      <c r="EV79" s="278">
        <v>84.507999999999996</v>
      </c>
      <c r="EW79" s="278">
        <v>51.052999999999997</v>
      </c>
      <c r="EX79" s="278">
        <f>EW79+EU79+ET79+ES79+ER79+EQ79</f>
        <v>625.39</v>
      </c>
      <c r="EY79" s="278">
        <f>EP79-EX79</f>
        <v>1144.223</v>
      </c>
      <c r="EZ79" s="302">
        <f>EX79/EP79</f>
        <v>0.35340495351243462</v>
      </c>
      <c r="FA79" s="308">
        <f>(BX79+(EP79-EP78)-DJ79)/EP78</f>
        <v>0.11686383577846128</v>
      </c>
      <c r="FB79" s="302">
        <f>(BY79+(EQ79-EQ78)-DK79)/EQ78</f>
        <v>0.20799255785107948</v>
      </c>
      <c r="FC79" s="302">
        <f>(BZ79+(ER79-ER78)-DL79)/ER78</f>
        <v>0.18334122400025263</v>
      </c>
      <c r="FD79" s="302">
        <f>(CA79+(ES79-ES78)-DM79)/ES78</f>
        <v>0.11923256300156004</v>
      </c>
      <c r="FE79" s="302">
        <f>(CB79+(ET79-ET78)-DN79)/ET78</f>
        <v>0.2250063991162484</v>
      </c>
      <c r="FF79" s="302">
        <f>(CC79+(EU79-EU78)-DO79)/EU78</f>
        <v>0.13497390475234602</v>
      </c>
      <c r="FG79" s="302">
        <f>(CD79+(EV79-EV78)-DP79)/EV78</f>
        <v>6.5964033842611708E-2</v>
      </c>
      <c r="FH79" s="302">
        <f>(CF79+(EW79-EW78)-DQ79)/EW78</f>
        <v>1.2540476891374729E-2</v>
      </c>
      <c r="FI79" s="302">
        <f>(CG79+(EX79-EX78)-DR79)/EX78</f>
        <v>0.15454189520720438</v>
      </c>
      <c r="FJ79" s="302">
        <f>(CH79+(EY79-EY78)-DS79)/EY78</f>
        <v>9.7067810076678002E-2</v>
      </c>
      <c r="FK79" s="302">
        <f>(CH79+AO79+(EY79-EY78)-DS79)/EY78</f>
        <v>0.14528654763275234</v>
      </c>
      <c r="FL79" s="296">
        <f>BX79/EP78</f>
        <v>0.10219492399854505</v>
      </c>
      <c r="FM79" s="302">
        <f>BY79/EQ78</f>
        <v>0.17702236520795381</v>
      </c>
      <c r="FN79" s="302">
        <f>BZ79/ER78</f>
        <v>0.10475649401887448</v>
      </c>
      <c r="FO79" s="302">
        <f>CA79/ES78</f>
        <v>0.15080169183512651</v>
      </c>
      <c r="FP79" s="302">
        <f>CB79/ET78</f>
        <v>0.17032426679599619</v>
      </c>
      <c r="FQ79" s="302">
        <f>CC79/EU78</f>
        <v>8.6923520851106537E-2</v>
      </c>
      <c r="FR79" s="302">
        <f>CD79/EV78</f>
        <v>7.9230605881103797E-2</v>
      </c>
      <c r="FS79" s="302">
        <f>CF79/EW78</f>
        <v>0.11749582965361594</v>
      </c>
      <c r="FT79" s="302">
        <f>CG79/EX78</f>
        <v>0.12139678229291267</v>
      </c>
      <c r="FU79" s="302">
        <f>CH79/EY78</f>
        <v>9.2106281269049226E-2</v>
      </c>
    </row>
    <row r="80" spans="2:177">
      <c r="B80" s="288">
        <v>2004</v>
      </c>
      <c r="C80" s="344">
        <v>10540.9</v>
      </c>
      <c r="D80" s="352">
        <v>1283.3</v>
      </c>
      <c r="E80" s="343">
        <f>D80/C80</f>
        <v>0.12174482254835925</v>
      </c>
      <c r="F80" s="333">
        <f>D80-(G80+I80)</f>
        <v>0</v>
      </c>
      <c r="G80" s="278">
        <f>D80-I80</f>
        <v>1078.3</v>
      </c>
      <c r="H80" s="302">
        <f>G80/C80</f>
        <v>0.10229676782817407</v>
      </c>
      <c r="I80" s="333">
        <v>205</v>
      </c>
      <c r="J80" s="343">
        <f>I80/C80</f>
        <v>1.9448054720185185E-2</v>
      </c>
      <c r="K80" s="361">
        <f>I80/D80</f>
        <v>0.15974440894568689</v>
      </c>
      <c r="L80" s="371">
        <v>328.1</v>
      </c>
      <c r="M80" s="343">
        <f>L80/C80</f>
        <v>3.1126374408257364E-2</v>
      </c>
      <c r="N80" s="370">
        <f>L80/D80</f>
        <v>0.25566897841502378</v>
      </c>
      <c r="O80" s="352">
        <f>D80</f>
        <v>1283.3</v>
      </c>
      <c r="P80" s="366">
        <f>O80-(Q80+R80+T80+U80+X80-V80)</f>
        <v>0</v>
      </c>
      <c r="Q80" s="278">
        <v>1075.7</v>
      </c>
      <c r="R80" s="376">
        <v>217.1</v>
      </c>
      <c r="S80" s="374">
        <f>R80/D80</f>
        <v>0.16917322527857867</v>
      </c>
      <c r="T80" s="292">
        <v>20.5</v>
      </c>
      <c r="U80" s="292">
        <v>28.700000000000003</v>
      </c>
      <c r="V80" s="372">
        <v>170.8</v>
      </c>
      <c r="W80" s="374">
        <f>V80/D80</f>
        <v>0.13309436608743086</v>
      </c>
      <c r="X80" s="366">
        <f>O80-(Q80+R80+T80+U80-V80)</f>
        <v>112.09999999999991</v>
      </c>
      <c r="Y80" s="367">
        <v>218.70493999999999</v>
      </c>
      <c r="Z80" s="366">
        <f>Z81*Y80/Y81</f>
        <v>-16.701052279347163</v>
      </c>
      <c r="AA80" s="366"/>
      <c r="AB80" s="366"/>
      <c r="AC80" s="366">
        <f>Y80+Z80</f>
        <v>202.00388772065284</v>
      </c>
      <c r="AD80" s="302">
        <f>AC80/D80</f>
        <v>0.15740971535934922</v>
      </c>
      <c r="AE80" s="278">
        <v>226.816</v>
      </c>
      <c r="AF80" s="278">
        <v>193.8174093045711</v>
      </c>
      <c r="AG80" s="326">
        <v>306.10000000000002</v>
      </c>
      <c r="AH80" s="295">
        <f>AG80/C80</f>
        <v>2.9039266096822856E-2</v>
      </c>
      <c r="AI80" s="295">
        <f>(AG80-AN80)/C80</f>
        <v>2.7322145167869918E-2</v>
      </c>
      <c r="AJ80" s="357">
        <f>AG80-(AK80+AL80+AM80+AN80)</f>
        <v>-0.10000000000002274</v>
      </c>
      <c r="AK80" s="288">
        <v>232.3</v>
      </c>
      <c r="AL80" s="288">
        <v>41.7</v>
      </c>
      <c r="AM80" s="290">
        <v>14.1</v>
      </c>
      <c r="AN80" s="288">
        <v>18.100000000000001</v>
      </c>
      <c r="AO80" s="372">
        <v>57.8</v>
      </c>
      <c r="AP80" s="333">
        <v>211.59875</v>
      </c>
      <c r="AQ80" s="333">
        <v>61.156799999999997</v>
      </c>
      <c r="AR80" s="333"/>
      <c r="AS80" s="333"/>
      <c r="AT80" s="361">
        <f>(O80-AG80)/C80</f>
        <v>9.2705556451536386E-2</v>
      </c>
      <c r="AU80" s="360">
        <v>0.35</v>
      </c>
      <c r="AV80" s="359">
        <f>(AK80+AL80)/(G80+L80-T80)</f>
        <v>0.19770546215455659</v>
      </c>
      <c r="AW80" s="353">
        <f>(AK80+AL80)/(G80+L80-T80-AE80)</f>
        <v>0.2363935659538049</v>
      </c>
      <c r="AX80" s="302">
        <f>(AG80-AN80-AM80)/(G80+L80-T80+V80)</f>
        <v>0.17594912314511466</v>
      </c>
      <c r="AY80" s="296">
        <f>(AG80-AN80-AM80+AO80)/(G80+L80-T80+AO80)</f>
        <v>0.22975687469695918</v>
      </c>
      <c r="AZ80" s="353">
        <f>(AG80-AN80-AM80+AO80)/(G80+L80-T80+AO80-AC80)</f>
        <v>0.26713460461038852</v>
      </c>
      <c r="BA80" s="302">
        <f>(AG80-AN80)/Q80</f>
        <v>0.26773263921167612</v>
      </c>
      <c r="BB80" s="302">
        <f>(AG80-AN80)/(Q80+R80)</f>
        <v>0.22277227722772278</v>
      </c>
      <c r="BC80" s="358">
        <f>D80</f>
        <v>1283.3</v>
      </c>
      <c r="BD80" s="357">
        <f>BC80-(BE80+BF80+BG80)</f>
        <v>-0.10000000000013642</v>
      </c>
      <c r="BE80" s="356">
        <f>AG80</f>
        <v>306.10000000000002</v>
      </c>
      <c r="BF80" s="314">
        <v>564.1</v>
      </c>
      <c r="BG80" s="314">
        <v>413.2</v>
      </c>
      <c r="BH80" s="302">
        <f>BG80/D80</f>
        <v>0.32198238915296501</v>
      </c>
      <c r="BI80" s="288">
        <v>270.39999999999998</v>
      </c>
      <c r="BJ80" s="288">
        <f>BG80-BI80</f>
        <v>142.80000000000001</v>
      </c>
      <c r="BK80" s="302">
        <f>BJ80/D80</f>
        <v>0.11127561754850776</v>
      </c>
      <c r="BL80" s="302">
        <f>DD80/(D80)</f>
        <v>4.8919192706304064E-2</v>
      </c>
      <c r="BM80" s="302">
        <f>DD80/(CV80+CW80)</f>
        <v>0.28133402645825117</v>
      </c>
      <c r="BN80" s="302">
        <f>CQ80*DF80</f>
        <v>0.27514298862665182</v>
      </c>
      <c r="BO80" s="302">
        <f>BJ80/I80</f>
        <v>0.6965853658536586</v>
      </c>
      <c r="BP80" s="294">
        <v>81.555000000000007</v>
      </c>
      <c r="BQ80" s="355">
        <f>L80</f>
        <v>328.1</v>
      </c>
      <c r="BR80" s="333">
        <f>BQ80-(BS80+BT80+BU80)</f>
        <v>0</v>
      </c>
      <c r="BS80" s="278">
        <f>BQ80-BT80-BU80</f>
        <v>29.551000000000045</v>
      </c>
      <c r="BT80" s="278">
        <v>54.087000000000003</v>
      </c>
      <c r="BU80" s="278">
        <v>244.46199999999999</v>
      </c>
      <c r="BV80" s="278">
        <v>21.318000000000001</v>
      </c>
      <c r="BW80" s="302">
        <f>BT80/BQ80</f>
        <v>0.16484913136238952</v>
      </c>
      <c r="BX80" s="315">
        <v>228.16499999999999</v>
      </c>
      <c r="BY80" s="314">
        <v>14.227</v>
      </c>
      <c r="BZ80" s="314">
        <v>30.132000000000001</v>
      </c>
      <c r="CA80" s="314">
        <v>8.6649999999999991</v>
      </c>
      <c r="CB80" s="314">
        <v>14.494</v>
      </c>
      <c r="CC80" s="314">
        <f>CD80+CE80</f>
        <v>22.012</v>
      </c>
      <c r="CD80" s="314">
        <v>10.086</v>
      </c>
      <c r="CE80" s="314">
        <v>11.926</v>
      </c>
      <c r="CF80" s="314">
        <v>8.6189999999999998</v>
      </c>
      <c r="CG80" s="314">
        <f>BY80+BZ80+CA80+CB80+CD80+CE80+CF80</f>
        <v>98.149000000000001</v>
      </c>
      <c r="CH80" s="314">
        <f>BX80-CG80</f>
        <v>130.01599999999999</v>
      </c>
      <c r="CI80" s="302">
        <f>BY80/$BX80</f>
        <v>6.235399820305481E-2</v>
      </c>
      <c r="CJ80" s="302">
        <f>BZ80/$BX80</f>
        <v>0.13206232331865098</v>
      </c>
      <c r="CK80" s="302">
        <f>CA80/$BX80</f>
        <v>3.7976902680078015E-2</v>
      </c>
      <c r="CL80" s="302">
        <f>CB80/$BX80</f>
        <v>6.3524203975193386E-2</v>
      </c>
      <c r="CM80" s="300">
        <f>CN80+CO80</f>
        <v>9.6474042907544993E-2</v>
      </c>
      <c r="CN80" s="302">
        <f>CD80/$BX80</f>
        <v>4.4204851752021566E-2</v>
      </c>
      <c r="CO80" s="302">
        <f>CE80/$BX80</f>
        <v>5.226919115552342E-2</v>
      </c>
      <c r="CP80" s="302">
        <f>CF80/$BX80</f>
        <v>3.7775294194990469E-2</v>
      </c>
      <c r="CQ80" s="302">
        <f>CG80/$BX80</f>
        <v>0.43016676527951264</v>
      </c>
      <c r="CR80" s="302">
        <f>CQ80*N80</f>
        <v>0.10998029742710833</v>
      </c>
      <c r="CS80" s="342">
        <f>BX80</f>
        <v>228.16499999999999</v>
      </c>
      <c r="CT80" s="355">
        <f>BX80</f>
        <v>228.16499999999999</v>
      </c>
      <c r="CU80" s="333">
        <f>CT80-(CV80+CW80)</f>
        <v>5.0209999999999866</v>
      </c>
      <c r="CV80" s="347">
        <v>81.555000000000007</v>
      </c>
      <c r="CW80" s="315">
        <v>141.589</v>
      </c>
      <c r="CX80" s="314">
        <v>7.7119999999999997</v>
      </c>
      <c r="CY80" s="314">
        <v>22.207000000000001</v>
      </c>
      <c r="CZ80" s="314">
        <v>2.84</v>
      </c>
      <c r="DA80" s="314">
        <v>10.361000000000001</v>
      </c>
      <c r="DB80" s="314">
        <v>13.355</v>
      </c>
      <c r="DC80" s="314">
        <v>6.3029999999999999</v>
      </c>
      <c r="DD80" s="315">
        <f>DC80+DB80+DA80+CZ80+CY80+CX80</f>
        <v>62.778000000000006</v>
      </c>
      <c r="DE80" s="315"/>
      <c r="DF80" s="302">
        <f>DD80/CG80</f>
        <v>0.63961935424711414</v>
      </c>
      <c r="DG80" s="314">
        <f>CW80-DD80</f>
        <v>78.810999999999993</v>
      </c>
      <c r="DH80" s="302">
        <f>DD80/CW80</f>
        <v>0.44338190113638776</v>
      </c>
      <c r="DI80" s="302">
        <f>CW80/(CW80+CV80)</f>
        <v>0.63451851719069297</v>
      </c>
      <c r="DJ80" s="325">
        <v>294.90499999999997</v>
      </c>
      <c r="DK80" s="322">
        <v>8.7810000000000006</v>
      </c>
      <c r="DL80" s="322">
        <v>31.454999999999998</v>
      </c>
      <c r="DM80" s="322">
        <v>3.1779999999999999</v>
      </c>
      <c r="DN80" s="322">
        <v>12.234999999999999</v>
      </c>
      <c r="DO80" s="322">
        <v>19.12</v>
      </c>
      <c r="DP80" s="322">
        <v>4.3650000000000002</v>
      </c>
      <c r="DQ80" s="440">
        <f>(DQ81+DQ79)/2</f>
        <v>4.3259999999999996</v>
      </c>
      <c r="DR80" s="314">
        <f>DQ80+DO80+DN80+DM80+DL80+DK80</f>
        <v>79.094999999999999</v>
      </c>
      <c r="DS80" s="314">
        <f>DJ80-DR80</f>
        <v>215.80999999999997</v>
      </c>
      <c r="DT80" s="300">
        <f>DR80/DJ80</f>
        <v>0.26820501517437823</v>
      </c>
      <c r="DU80" s="325">
        <f>DJ80-CW80</f>
        <v>153.31599999999997</v>
      </c>
      <c r="DV80" s="314">
        <v>153.316</v>
      </c>
      <c r="DW80" s="314">
        <f>DK80-CX80</f>
        <v>1.0690000000000008</v>
      </c>
      <c r="DX80" s="314">
        <f>DL80-CY80</f>
        <v>9.2479999999999976</v>
      </c>
      <c r="DY80" s="314">
        <f>DM80-CZ80</f>
        <v>0.33800000000000008</v>
      </c>
      <c r="DZ80" s="314">
        <f>DN80-DA80</f>
        <v>1.8739999999999988</v>
      </c>
      <c r="EA80" s="314">
        <f>DO80-DB80</f>
        <v>5.7650000000000006</v>
      </c>
      <c r="EB80" s="314">
        <f>DQ80-DC80</f>
        <v>-1.9770000000000003</v>
      </c>
      <c r="EC80" s="314">
        <f>EB80+EA80+DZ80+DY80+DX80+DW80</f>
        <v>16.317</v>
      </c>
      <c r="ED80" s="314">
        <f>DU80-EC80</f>
        <v>136.99899999999997</v>
      </c>
      <c r="EE80" s="302">
        <f>EC80/DU80</f>
        <v>0.10642724829763367</v>
      </c>
      <c r="EF80" s="315">
        <v>133.27699999999999</v>
      </c>
      <c r="EG80" s="314">
        <v>0.54200000000000004</v>
      </c>
      <c r="EH80" s="314">
        <v>8.9870000000000001</v>
      </c>
      <c r="EI80" s="314">
        <v>7.8E-2</v>
      </c>
      <c r="EJ80" s="314">
        <v>1.5529999999999999</v>
      </c>
      <c r="EK80" s="314">
        <v>7.1260000000000003</v>
      </c>
      <c r="EL80" s="323">
        <f>(EL79+EL81)/2</f>
        <v>0.15350000000000003</v>
      </c>
      <c r="EM80" s="314">
        <f>EL80+EK80+EJ80+EI80+EH80+EG80</f>
        <v>18.439500000000002</v>
      </c>
      <c r="EN80" s="314">
        <f>EF80-EM80</f>
        <v>114.83749999999998</v>
      </c>
      <c r="EO80" s="302">
        <f>EM80/EF80</f>
        <v>0.13835470486280457</v>
      </c>
      <c r="EP80" s="352">
        <v>2160.8440000000001</v>
      </c>
      <c r="EQ80" s="278">
        <v>72.906999999999996</v>
      </c>
      <c r="ER80" s="278">
        <v>219.38399999999999</v>
      </c>
      <c r="ES80" s="278">
        <v>83.634</v>
      </c>
      <c r="ET80" s="278">
        <v>121.79</v>
      </c>
      <c r="EU80" s="278">
        <v>209.81</v>
      </c>
      <c r="EV80" s="278">
        <v>100.85599999999999</v>
      </c>
      <c r="EW80" s="278">
        <v>61.076000000000001</v>
      </c>
      <c r="EX80" s="278">
        <f>EW80+EU80+ET80+ES80+ER80+EQ80</f>
        <v>768.60100000000011</v>
      </c>
      <c r="EY80" s="278">
        <f>EP80-EX80</f>
        <v>1392.2429999999999</v>
      </c>
      <c r="EZ80" s="302">
        <f>EX80/EP80</f>
        <v>0.35569481184203955</v>
      </c>
      <c r="FA80" s="308">
        <f>(BX80+(EP80-EP79)-DJ80)/EP79</f>
        <v>0.18336834098754923</v>
      </c>
      <c r="FB80" s="302">
        <f>(BY80+(EQ80-EQ79)-DK80)/EQ79</f>
        <v>0.29286845752755586</v>
      </c>
      <c r="FC80" s="302">
        <f>(BZ80+(ER80-ER79)-DL80)/ER79</f>
        <v>0.17006857474002757</v>
      </c>
      <c r="FD80" s="302">
        <f>(CA80+(ES80-ES79)-DM80)/ES79</f>
        <v>0.3048844768514451</v>
      </c>
      <c r="FE80" s="302">
        <f>(CB80+(ET80-ET79)-DN80)/ET79</f>
        <v>0.33745552560646908</v>
      </c>
      <c r="FF80" s="302">
        <f>(CC80+(EU80-EU79)-DO80)/EU79</f>
        <v>0.27887974314419889</v>
      </c>
      <c r="FG80" s="302">
        <f>(CD80+(EV80-EV79)-DP80)/EV79</f>
        <v>0.26114687366876504</v>
      </c>
      <c r="FH80" s="302">
        <f>(CF80+(EW80-EW79)-DQ80)/EW79</f>
        <v>0.28041447123577468</v>
      </c>
      <c r="FI80" s="302">
        <f>(CG80+(EX80-EX79)-DR80)/EX79</f>
        <v>0.25946209565231315</v>
      </c>
      <c r="FJ80" s="302">
        <f>(CH80+(EY80-EY79)-DS80)/EY79</f>
        <v>0.14177830720060686</v>
      </c>
      <c r="FK80" s="302">
        <f>(CH80+AO80+(EY80-EY79)-DS80)/EY79</f>
        <v>0.19229293590497656</v>
      </c>
      <c r="FL80" s="296">
        <f>BX80/EP79</f>
        <v>0.12893497052745431</v>
      </c>
      <c r="FM80" s="302">
        <f>BY80/EQ79</f>
        <v>0.23475348161837503</v>
      </c>
      <c r="FN80" s="302">
        <f>BZ80/ER79</f>
        <v>0.16168185183992789</v>
      </c>
      <c r="FO80" s="302">
        <f>CA80/ES79</f>
        <v>0.12687047936982049</v>
      </c>
      <c r="FP80" s="302">
        <f>CB80/ET79</f>
        <v>0.15626954177897573</v>
      </c>
      <c r="FQ80" s="302">
        <f>CC80/EU79</f>
        <v>0.13234807809089763</v>
      </c>
      <c r="FR80" s="302">
        <f>CD80/EV79</f>
        <v>0.11934964737066314</v>
      </c>
      <c r="FS80" s="302">
        <f>CF80/EW79</f>
        <v>0.16882455487434628</v>
      </c>
      <c r="FT80" s="302">
        <f>CG80/EX79</f>
        <v>0.15694046914725213</v>
      </c>
      <c r="FU80" s="302">
        <f>CH80/EY79</f>
        <v>0.11362820009735865</v>
      </c>
    </row>
    <row r="81" spans="1:177" s="406" customFormat="1">
      <c r="B81" s="421">
        <v>2005</v>
      </c>
      <c r="C81" s="439">
        <v>11239.8</v>
      </c>
      <c r="D81" s="411">
        <v>1477.7</v>
      </c>
      <c r="E81" s="437">
        <f>D81/C81</f>
        <v>0.13147031085962385</v>
      </c>
      <c r="F81" s="333">
        <f>D81-(G81+I81)</f>
        <v>0</v>
      </c>
      <c r="G81" s="410">
        <f>D81-I81</f>
        <v>1238.6000000000001</v>
      </c>
      <c r="H81" s="407">
        <f>G81/C81</f>
        <v>0.11019769035036213</v>
      </c>
      <c r="I81" s="417">
        <v>239.1</v>
      </c>
      <c r="J81" s="437">
        <f>I81/C81</f>
        <v>2.1272620509261733E-2</v>
      </c>
      <c r="K81" s="428">
        <f>I81/D81</f>
        <v>0.16180550856060091</v>
      </c>
      <c r="L81" s="438">
        <v>383.7</v>
      </c>
      <c r="M81" s="437">
        <f>L81/C81</f>
        <v>3.413761810708376E-2</v>
      </c>
      <c r="N81" s="436">
        <f>L81/D81</f>
        <v>0.25966028287203086</v>
      </c>
      <c r="O81" s="352">
        <f>D81</f>
        <v>1477.7</v>
      </c>
      <c r="P81" s="366">
        <f>O81-(Q81+R81+T81+U81+X81-V81)</f>
        <v>0</v>
      </c>
      <c r="Q81" s="410">
        <v>1892</v>
      </c>
      <c r="R81" s="435">
        <v>264.89999999999998</v>
      </c>
      <c r="S81" s="433">
        <f>R81/D81</f>
        <v>0.17926507410164444</v>
      </c>
      <c r="T81" s="434">
        <v>27.1</v>
      </c>
      <c r="U81" s="434">
        <v>-175.6</v>
      </c>
      <c r="V81" s="429">
        <v>246.1</v>
      </c>
      <c r="W81" s="433">
        <f>V81/D81</f>
        <v>0.16654259998646545</v>
      </c>
      <c r="X81" s="366">
        <f>O81-(Q81+R81+T81+U81-V81)</f>
        <v>-284.60000000000014</v>
      </c>
      <c r="Y81" s="367">
        <v>284.69617299999999</v>
      </c>
      <c r="Z81" s="366">
        <f>Z82*Y81/Y82</f>
        <v>-21.740367039734288</v>
      </c>
      <c r="AA81" s="366"/>
      <c r="AB81" s="366"/>
      <c r="AC81" s="366">
        <f>Y81+Z81</f>
        <v>262.95580596026571</v>
      </c>
      <c r="AD81" s="407">
        <f>AC81/D81</f>
        <v>0.17794938482795269</v>
      </c>
      <c r="AE81" s="410">
        <v>268.01299999999998</v>
      </c>
      <c r="AF81" s="410">
        <v>242.98299554536288</v>
      </c>
      <c r="AG81" s="432">
        <v>412.4</v>
      </c>
      <c r="AH81" s="431">
        <f>AG81/C81</f>
        <v>3.6691044324632112E-2</v>
      </c>
      <c r="AI81" s="431">
        <f>(AG81-AN81)/C81</f>
        <v>3.4778198900336302E-2</v>
      </c>
      <c r="AJ81" s="357">
        <f>AG81-(AK81+AL81+AM81+AN81)</f>
        <v>0</v>
      </c>
      <c r="AK81" s="421">
        <v>319.49999999999994</v>
      </c>
      <c r="AL81" s="421">
        <v>54.9</v>
      </c>
      <c r="AM81" s="430">
        <v>16.5</v>
      </c>
      <c r="AN81" s="421">
        <v>21.5</v>
      </c>
      <c r="AO81" s="429">
        <v>82.9</v>
      </c>
      <c r="AP81" s="417">
        <v>297.19024999999999</v>
      </c>
      <c r="AQ81" s="417">
        <v>111.609398</v>
      </c>
      <c r="AR81" s="417"/>
      <c r="AS81" s="417"/>
      <c r="AT81" s="428">
        <f>(O81-AG81)/C81</f>
        <v>9.4779266534991746E-2</v>
      </c>
      <c r="AU81" s="427">
        <v>0.35</v>
      </c>
      <c r="AV81" s="426">
        <f>(AK81+AL81)/(G81+L81-T81)</f>
        <v>0.23470411233701094</v>
      </c>
      <c r="AW81" s="425">
        <f>(AK81+AL81)/(G81+L81-T81-AE81)</f>
        <v>0.2821004123759499</v>
      </c>
      <c r="AX81" s="407">
        <f>(AG81-AN81-AM81)/(G81+L81-T81+V81)</f>
        <v>0.20333460055395641</v>
      </c>
      <c r="AY81" s="408">
        <f>(AG81-AN81-AM81+AO81)/(G81+L81-T81+AO81)</f>
        <v>0.27251057743876994</v>
      </c>
      <c r="AZ81" s="425">
        <f>(AG81-AN81-AM81+AO81)/(G81+L81-T81+AO81-AC81)</f>
        <v>0.32314728204097043</v>
      </c>
      <c r="BA81" s="407">
        <f>(AG81-AN81)/Q81</f>
        <v>0.20660676532769554</v>
      </c>
      <c r="BB81" s="407">
        <f>(AG81-AN81)/(Q81+R81)</f>
        <v>0.18123232416894616</v>
      </c>
      <c r="BC81" s="424">
        <f>D81</f>
        <v>1477.7</v>
      </c>
      <c r="BD81" s="423">
        <f>BC81-(BE81+BF81+BG81)</f>
        <v>0</v>
      </c>
      <c r="BE81" s="422">
        <f>AG81</f>
        <v>412.4</v>
      </c>
      <c r="BF81" s="412">
        <v>580.5</v>
      </c>
      <c r="BG81" s="412">
        <v>484.8</v>
      </c>
      <c r="BH81" s="407">
        <f>BG81/D81</f>
        <v>0.32807741760844555</v>
      </c>
      <c r="BI81" s="421">
        <v>506.6</v>
      </c>
      <c r="BJ81" s="421">
        <f>BG81-BI81</f>
        <v>-21.800000000000011</v>
      </c>
      <c r="BK81" s="407">
        <f>BJ81/D81</f>
        <v>-1.4752656154835224E-2</v>
      </c>
      <c r="BL81" s="407">
        <f>DD81/(D81)</f>
        <v>-4.7830412126954047E-2</v>
      </c>
      <c r="BM81" s="407">
        <f>DD81/(CV81+CW81)</f>
        <v>-0.26419093185810938</v>
      </c>
      <c r="BN81" s="407">
        <f>CQ81*DF81</f>
        <v>-0.2599668232325647</v>
      </c>
      <c r="BO81" s="407">
        <f>BJ81/I81</f>
        <v>-9.11752404851527E-2</v>
      </c>
      <c r="BP81" s="420">
        <v>298.71199999999999</v>
      </c>
      <c r="BQ81" s="418">
        <f>L81</f>
        <v>383.7</v>
      </c>
      <c r="BR81" s="417">
        <f>BQ81-(BS81+BT81+BU81)</f>
        <v>0</v>
      </c>
      <c r="BS81" s="410">
        <f>BQ81-BT81-BU81</f>
        <v>30.675999999999988</v>
      </c>
      <c r="BT81" s="410">
        <v>64.628</v>
      </c>
      <c r="BU81" s="410">
        <v>288.39600000000002</v>
      </c>
      <c r="BV81" s="410">
        <v>20.866</v>
      </c>
      <c r="BW81" s="407">
        <f>BT81/BQ81</f>
        <v>0.16843367213969249</v>
      </c>
      <c r="BX81" s="413">
        <v>271.87700000000001</v>
      </c>
      <c r="BY81" s="412">
        <v>17.082000000000001</v>
      </c>
      <c r="BZ81" s="412">
        <v>33.887999999999998</v>
      </c>
      <c r="CA81" s="412">
        <v>12.212</v>
      </c>
      <c r="CB81" s="412">
        <v>15.340999999999999</v>
      </c>
      <c r="CC81" s="412">
        <f>CD81+CE81</f>
        <v>27.555</v>
      </c>
      <c r="CD81" s="412">
        <v>11.547000000000001</v>
      </c>
      <c r="CE81" s="412">
        <v>16.007999999999999</v>
      </c>
      <c r="CF81" s="412">
        <v>15.808999999999999</v>
      </c>
      <c r="CG81" s="412">
        <f>BY81+BZ81+CA81+CB81+CD81+CE81+CF81</f>
        <v>121.88699999999999</v>
      </c>
      <c r="CH81" s="412">
        <f>BX81-CG81</f>
        <v>149.99</v>
      </c>
      <c r="CI81" s="407">
        <f>BY81/$BX81</f>
        <v>6.2829882630748471E-2</v>
      </c>
      <c r="CJ81" s="407">
        <f>BZ81/$BX81</f>
        <v>0.12464460031558387</v>
      </c>
      <c r="CK81" s="407">
        <f>CA81/$BX81</f>
        <v>4.4917370722790083E-2</v>
      </c>
      <c r="CL81" s="407">
        <f>CB81/$BX81</f>
        <v>5.6426251576999889E-2</v>
      </c>
      <c r="CM81" s="415">
        <f>CN81+CO81</f>
        <v>0.10135097856751399</v>
      </c>
      <c r="CN81" s="407">
        <f>CD81/$BX81</f>
        <v>4.247141170455758E-2</v>
      </c>
      <c r="CO81" s="407">
        <f>CE81/$BX81</f>
        <v>5.8879566862956402E-2</v>
      </c>
      <c r="CP81" s="407">
        <f>CF81/$BX81</f>
        <v>5.8147618224417656E-2</v>
      </c>
      <c r="CQ81" s="407">
        <f>CG81/$BX81</f>
        <v>0.4483167020380539</v>
      </c>
      <c r="CR81" s="407">
        <f>CQ81*N81</f>
        <v>0.11641004166745705</v>
      </c>
      <c r="CS81" s="419">
        <f>BX81</f>
        <v>271.87700000000001</v>
      </c>
      <c r="CT81" s="418">
        <f>BX81</f>
        <v>271.87700000000001</v>
      </c>
      <c r="CU81" s="417">
        <f>CT81-(CV81+CW81)</f>
        <v>4.3470000000000368</v>
      </c>
      <c r="CV81" s="347">
        <v>298.71199999999999</v>
      </c>
      <c r="CW81" s="413">
        <v>-31.181999999999999</v>
      </c>
      <c r="CX81" s="412">
        <v>-3.2570000000000001</v>
      </c>
      <c r="CY81" s="412">
        <v>-33.847999999999999</v>
      </c>
      <c r="CZ81" s="412">
        <v>-5.9530000000000003</v>
      </c>
      <c r="DA81" s="412">
        <v>-7.3659999999999997</v>
      </c>
      <c r="DB81" s="412">
        <v>-15.618</v>
      </c>
      <c r="DC81" s="412">
        <v>-4.6369999999999996</v>
      </c>
      <c r="DD81" s="413">
        <f>DC81+DB81+DA81+CZ81+CY81+CX81</f>
        <v>-70.679000000000002</v>
      </c>
      <c r="DE81" s="413"/>
      <c r="DF81" s="407">
        <f>DD81/CG81</f>
        <v>-0.57987316120669152</v>
      </c>
      <c r="DG81" s="412">
        <f>CW81-DD81</f>
        <v>39.497</v>
      </c>
      <c r="DH81" s="407">
        <f>DD81/CW81</f>
        <v>2.2666602527098969</v>
      </c>
      <c r="DI81" s="407">
        <f>CW81/(CW81+CV81)</f>
        <v>-0.11655515269315592</v>
      </c>
      <c r="DJ81" s="414">
        <v>15.369</v>
      </c>
      <c r="DK81" s="416">
        <v>-15.041</v>
      </c>
      <c r="DL81" s="416">
        <v>-19.283999999999999</v>
      </c>
      <c r="DM81" s="416">
        <v>-8.7970000000000006</v>
      </c>
      <c r="DN81" s="416">
        <v>-8.5449999999999999</v>
      </c>
      <c r="DO81" s="416">
        <v>-14.145</v>
      </c>
      <c r="DP81" s="416">
        <v>-1</v>
      </c>
      <c r="DQ81" s="416">
        <v>3.206</v>
      </c>
      <c r="DR81" s="412">
        <f>DQ81+DO81+DN81+DM81+DL81+DK81</f>
        <v>-62.605999999999995</v>
      </c>
      <c r="DS81" s="412">
        <f>DJ81-DR81</f>
        <v>77.974999999999994</v>
      </c>
      <c r="DT81" s="415">
        <f>DR81/DJ81</f>
        <v>-4.0735246274969095</v>
      </c>
      <c r="DU81" s="414">
        <f>DJ81-CW81</f>
        <v>46.551000000000002</v>
      </c>
      <c r="DV81" s="412">
        <v>46.551000000000002</v>
      </c>
      <c r="DW81" s="412">
        <f>DK81-CX81</f>
        <v>-11.784000000000001</v>
      </c>
      <c r="DX81" s="412">
        <f>DL81-CY81</f>
        <v>14.564</v>
      </c>
      <c r="DY81" s="412">
        <f>DM81-CZ81</f>
        <v>-2.8440000000000003</v>
      </c>
      <c r="DZ81" s="412">
        <f>DN81-DA81</f>
        <v>-1.1790000000000003</v>
      </c>
      <c r="EA81" s="412">
        <f>DO81-DB81</f>
        <v>1.4730000000000008</v>
      </c>
      <c r="EB81" s="412">
        <f>DQ81-DC81</f>
        <v>7.843</v>
      </c>
      <c r="EC81" s="412">
        <f>EB81+EA81+DZ81+DY81+DX81+DW81</f>
        <v>8.0729999999999986</v>
      </c>
      <c r="ED81" s="412">
        <f>DU81-EC81</f>
        <v>38.478000000000002</v>
      </c>
      <c r="EE81" s="407">
        <f>EC81/DU81</f>
        <v>0.17342269768640842</v>
      </c>
      <c r="EF81" s="413">
        <v>61.936999999999998</v>
      </c>
      <c r="EG81" s="412">
        <v>0.77100000000000002</v>
      </c>
      <c r="EH81" s="412">
        <v>0.27600000000000002</v>
      </c>
      <c r="EI81" s="412">
        <v>3.9860000000000002</v>
      </c>
      <c r="EJ81" s="412">
        <v>0.97</v>
      </c>
      <c r="EK81" s="412">
        <v>2.4830000000000001</v>
      </c>
      <c r="EL81" s="412">
        <v>1.298</v>
      </c>
      <c r="EM81" s="412">
        <f>EL81+EK81+EJ81+EI81+EH81+EG81</f>
        <v>9.7840000000000007</v>
      </c>
      <c r="EN81" s="412">
        <f>EF81-EM81</f>
        <v>52.152999999999999</v>
      </c>
      <c r="EO81" s="407">
        <f>EM81/EF81</f>
        <v>0.1579669664336342</v>
      </c>
      <c r="EP81" s="411">
        <v>2241.6559999999999</v>
      </c>
      <c r="EQ81" s="410">
        <v>55.173000000000002</v>
      </c>
      <c r="ER81" s="410">
        <v>240.20500000000001</v>
      </c>
      <c r="ES81" s="410">
        <v>79.936999999999998</v>
      </c>
      <c r="ET81" s="410">
        <v>100.69199999999999</v>
      </c>
      <c r="EU81" s="410">
        <v>223.77500000000001</v>
      </c>
      <c r="EV81" s="410">
        <v>113.22199999999999</v>
      </c>
      <c r="EW81" s="410">
        <v>76.39</v>
      </c>
      <c r="EX81" s="410">
        <f>EW81+EU81+ET81+ES81+ER81+EQ81</f>
        <v>776.17200000000003</v>
      </c>
      <c r="EY81" s="410">
        <f>EP81-EX81</f>
        <v>1465.4839999999999</v>
      </c>
      <c r="EZ81" s="407">
        <f>EX81/EP81</f>
        <v>0.3462493799227</v>
      </c>
      <c r="FA81" s="409">
        <f>(BX81+(EP81-EP80)-DJ81)/EP80</f>
        <v>0.1561056698216067</v>
      </c>
      <c r="FB81" s="407">
        <f>(BY81+(EQ81-EQ80)-DK81)/EQ80</f>
        <v>0.19736102157543181</v>
      </c>
      <c r="FC81" s="407">
        <f>(BZ81+(ER81-ER80)-DL81)/ER80</f>
        <v>0.33727619151806892</v>
      </c>
      <c r="FD81" s="407">
        <f>(CA81+(ES81-ES80)-DM81)/ES80</f>
        <v>0.20699715426740317</v>
      </c>
      <c r="FE81" s="407">
        <f>(CB81+(ET81-ET80)-DN81)/ET80</f>
        <v>2.2891863042942655E-2</v>
      </c>
      <c r="FF81" s="407">
        <f>(CC81+(EU81-EU80)-DO81)/EU80</f>
        <v>0.26531147228444785</v>
      </c>
      <c r="FG81" s="407">
        <f>(CD81+(EV81-EV80)-DP81)/EV80</f>
        <v>0.24701554691837868</v>
      </c>
      <c r="FH81" s="407">
        <f>(CF81+(EW81-EW80)-DQ81)/EW80</f>
        <v>0.45708625319274343</v>
      </c>
      <c r="FI81" s="407">
        <f>(CG81+(EX81-EX80)-DR81)/EX80</f>
        <v>0.24988778312804677</v>
      </c>
      <c r="FJ81" s="407">
        <f>(CH81+(EY81-EY80)-DS81)/EY80</f>
        <v>0.10433236152022313</v>
      </c>
      <c r="FK81" s="407">
        <f>(CH81+AO81+(EY81-EY80)-DS81)/EY80</f>
        <v>0.16387656465142939</v>
      </c>
      <c r="FL81" s="408">
        <f>BX81/EP80</f>
        <v>0.12581981855238045</v>
      </c>
      <c r="FM81" s="407">
        <f>BY81/EQ80</f>
        <v>0.23429848985694104</v>
      </c>
      <c r="FN81" s="407">
        <f>BZ81/ER80</f>
        <v>0.15446887649053714</v>
      </c>
      <c r="FO81" s="407">
        <f>CA81/ES80</f>
        <v>0.14601717005045795</v>
      </c>
      <c r="FP81" s="407">
        <f>CB81/ET80</f>
        <v>0.12596272271943509</v>
      </c>
      <c r="FQ81" s="407">
        <f>CC81/EU80</f>
        <v>0.13133311090987082</v>
      </c>
      <c r="FR81" s="407">
        <f>CD81/EV80</f>
        <v>0.11448996589196479</v>
      </c>
      <c r="FS81" s="407">
        <f>CF81/EW80</f>
        <v>0.25884144344750804</v>
      </c>
      <c r="FT81" s="407">
        <f>CG81/EX80</f>
        <v>0.15858293184630254</v>
      </c>
      <c r="FU81" s="407">
        <f>CH81/EY80</f>
        <v>0.10773263000783628</v>
      </c>
    </row>
    <row r="82" spans="1:177">
      <c r="B82" s="288">
        <v>2006</v>
      </c>
      <c r="C82" s="344">
        <v>12004.8</v>
      </c>
      <c r="D82" s="352">
        <v>1646.5</v>
      </c>
      <c r="E82" s="343">
        <f>D82/C82</f>
        <v>0.13715347194455552</v>
      </c>
      <c r="F82" s="333">
        <f>D82-(G82+I82)</f>
        <v>0</v>
      </c>
      <c r="G82" s="278">
        <f>D82-I82</f>
        <v>1390.3</v>
      </c>
      <c r="H82" s="302">
        <f>G82/C82</f>
        <v>0.11581200852992136</v>
      </c>
      <c r="I82" s="333">
        <v>256.2</v>
      </c>
      <c r="J82" s="343">
        <f>I82/C82</f>
        <v>2.1341463414634148E-2</v>
      </c>
      <c r="K82" s="361">
        <f>I82/D82</f>
        <v>0.155602793805041</v>
      </c>
      <c r="L82" s="371">
        <v>433.8</v>
      </c>
      <c r="M82" s="343">
        <f>L82/C82</f>
        <v>3.6135545781687331E-2</v>
      </c>
      <c r="N82" s="370">
        <f>L82/D82</f>
        <v>0.26346796234436687</v>
      </c>
      <c r="O82" s="352">
        <f>D82</f>
        <v>1646.5</v>
      </c>
      <c r="P82" s="366">
        <f>O82-(Q82+R82+T82+U82+X82-V82)</f>
        <v>0</v>
      </c>
      <c r="Q82" s="278">
        <v>1900.3</v>
      </c>
      <c r="R82" s="376">
        <v>300</v>
      </c>
      <c r="S82" s="374">
        <f>R82/D82</f>
        <v>0.18220467658669906</v>
      </c>
      <c r="T82" s="292">
        <v>34.4</v>
      </c>
      <c r="U82" s="292">
        <v>-204.89999999999998</v>
      </c>
      <c r="V82" s="372">
        <v>281.5</v>
      </c>
      <c r="W82" s="374">
        <f>V82/D82</f>
        <v>0.17096872153051929</v>
      </c>
      <c r="X82" s="366">
        <f>O82-(Q82+R82+T82+U82-V82)</f>
        <v>-101.80000000000018</v>
      </c>
      <c r="Y82" s="367">
        <v>297.862818</v>
      </c>
      <c r="Z82" s="366">
        <f>Z83*Y82/Y83</f>
        <v>-22.745816786267703</v>
      </c>
      <c r="AA82" s="366"/>
      <c r="AB82" s="366"/>
      <c r="AC82" s="366">
        <f>Y82+Z82</f>
        <v>275.11700121373229</v>
      </c>
      <c r="AD82" s="302">
        <f>AC82/D82</f>
        <v>0.16709201409883528</v>
      </c>
      <c r="AE82" s="278">
        <v>315.673</v>
      </c>
      <c r="AF82" s="278">
        <v>270.4936666286975</v>
      </c>
      <c r="AG82" s="326">
        <v>473.4</v>
      </c>
      <c r="AH82" s="295">
        <f>AG82/C82</f>
        <v>3.9434226309476211E-2</v>
      </c>
      <c r="AI82" s="295">
        <f>(AG82-AN82)/C82</f>
        <v>3.7010195921631343E-2</v>
      </c>
      <c r="AJ82" s="357">
        <f>AG82-(AK82+AL82+AM82+AN82)</f>
        <v>0</v>
      </c>
      <c r="AK82" s="288">
        <v>366</v>
      </c>
      <c r="AL82" s="288">
        <v>59.2</v>
      </c>
      <c r="AM82" s="290">
        <v>19.100000000000001</v>
      </c>
      <c r="AN82" s="288">
        <v>29.1</v>
      </c>
      <c r="AO82" s="372">
        <v>78.8</v>
      </c>
      <c r="AP82" s="333">
        <v>357.99700000000001</v>
      </c>
      <c r="AQ82" s="333"/>
      <c r="AR82" s="333"/>
      <c r="AS82" s="333"/>
      <c r="AT82" s="361">
        <f>(O82-AG82)/C82</f>
        <v>9.7719245635079305E-2</v>
      </c>
      <c r="AU82" s="360">
        <v>0.35</v>
      </c>
      <c r="AV82" s="359">
        <f>(AK82+AL82)/(G82+L82-T82)</f>
        <v>0.23758171760630276</v>
      </c>
      <c r="AW82" s="353">
        <f>(AK82+AL82)/(G82+L82-T82-AE82)</f>
        <v>0.2884614732294592</v>
      </c>
      <c r="AX82" s="302">
        <f>(AG82-AN82-AM82)/(G82+L82-T82+V82)</f>
        <v>0.20529161838547699</v>
      </c>
      <c r="AY82" s="296">
        <f>(AG82-AN82-AM82+AO82)/(G82+L82-T82+AO82)</f>
        <v>0.26973508161626975</v>
      </c>
      <c r="AZ82" s="353">
        <f>(AG82-AN82-AM82+AO82)/(G82+L82-T82+AO82-AC82)</f>
        <v>0.31630813205859065</v>
      </c>
      <c r="BA82" s="302">
        <f>(AG82-AN82)/Q82</f>
        <v>0.23380518865442296</v>
      </c>
      <c r="BB82" s="302">
        <f>(AG82-AN82)/(Q82+R82)</f>
        <v>0.20192700995318816</v>
      </c>
      <c r="BC82" s="358">
        <f>D82</f>
        <v>1646.5</v>
      </c>
      <c r="BD82" s="357">
        <f>BC82-(BE82+BF82+BG82)</f>
        <v>0</v>
      </c>
      <c r="BE82" s="356">
        <f>AG82</f>
        <v>473.4</v>
      </c>
      <c r="BF82" s="314">
        <v>726</v>
      </c>
      <c r="BG82" s="314">
        <v>447.1</v>
      </c>
      <c r="BH82" s="302">
        <f>BG82/D82</f>
        <v>0.2715457030063772</v>
      </c>
      <c r="BI82" s="288">
        <v>268.89999999999998</v>
      </c>
      <c r="BJ82" s="288">
        <f>BG82-BI82</f>
        <v>178.20000000000005</v>
      </c>
      <c r="BK82" s="302">
        <f>BJ82/D82</f>
        <v>0.10822957789249926</v>
      </c>
      <c r="BL82" s="302">
        <f>DD82/(D82)</f>
        <v>5.5517157607045245E-2</v>
      </c>
      <c r="BM82" s="302">
        <f>DD82/(CV82+CW82)</f>
        <v>0.3064064144593498</v>
      </c>
      <c r="BN82" s="302">
        <f>CQ82*DF82</f>
        <v>0.30057478445582902</v>
      </c>
      <c r="BO82" s="302">
        <f>BJ82/I82</f>
        <v>0.69555035128805642</v>
      </c>
      <c r="BP82" s="294">
        <v>101.68600000000001</v>
      </c>
      <c r="BQ82" s="355">
        <f>L82</f>
        <v>433.8</v>
      </c>
      <c r="BR82" s="333">
        <f>BQ82-(BS82+BT82+BU82)</f>
        <v>0</v>
      </c>
      <c r="BS82" s="278">
        <f>BQ82-BT82-BU82</f>
        <v>30.442000000000007</v>
      </c>
      <c r="BT82" s="278">
        <v>84.33</v>
      </c>
      <c r="BU82" s="278">
        <v>319.02800000000002</v>
      </c>
      <c r="BV82" s="278">
        <v>20.702000000000002</v>
      </c>
      <c r="BW82" s="302">
        <f>BT82/BQ82</f>
        <v>0.19439834024896266</v>
      </c>
      <c r="BX82" s="315">
        <v>304.11399999999998</v>
      </c>
      <c r="BY82" s="314">
        <v>17.864999999999998</v>
      </c>
      <c r="BZ82" s="314">
        <v>35.643999999999998</v>
      </c>
      <c r="CA82" s="314">
        <v>17.338000000000001</v>
      </c>
      <c r="CB82" s="314">
        <v>14.231</v>
      </c>
      <c r="CC82" s="314">
        <f>CD82+CE82</f>
        <v>28.606999999999999</v>
      </c>
      <c r="CD82" s="314">
        <v>15.586</v>
      </c>
      <c r="CE82" s="314">
        <v>13.020999999999999</v>
      </c>
      <c r="CF82" s="314">
        <v>15.563000000000001</v>
      </c>
      <c r="CG82" s="314">
        <f>BY82+BZ82+CA82+CB82+CD82+CE82+CF82</f>
        <v>129.24799999999999</v>
      </c>
      <c r="CH82" s="314">
        <f>BX82-CG82</f>
        <v>174.86599999999999</v>
      </c>
      <c r="CI82" s="302">
        <f>BY82/$BX82</f>
        <v>5.8744418211591702E-2</v>
      </c>
      <c r="CJ82" s="302">
        <f>BZ82/$BX82</f>
        <v>0.11720604773210047</v>
      </c>
      <c r="CK82" s="302">
        <f>CA82/$BX82</f>
        <v>5.7011515418560151E-2</v>
      </c>
      <c r="CL82" s="302">
        <f>CB82/$BX82</f>
        <v>4.6794951893040115E-2</v>
      </c>
      <c r="CM82" s="300">
        <f>CN82+CO82</f>
        <v>9.406669867220846E-2</v>
      </c>
      <c r="CN82" s="302">
        <f>CD82/$BX82</f>
        <v>5.125051789789356E-2</v>
      </c>
      <c r="CO82" s="302">
        <f>CE82/$BX82</f>
        <v>4.2816180774314892E-2</v>
      </c>
      <c r="CP82" s="302">
        <f>CF82/$BX82</f>
        <v>5.1174888364231841E-2</v>
      </c>
      <c r="CQ82" s="302">
        <f>CG82/$BX82</f>
        <v>0.42499852029173268</v>
      </c>
      <c r="CR82" s="302">
        <f>CQ82*N82</f>
        <v>0.11197349414063386</v>
      </c>
      <c r="CS82" s="342">
        <f>BX82</f>
        <v>304.11399999999998</v>
      </c>
      <c r="CT82" s="355">
        <f>BX82</f>
        <v>304.11399999999998</v>
      </c>
      <c r="CU82" s="333">
        <f>CT82-(CV82+CW82)</f>
        <v>5.7879999999999541</v>
      </c>
      <c r="CV82" s="347">
        <v>101.68600000000001</v>
      </c>
      <c r="CW82" s="315">
        <v>196.64</v>
      </c>
      <c r="CX82" s="314">
        <v>6.5010000000000003</v>
      </c>
      <c r="CY82" s="314">
        <v>29.055</v>
      </c>
      <c r="CZ82" s="314">
        <v>15.385</v>
      </c>
      <c r="DA82" s="314">
        <v>9.6379999999999999</v>
      </c>
      <c r="DB82" s="314">
        <v>19.059999999999999</v>
      </c>
      <c r="DC82" s="314">
        <v>11.77</v>
      </c>
      <c r="DD82" s="315">
        <f>DC82+DB82+DA82+CZ82+CY82+CX82</f>
        <v>91.408999999999992</v>
      </c>
      <c r="DE82" s="315"/>
      <c r="DF82" s="302">
        <f>DD82/CG82</f>
        <v>0.70723724931913834</v>
      </c>
      <c r="DG82" s="314">
        <f>CW82-DD82</f>
        <v>105.23099999999999</v>
      </c>
      <c r="DH82" s="302">
        <f>DD82/CW82</f>
        <v>0.46485455655004065</v>
      </c>
      <c r="DI82" s="302">
        <f>CW82/(CW82+CV82)</f>
        <v>0.6591446940595187</v>
      </c>
      <c r="DJ82" s="325">
        <v>224.22</v>
      </c>
      <c r="DK82" s="322">
        <v>20.148</v>
      </c>
      <c r="DL82" s="322">
        <v>41.118000000000002</v>
      </c>
      <c r="DM82" s="322">
        <v>17.359000000000002</v>
      </c>
      <c r="DN82" s="322">
        <v>11.019</v>
      </c>
      <c r="DO82" s="322">
        <v>18.099</v>
      </c>
      <c r="DP82" s="322">
        <v>19.943999999999999</v>
      </c>
      <c r="DQ82" s="322">
        <v>8.0350000000000001</v>
      </c>
      <c r="DR82" s="314">
        <f>DQ82+DO82+DN82+DM82+DL82+DK82</f>
        <v>115.77799999999999</v>
      </c>
      <c r="DS82" s="314">
        <f>DJ82-DR82</f>
        <v>108.44200000000001</v>
      </c>
      <c r="DT82" s="300">
        <f>DR82/DJ82</f>
        <v>0.51635893319061632</v>
      </c>
      <c r="DU82" s="325">
        <f>DJ82-CW82</f>
        <v>27.580000000000013</v>
      </c>
      <c r="DV82" s="314">
        <v>27.58</v>
      </c>
      <c r="DW82" s="314">
        <f>DK82-CX82</f>
        <v>13.646999999999998</v>
      </c>
      <c r="DX82" s="314">
        <f>DL82-CY82</f>
        <v>12.063000000000002</v>
      </c>
      <c r="DY82" s="314">
        <f>DM82-CZ82</f>
        <v>1.974000000000002</v>
      </c>
      <c r="DZ82" s="314">
        <f>DN82-DA82</f>
        <v>1.3810000000000002</v>
      </c>
      <c r="EA82" s="314">
        <f>DO82-DB82</f>
        <v>-0.96099999999999852</v>
      </c>
      <c r="EB82" s="314">
        <f>DQ82-DC82</f>
        <v>-3.7349999999999994</v>
      </c>
      <c r="EC82" s="314">
        <f>EB82+EA82+DZ82+DY82+DX82+DW82</f>
        <v>24.369000000000007</v>
      </c>
      <c r="ED82" s="314">
        <f>DU82-EC82</f>
        <v>3.2110000000000056</v>
      </c>
      <c r="EE82" s="302">
        <f>EC82/DU82</f>
        <v>0.88357505438723694</v>
      </c>
      <c r="EF82" s="315">
        <v>48.97</v>
      </c>
      <c r="EG82" s="314">
        <v>0.46800000000000003</v>
      </c>
      <c r="EH82" s="314">
        <v>16.033999999999999</v>
      </c>
      <c r="EI82" s="314">
        <v>3.3929999999999998</v>
      </c>
      <c r="EJ82" s="314">
        <v>1.532</v>
      </c>
      <c r="EK82" s="314">
        <v>-4.1040000000000001</v>
      </c>
      <c r="EL82" s="323">
        <f>(EL81+EL83)/2</f>
        <v>2.9375</v>
      </c>
      <c r="EM82" s="314">
        <f>EL82+EK82+EJ82+EI82+EH82+EG82</f>
        <v>20.260499999999997</v>
      </c>
      <c r="EN82" s="314">
        <f>EF82-EM82</f>
        <v>28.709500000000002</v>
      </c>
      <c r="EO82" s="302">
        <f>EM82/EF82</f>
        <v>0.41373289769246474</v>
      </c>
      <c r="EP82" s="352">
        <v>2477.268</v>
      </c>
      <c r="EQ82" s="278">
        <v>86.372</v>
      </c>
      <c r="ER82" s="278">
        <v>279.37299999999999</v>
      </c>
      <c r="ES82" s="278">
        <v>125.146</v>
      </c>
      <c r="ET82" s="278">
        <v>102.02200000000001</v>
      </c>
      <c r="EU82" s="278">
        <v>246.142</v>
      </c>
      <c r="EV82" s="278">
        <v>133.47999999999999</v>
      </c>
      <c r="EW82" s="278">
        <v>81.879000000000005</v>
      </c>
      <c r="EX82" s="278">
        <f>EW82+EU82+ET82+ES82+ER82+EQ82</f>
        <v>920.93399999999986</v>
      </c>
      <c r="EY82" s="278">
        <f>EP82-EX82</f>
        <v>1556.3340000000003</v>
      </c>
      <c r="EZ82" s="302">
        <f>EX82/EP82</f>
        <v>0.37175388371383306</v>
      </c>
      <c r="FA82" s="308">
        <f>(BX82+(EP82-EP81)-DJ82)/EP81</f>
        <v>0.1407468407284615</v>
      </c>
      <c r="FB82" s="302">
        <f>(BY82+(EQ82-EQ81)-DK82)/EQ81</f>
        <v>0.52409693147010294</v>
      </c>
      <c r="FC82" s="302">
        <f>(BZ82+(ER82-ER81)-DL82)/ER81</f>
        <v>0.14027185112716212</v>
      </c>
      <c r="FD82" s="302">
        <f>(CA82+(ES82-ES81)-DM82)/ES81</f>
        <v>0.56529516994633278</v>
      </c>
      <c r="FE82" s="302">
        <f>(CB82+(ET82-ET81)-DN82)/ET81</f>
        <v>4.5107853652723282E-2</v>
      </c>
      <c r="FF82" s="302">
        <f>(CC82+(EU82-EU81)-DO82)/EU81</f>
        <v>0.14691095966931061</v>
      </c>
      <c r="FG82" s="302">
        <f>(CD82+(EV82-EV81)-DP82)/EV81</f>
        <v>0.14043207150553777</v>
      </c>
      <c r="FH82" s="302">
        <f>(CF82+(EW82-EW81)-DQ82)/EW81</f>
        <v>0.17040188506349008</v>
      </c>
      <c r="FI82" s="302">
        <f>(CG82+(EX82-EX81)-DR82)/EX81</f>
        <v>0.2038620305808504</v>
      </c>
      <c r="FJ82" s="302">
        <f>(CH82+(EY82-EY81)-DS82)/EY81</f>
        <v>0.10731881071373031</v>
      </c>
      <c r="FK82" s="302">
        <f>(CH82+AO82+(EY82-EY81)-DS82)/EY81</f>
        <v>0.16108944212287571</v>
      </c>
      <c r="FL82" s="296">
        <f>BX82/EP81</f>
        <v>0.13566488346115549</v>
      </c>
      <c r="FM82" s="302">
        <f>BY82/EQ81</f>
        <v>0.32379968462835079</v>
      </c>
      <c r="FN82" s="302">
        <f>BZ82/ER81</f>
        <v>0.148389916945942</v>
      </c>
      <c r="FO82" s="302">
        <f>CA82/ES81</f>
        <v>0.21689580544678935</v>
      </c>
      <c r="FP82" s="302">
        <f>CB82/ET81</f>
        <v>0.14133198267985542</v>
      </c>
      <c r="FQ82" s="302">
        <f>CC82/EU81</f>
        <v>0.1278382303653223</v>
      </c>
      <c r="FR82" s="302">
        <f>CD82/EV81</f>
        <v>0.13765875889844731</v>
      </c>
      <c r="FS82" s="302">
        <f>CF82/EW81</f>
        <v>0.20373085482392983</v>
      </c>
      <c r="FT82" s="302">
        <f>CG82/EX81</f>
        <v>0.16651979200486489</v>
      </c>
      <c r="FU82" s="302">
        <f>CH82/EY81</f>
        <v>0.11932303593897989</v>
      </c>
    </row>
    <row r="83" spans="1:177">
      <c r="B83" s="288">
        <v>2007</v>
      </c>
      <c r="C83" s="344">
        <v>12321.4</v>
      </c>
      <c r="D83" s="352">
        <v>1529</v>
      </c>
      <c r="E83" s="343">
        <f>D83/C83</f>
        <v>0.12409304137516841</v>
      </c>
      <c r="F83" s="333">
        <f>D83-(G83+I83)</f>
        <v>0</v>
      </c>
      <c r="G83" s="278">
        <f>D83-I83</f>
        <v>1175.5999999999999</v>
      </c>
      <c r="H83" s="302">
        <f>G83/C83</f>
        <v>9.5411235736198807E-2</v>
      </c>
      <c r="I83" s="333">
        <v>353.4</v>
      </c>
      <c r="J83" s="343">
        <f>I83/C83</f>
        <v>2.8681805638969597E-2</v>
      </c>
      <c r="K83" s="361">
        <f>I83/D83</f>
        <v>0.23113145846958796</v>
      </c>
      <c r="L83" s="371">
        <v>510.4</v>
      </c>
      <c r="M83" s="343">
        <f>L83/C83</f>
        <v>4.1423864171279239E-2</v>
      </c>
      <c r="N83" s="370">
        <f>L83/D83</f>
        <v>0.33381294964028774</v>
      </c>
      <c r="O83" s="352">
        <f>D83</f>
        <v>1529</v>
      </c>
      <c r="P83" s="366">
        <f>O83-(Q83+R83+T83+U83+X83-V83)</f>
        <v>0</v>
      </c>
      <c r="Q83" s="278">
        <v>1788.7</v>
      </c>
      <c r="R83" s="376">
        <v>287.5</v>
      </c>
      <c r="S83" s="374">
        <f>R83/D83</f>
        <v>0.1880313930673643</v>
      </c>
      <c r="T83" s="292">
        <v>36.5</v>
      </c>
      <c r="U83" s="292">
        <v>-219.4</v>
      </c>
      <c r="V83" s="372">
        <v>324.5</v>
      </c>
      <c r="W83" s="374">
        <f>V83/D83</f>
        <v>0.21223021582733814</v>
      </c>
      <c r="X83" s="366">
        <f>O83-(Q83+R83+T83+U83-V83)</f>
        <v>-39.799999999999727</v>
      </c>
      <c r="Y83" s="367">
        <v>289.52615300000002</v>
      </c>
      <c r="Z83" s="366">
        <f>Z84*Y83/Y84</f>
        <v>-22.109200722632362</v>
      </c>
      <c r="AA83" s="366"/>
      <c r="AB83" s="366"/>
      <c r="AC83" s="366">
        <f>Y83+Z83</f>
        <v>267.41695227736767</v>
      </c>
      <c r="AD83" s="302">
        <f>AC83/D83</f>
        <v>0.1748966332749298</v>
      </c>
      <c r="AE83" s="278">
        <v>345.60300000000001</v>
      </c>
      <c r="AF83" s="278">
        <v>258.06156080292715</v>
      </c>
      <c r="AG83" s="326">
        <v>445.5</v>
      </c>
      <c r="AH83" s="295">
        <f>AG83/C83</f>
        <v>3.6156605580534677E-2</v>
      </c>
      <c r="AI83" s="295">
        <f>(AG83-AN83)/C83</f>
        <v>3.3348483126917391E-2</v>
      </c>
      <c r="AJ83" s="357">
        <f>AG83-(AK83+AL83+AM83+AN83)</f>
        <v>-9.9999999999965894E-2</v>
      </c>
      <c r="AK83" s="288">
        <v>328.29999999999995</v>
      </c>
      <c r="AL83" s="288">
        <v>57.9</v>
      </c>
      <c r="AM83" s="290">
        <v>24.8</v>
      </c>
      <c r="AN83" s="288">
        <v>34.6</v>
      </c>
      <c r="AO83" s="372">
        <v>86.6</v>
      </c>
      <c r="AP83" s="333">
        <v>353.76875000000001</v>
      </c>
      <c r="AQ83" s="333"/>
      <c r="AR83" s="333"/>
      <c r="AS83" s="333"/>
      <c r="AT83" s="361">
        <f>(O83-AG83)/C83</f>
        <v>8.7936435794633727E-2</v>
      </c>
      <c r="AU83" s="360">
        <v>0.35</v>
      </c>
      <c r="AV83" s="359">
        <f>(AK83+AL83)/(G83+L83-T83)</f>
        <v>0.23413155501667168</v>
      </c>
      <c r="AW83" s="353">
        <f>(AK83+AL83)/(G83+L83-T83-AE83)</f>
        <v>0.29618903947167602</v>
      </c>
      <c r="AX83" s="302">
        <f>(AG83-AN83-AM83)/(G83+L83-T83+V83)</f>
        <v>0.19559270516717323</v>
      </c>
      <c r="AY83" s="296">
        <f>(AG83-AN83-AM83+AO83)/(G83+L83-T83+AO83)</f>
        <v>0.27227694257243246</v>
      </c>
      <c r="AZ83" s="353">
        <f>(AG83-AN83-AM83+AO83)/(G83+L83-T83+AO83-AC83)</f>
        <v>0.32185296938844465</v>
      </c>
      <c r="BA83" s="302">
        <f>(AG83-AN83)/Q83</f>
        <v>0.22971990831330014</v>
      </c>
      <c r="BB83" s="302">
        <f>(AG83-AN83)/(Q83+R83)</f>
        <v>0.19790964261631827</v>
      </c>
      <c r="BC83" s="358">
        <f>D83</f>
        <v>1529</v>
      </c>
      <c r="BD83" s="357">
        <f>BC83-(BE83+BF83+BG83)</f>
        <v>0</v>
      </c>
      <c r="BE83" s="356">
        <f>AG83</f>
        <v>445.5</v>
      </c>
      <c r="BF83" s="314">
        <v>818.9</v>
      </c>
      <c r="BG83" s="314">
        <v>264.60000000000002</v>
      </c>
      <c r="BH83" s="302">
        <f>BG83/D83</f>
        <v>0.17305428384565077</v>
      </c>
      <c r="BI83" s="288">
        <v>51.6</v>
      </c>
      <c r="BJ83" s="288">
        <f>BG83-BI83</f>
        <v>213.00000000000003</v>
      </c>
      <c r="BK83" s="302">
        <f>BJ83/D83</f>
        <v>0.1393067364290386</v>
      </c>
      <c r="BL83" s="302">
        <f>DD83/(D83)</f>
        <v>6.6290385873119695E-2</v>
      </c>
      <c r="BM83" s="302">
        <f>DD83/(CV83+CW83)</f>
        <v>0.2956422821141057</v>
      </c>
      <c r="BN83" s="302">
        <f>CQ83*DF83</f>
        <v>0.28939832170787211</v>
      </c>
      <c r="BO83" s="302">
        <f>BJ83/I83</f>
        <v>0.60271646859083206</v>
      </c>
      <c r="BP83" s="294">
        <v>132.833</v>
      </c>
      <c r="BQ83" s="355">
        <f>L83</f>
        <v>510.4</v>
      </c>
      <c r="BR83" s="333">
        <f>BQ83-(BS83+BT83+BU83)</f>
        <v>0</v>
      </c>
      <c r="BS83" s="278">
        <f>BQ83-BT83-BU83</f>
        <v>30.891999999999996</v>
      </c>
      <c r="BT83" s="278">
        <v>116.14700000000001</v>
      </c>
      <c r="BU83" s="278">
        <v>363.36099999999999</v>
      </c>
      <c r="BV83" s="278">
        <v>20.521000000000001</v>
      </c>
      <c r="BW83" s="302">
        <f>BT83/BQ83</f>
        <v>0.22756073667711602</v>
      </c>
      <c r="BX83" s="315">
        <v>350.23700000000002</v>
      </c>
      <c r="BY83" s="314">
        <v>21.994</v>
      </c>
      <c r="BZ83" s="314">
        <v>44.255000000000003</v>
      </c>
      <c r="CA83" s="314">
        <v>19.946000000000002</v>
      </c>
      <c r="CB83" s="314">
        <v>14.542999999999999</v>
      </c>
      <c r="CC83" s="314">
        <f>CD83+CE83</f>
        <v>41.65</v>
      </c>
      <c r="CD83" s="314">
        <v>23.175999999999998</v>
      </c>
      <c r="CE83" s="314">
        <v>18.474</v>
      </c>
      <c r="CF83" s="314">
        <v>19.045000000000002</v>
      </c>
      <c r="CG83" s="314">
        <f>BY83+BZ83+CA83+CB83+CD83+CE83+CF83</f>
        <v>161.43299999999999</v>
      </c>
      <c r="CH83" s="314">
        <f>BX83-CG83</f>
        <v>188.80400000000003</v>
      </c>
      <c r="CI83" s="302">
        <f>BY83/$BX83</f>
        <v>6.279747713691014E-2</v>
      </c>
      <c r="CJ83" s="302">
        <f>BZ83/$BX83</f>
        <v>0.12635729520296257</v>
      </c>
      <c r="CK83" s="302">
        <f>CA83/$BX83</f>
        <v>5.6950008137346998E-2</v>
      </c>
      <c r="CL83" s="302">
        <f>CB83/$BX83</f>
        <v>4.1523311357737756E-2</v>
      </c>
      <c r="CM83" s="300">
        <f>CN83+CO83</f>
        <v>0.11891947452724867</v>
      </c>
      <c r="CN83" s="302">
        <f>CD83/$BX83</f>
        <v>6.6172334733337695E-2</v>
      </c>
      <c r="CO83" s="302">
        <f>CE83/$BX83</f>
        <v>5.2747139793910977E-2</v>
      </c>
      <c r="CP83" s="302">
        <f>CF83/$BX83</f>
        <v>5.4377464402675907E-2</v>
      </c>
      <c r="CQ83" s="302">
        <f>CG83/$BX83</f>
        <v>0.460925030764882</v>
      </c>
      <c r="CR83" s="302">
        <f>CQ83*N83</f>
        <v>0.15386274408266562</v>
      </c>
      <c r="CS83" s="342">
        <f>BX83</f>
        <v>350.23700000000002</v>
      </c>
      <c r="CT83" s="355">
        <f>BX83</f>
        <v>350.23700000000002</v>
      </c>
      <c r="CU83" s="333">
        <f>CT83-(CV83+CW83)</f>
        <v>7.3969999999999914</v>
      </c>
      <c r="CV83" s="347">
        <v>132.833</v>
      </c>
      <c r="CW83" s="315">
        <v>210.00700000000001</v>
      </c>
      <c r="CX83" s="314">
        <v>6.4690000000000003</v>
      </c>
      <c r="CY83" s="314">
        <v>35.679000000000002</v>
      </c>
      <c r="CZ83" s="314">
        <v>17.068999999999999</v>
      </c>
      <c r="DA83" s="314">
        <v>9.4440000000000008</v>
      </c>
      <c r="DB83" s="314">
        <v>25.698</v>
      </c>
      <c r="DC83" s="314">
        <v>6.9989999999999997</v>
      </c>
      <c r="DD83" s="315">
        <f>DC83+DB83+DA83+CZ83+CY83+CX83</f>
        <v>101.358</v>
      </c>
      <c r="DE83" s="315"/>
      <c r="DF83" s="302">
        <f>DD83/CG83</f>
        <v>0.62786419133634397</v>
      </c>
      <c r="DG83" s="314">
        <f>CW83-DD83</f>
        <v>108.649</v>
      </c>
      <c r="DH83" s="302">
        <f>DD83/CW83</f>
        <v>0.48264105482198211</v>
      </c>
      <c r="DI83" s="302">
        <f>CW83/(CW83+CV83)</f>
        <v>0.61255104421887752</v>
      </c>
      <c r="DJ83" s="325">
        <v>393.51799999999997</v>
      </c>
      <c r="DK83" s="322">
        <v>15.506</v>
      </c>
      <c r="DL83" s="322">
        <v>109.09699999999999</v>
      </c>
      <c r="DM83" s="322">
        <v>24.535</v>
      </c>
      <c r="DN83" s="322">
        <v>7.3650000000000002</v>
      </c>
      <c r="DO83" s="322">
        <v>28.762</v>
      </c>
      <c r="DP83" s="322">
        <v>14.785</v>
      </c>
      <c r="DQ83" s="322">
        <v>14.003</v>
      </c>
      <c r="DR83" s="314">
        <f>DQ83+DO83+DN83+DM83+DL83+DK83</f>
        <v>199.268</v>
      </c>
      <c r="DS83" s="314">
        <f>DJ83-DR83</f>
        <v>194.24999999999997</v>
      </c>
      <c r="DT83" s="300">
        <f>DR83/DJ83</f>
        <v>0.50637582016578664</v>
      </c>
      <c r="DU83" s="325">
        <f>DJ83-CW83</f>
        <v>183.51099999999997</v>
      </c>
      <c r="DV83" s="314">
        <v>183.511</v>
      </c>
      <c r="DW83" s="314">
        <f>DK83-CX83</f>
        <v>9.036999999999999</v>
      </c>
      <c r="DX83" s="314">
        <f>DL83-CY83</f>
        <v>73.417999999999992</v>
      </c>
      <c r="DY83" s="314">
        <f>DM83-CZ83</f>
        <v>7.4660000000000011</v>
      </c>
      <c r="DZ83" s="314">
        <f>DN83-DA83</f>
        <v>-2.0790000000000006</v>
      </c>
      <c r="EA83" s="314">
        <f>DO83-DB83</f>
        <v>3.0640000000000001</v>
      </c>
      <c r="EB83" s="314">
        <f>DQ83-DC83</f>
        <v>7.0040000000000004</v>
      </c>
      <c r="EC83" s="314">
        <f>EB83+EA83+DZ83+DY83+DX83+DW83</f>
        <v>97.91</v>
      </c>
      <c r="ED83" s="314">
        <f>DU83-EC83</f>
        <v>85.600999999999971</v>
      </c>
      <c r="EE83" s="302">
        <f>EC83/DU83</f>
        <v>0.53353749911449455</v>
      </c>
      <c r="EF83" s="315">
        <v>200.85</v>
      </c>
      <c r="EG83" s="314">
        <v>3.948</v>
      </c>
      <c r="EH83" s="314">
        <v>67.724000000000004</v>
      </c>
      <c r="EI83" s="314">
        <v>14.143000000000001</v>
      </c>
      <c r="EJ83" s="314">
        <v>-0.307</v>
      </c>
      <c r="EK83" s="314">
        <v>12.984999999999999</v>
      </c>
      <c r="EL83" s="314">
        <v>4.577</v>
      </c>
      <c r="EM83" s="314">
        <f>EL83+EK83+EJ83+EI83+EH83+EG83</f>
        <v>103.07</v>
      </c>
      <c r="EN83" s="314">
        <f>EF83-EM83</f>
        <v>97.78</v>
      </c>
      <c r="EO83" s="302">
        <f>EM83/EF83</f>
        <v>0.51316903161563354</v>
      </c>
      <c r="EP83" s="352">
        <v>2993.98</v>
      </c>
      <c r="EQ83" s="278">
        <v>117.708</v>
      </c>
      <c r="ER83" s="278">
        <v>412.12200000000001</v>
      </c>
      <c r="ES83" s="278">
        <v>144.18</v>
      </c>
      <c r="ET83" s="278">
        <v>94.674999999999997</v>
      </c>
      <c r="EU83" s="278">
        <v>348.95600000000002</v>
      </c>
      <c r="EV83" s="278">
        <v>211.708</v>
      </c>
      <c r="EW83" s="278">
        <v>93.528999999999996</v>
      </c>
      <c r="EX83" s="278">
        <f>EW83+EU83+ET83+ES83+ER83+EQ83</f>
        <v>1211.17</v>
      </c>
      <c r="EY83" s="278">
        <f>EP83-EX83</f>
        <v>1782.81</v>
      </c>
      <c r="EZ83" s="302">
        <f>EX83/EP83</f>
        <v>0.40453510043487267</v>
      </c>
      <c r="FA83" s="308">
        <f>(BX83+(EP83-EP82)-DJ83)/EP82</f>
        <v>0.19111012615510317</v>
      </c>
      <c r="FB83" s="302">
        <f>(BY83+(EQ83-EQ82)-DK83)/EQ82</f>
        <v>0.43791969619784188</v>
      </c>
      <c r="FC83" s="302">
        <f>(BZ83+(ER83-ER82)-DL83)/ER82</f>
        <v>0.24306930161468726</v>
      </c>
      <c r="FD83" s="302">
        <f>(CA83+(ES83-ES82)-DM83)/ES82</f>
        <v>0.11542518338580542</v>
      </c>
      <c r="FE83" s="302">
        <f>(CB83+(ET83-ET82)-DN83)/ET82</f>
        <v>-1.6565054596068432E-3</v>
      </c>
      <c r="FF83" s="302">
        <f>(CC83+(EU83-EU82)-DO83)/EU82</f>
        <v>0.47006199673359295</v>
      </c>
      <c r="FG83" s="302">
        <f>(CD83+(EV83-EV82)-DP83)/EV82</f>
        <v>0.64892867845370106</v>
      </c>
      <c r="FH83" s="302">
        <f>(CF83+(EW83-EW82)-DQ83)/EW82</f>
        <v>0.20386179606492497</v>
      </c>
      <c r="FI83" s="302">
        <f>(CG83+(EX83-EX82)-DR83)/EX82</f>
        <v>0.27407067173109068</v>
      </c>
      <c r="FJ83" s="302">
        <f>(CH83+(EY83-EY82)-DS83)/EY82</f>
        <v>0.14201964359835337</v>
      </c>
      <c r="FK83" s="302">
        <f>(CH83+AO83+(EY83-EY82)-DS83)/EY82</f>
        <v>0.19766322653106569</v>
      </c>
      <c r="FL83" s="296">
        <f>BX83/EP82</f>
        <v>0.14138034318450809</v>
      </c>
      <c r="FM83" s="302">
        <f>BY83/EQ82</f>
        <v>0.25464270828509239</v>
      </c>
      <c r="FN83" s="302">
        <f>BZ83/ER82</f>
        <v>0.15840829285578781</v>
      </c>
      <c r="FO83" s="302">
        <f>CA83/ES82</f>
        <v>0.15938184200853403</v>
      </c>
      <c r="FP83" s="302">
        <f>CB83/ET82</f>
        <v>0.14254768579326027</v>
      </c>
      <c r="FQ83" s="302">
        <f>CC83/EU82</f>
        <v>0.16921126829228655</v>
      </c>
      <c r="FR83" s="302">
        <f>CD83/EV82</f>
        <v>0.1736290080910998</v>
      </c>
      <c r="FS83" s="302">
        <f>CF83/EW82</f>
        <v>0.23259932339183431</v>
      </c>
      <c r="FT83" s="302">
        <f>CG83/EX82</f>
        <v>0.17529269198444189</v>
      </c>
      <c r="FU83" s="302">
        <f>CH83/EY82</f>
        <v>0.12131329136290796</v>
      </c>
    </row>
    <row r="84" spans="1:177">
      <c r="B84" s="288">
        <v>2008</v>
      </c>
      <c r="C84" s="344">
        <v>12427.8</v>
      </c>
      <c r="D84" s="352">
        <v>1285.0999999999999</v>
      </c>
      <c r="E84" s="343">
        <f>D84/C84</f>
        <v>0.10340526883277812</v>
      </c>
      <c r="F84" s="333">
        <f>D84-(G84+I84)</f>
        <v>0</v>
      </c>
      <c r="G84" s="278">
        <f>D84-I84</f>
        <v>878.39999999999986</v>
      </c>
      <c r="H84" s="302">
        <f>G84/C84</f>
        <v>7.0680249118910826E-2</v>
      </c>
      <c r="I84" s="333">
        <v>406.7</v>
      </c>
      <c r="J84" s="343">
        <f>I84/C84</f>
        <v>3.27250197138673E-2</v>
      </c>
      <c r="K84" s="361">
        <f>I84/D84</f>
        <v>0.31647342619251423</v>
      </c>
      <c r="L84" s="371">
        <v>582</v>
      </c>
      <c r="M84" s="343">
        <f>L84/C84</f>
        <v>4.6830492927147208E-2</v>
      </c>
      <c r="N84" s="370">
        <f>L84/D84</f>
        <v>0.4528830441210801</v>
      </c>
      <c r="O84" s="352">
        <f>D84</f>
        <v>1285.0999999999999</v>
      </c>
      <c r="P84" s="366">
        <f>O84-(Q84+R84+T84+U84+X84-V84)</f>
        <v>0</v>
      </c>
      <c r="Q84" s="278">
        <v>903</v>
      </c>
      <c r="R84" s="376">
        <v>286.8</v>
      </c>
      <c r="S84" s="374">
        <f>R84/D84</f>
        <v>0.22317329390708895</v>
      </c>
      <c r="T84" s="292">
        <v>35.4</v>
      </c>
      <c r="U84" s="292">
        <v>-97.4</v>
      </c>
      <c r="V84" s="372">
        <v>69.400000000000006</v>
      </c>
      <c r="W84" s="374">
        <f>V84/D84</f>
        <v>5.4003579487977599E-2</v>
      </c>
      <c r="X84" s="366">
        <f>O84-(Q84+R84+T84+U84-V84)</f>
        <v>226.70000000000005</v>
      </c>
      <c r="Y84" s="367">
        <v>242.25538299999999</v>
      </c>
      <c r="Z84" s="366">
        <f>Z85*Y84/Y85</f>
        <v>-18.499444120632443</v>
      </c>
      <c r="AA84" s="366"/>
      <c r="AB84" s="366"/>
      <c r="AC84" s="366">
        <f>Y84+Z84</f>
        <v>223.75593887936756</v>
      </c>
      <c r="AD84" s="302">
        <f>AC84/D84</f>
        <v>0.17411558546367409</v>
      </c>
      <c r="AE84" s="278">
        <v>333.69600000000003</v>
      </c>
      <c r="AF84" s="278">
        <v>238.27504940946534</v>
      </c>
      <c r="AG84" s="326">
        <v>309.10000000000002</v>
      </c>
      <c r="AH84" s="295">
        <f>AG84/C84</f>
        <v>2.4871658700654987E-2</v>
      </c>
      <c r="AI84" s="295">
        <f>(AG84-AN84)/C84</f>
        <v>2.2320925666650577E-2</v>
      </c>
      <c r="AJ84" s="357">
        <f>AG84-(AK84+AL84+AM84+AN84)</f>
        <v>-9.9999999999965894E-2</v>
      </c>
      <c r="AK84" s="288">
        <v>202.1</v>
      </c>
      <c r="AL84" s="288">
        <v>47.4</v>
      </c>
      <c r="AM84" s="290">
        <v>28</v>
      </c>
      <c r="AN84" s="288">
        <v>31.7</v>
      </c>
      <c r="AO84" s="372">
        <v>100.4</v>
      </c>
      <c r="AP84" s="333">
        <v>262.81675000000001</v>
      </c>
      <c r="AQ84" s="333"/>
      <c r="AR84" s="333"/>
      <c r="AS84" s="333"/>
      <c r="AT84" s="361">
        <f>(O84-AG84)/C84</f>
        <v>7.8533610132123136E-2</v>
      </c>
      <c r="AU84" s="360">
        <v>0.35</v>
      </c>
      <c r="AV84" s="359">
        <f>(AK84+AL84)/(G84+L84-T84)</f>
        <v>0.17508771929824565</v>
      </c>
      <c r="AW84" s="353">
        <f>(AK84+AL84)/(G84+L84-T84-AE84)</f>
        <v>0.22862557087667607</v>
      </c>
      <c r="AX84" s="302">
        <f>(AG84-AN84-AM84)/(G84+L84-T84+V84)</f>
        <v>0.16688972162740903</v>
      </c>
      <c r="AY84" s="296">
        <f>(AG84-AN84-AM84+AO84)/(G84+L84-T84+AO84)</f>
        <v>0.22931690048511871</v>
      </c>
      <c r="AZ84" s="353">
        <f>(AG84-AN84-AM84+AO84)/(G84+L84-T84+AO84-AC84)</f>
        <v>0.26873706141972836</v>
      </c>
      <c r="BA84" s="302">
        <f>(AG84-AN84)/Q84</f>
        <v>0.3071982281284607</v>
      </c>
      <c r="BB84" s="302">
        <f>(AG84-AN84)/(Q84+R84)</f>
        <v>0.23314842830727858</v>
      </c>
      <c r="BC84" s="358">
        <f>D84</f>
        <v>1285.0999999999999</v>
      </c>
      <c r="BD84" s="357">
        <f>BC84-(BE84+BF84+BG84)</f>
        <v>9.9999999999909051E-2</v>
      </c>
      <c r="BE84" s="356">
        <f>AG84</f>
        <v>309.10000000000002</v>
      </c>
      <c r="BF84" s="314">
        <v>808.6</v>
      </c>
      <c r="BG84" s="314">
        <v>167.3</v>
      </c>
      <c r="BH84" s="302">
        <f>BG84/D84</f>
        <v>0.13018442144580189</v>
      </c>
      <c r="BI84" s="288">
        <v>-58.8</v>
      </c>
      <c r="BJ84" s="288">
        <f>BG84-BI84</f>
        <v>226.10000000000002</v>
      </c>
      <c r="BK84" s="302">
        <f>BJ84/D84</f>
        <v>0.17593961559411722</v>
      </c>
      <c r="BL84" s="302">
        <f>DD84/(D84)</f>
        <v>9.1486265660259913E-2</v>
      </c>
      <c r="BM84" s="302">
        <f>DD84/(CV84+CW84)</f>
        <v>0.30556768445456345</v>
      </c>
      <c r="BN84" s="302">
        <f>CQ84*DF84</f>
        <v>0.29919278083439793</v>
      </c>
      <c r="BO84" s="302">
        <f>BJ84/I84</f>
        <v>0.5559380378657488</v>
      </c>
      <c r="BP84" s="294">
        <v>172.44800000000001</v>
      </c>
      <c r="BQ84" s="355">
        <f>L84</f>
        <v>582</v>
      </c>
      <c r="BR84" s="333">
        <f>BQ84-(BS84+BT84+BU84)</f>
        <v>0</v>
      </c>
      <c r="BS84" s="278">
        <f>BQ84-BT84-BU84</f>
        <v>32.540999999999997</v>
      </c>
      <c r="BT84" s="278">
        <v>143.91800000000001</v>
      </c>
      <c r="BU84" s="278">
        <v>405.541</v>
      </c>
      <c r="BV84" s="278">
        <v>20.785</v>
      </c>
      <c r="BW84" s="302">
        <f>BT84/BQ84</f>
        <v>0.24728178694158076</v>
      </c>
      <c r="BX84" s="315">
        <v>392.95400000000001</v>
      </c>
      <c r="BY84" s="314">
        <v>30.327000000000002</v>
      </c>
      <c r="BZ84" s="314">
        <v>48.311999999999998</v>
      </c>
      <c r="CA84" s="314">
        <v>20.762</v>
      </c>
      <c r="CB84" s="314">
        <v>19.620999999999999</v>
      </c>
      <c r="CC84" s="314">
        <f>CD84+CE84</f>
        <v>50.447000000000003</v>
      </c>
      <c r="CD84" s="314">
        <v>25.033000000000001</v>
      </c>
      <c r="CE84" s="314">
        <v>25.414000000000001</v>
      </c>
      <c r="CF84" s="314">
        <v>17.195</v>
      </c>
      <c r="CG84" s="314">
        <f>BY84+BZ84+CA84+CB84+CD84+CE84+CF84</f>
        <v>186.66399999999999</v>
      </c>
      <c r="CH84" s="314">
        <f>BX84-CG84</f>
        <v>206.29000000000002</v>
      </c>
      <c r="CI84" s="302">
        <f>BY84/$BX84</f>
        <v>7.7176972368267024E-2</v>
      </c>
      <c r="CJ84" s="302">
        <f>BZ84/$BX84</f>
        <v>0.12294568829939381</v>
      </c>
      <c r="CK84" s="302">
        <f>CA84/$BX84</f>
        <v>5.2835700870839844E-2</v>
      </c>
      <c r="CL84" s="302">
        <f>CB84/$BX84</f>
        <v>4.9932053115631848E-2</v>
      </c>
      <c r="CM84" s="300">
        <f>CN84+CO84</f>
        <v>0.12837889422171553</v>
      </c>
      <c r="CN84" s="302">
        <f>CD84/$BX84</f>
        <v>6.3704657542613133E-2</v>
      </c>
      <c r="CO84" s="302">
        <f>CE84/$BX84</f>
        <v>6.4674236679102395E-2</v>
      </c>
      <c r="CP84" s="302">
        <f>CF84/$BX84</f>
        <v>4.3758302498511273E-2</v>
      </c>
      <c r="CQ84" s="302">
        <f>CG84/$BX84</f>
        <v>0.47502761137435928</v>
      </c>
      <c r="CR84" s="302">
        <f>CQ84*N84</f>
        <v>0.21513195068078525</v>
      </c>
      <c r="CS84" s="342">
        <f>BX84</f>
        <v>392.95400000000001</v>
      </c>
      <c r="CT84" s="355">
        <f>BX84</f>
        <v>392.95400000000001</v>
      </c>
      <c r="CU84" s="333">
        <f>CT84-(CV84+CW84)</f>
        <v>8.1980000000000359</v>
      </c>
      <c r="CV84" s="347">
        <v>172.44800000000001</v>
      </c>
      <c r="CW84" s="315">
        <v>212.30799999999999</v>
      </c>
      <c r="CX84" s="314">
        <v>22.366</v>
      </c>
      <c r="CY84" s="314">
        <v>26.445</v>
      </c>
      <c r="CZ84" s="314">
        <v>19.05</v>
      </c>
      <c r="DA84" s="314">
        <v>14.866</v>
      </c>
      <c r="DB84" s="314">
        <v>27.568999999999999</v>
      </c>
      <c r="DC84" s="314">
        <v>7.2729999999999997</v>
      </c>
      <c r="DD84" s="315">
        <f>DC84+DB84+DA84+CZ84+CY84+CX84</f>
        <v>117.569</v>
      </c>
      <c r="DE84" s="315"/>
      <c r="DF84" s="302">
        <f>DD84/CG84</f>
        <v>0.62984292632751904</v>
      </c>
      <c r="DG84" s="314">
        <f>CW84-DD84</f>
        <v>94.73899999999999</v>
      </c>
      <c r="DH84" s="302">
        <f>DD84/CW84</f>
        <v>0.55376622642575879</v>
      </c>
      <c r="DI84" s="302">
        <f>CW84/(CW84+CV84)</f>
        <v>0.5517990622628367</v>
      </c>
      <c r="DJ84" s="325">
        <v>308.29599999999999</v>
      </c>
      <c r="DK84" s="322">
        <v>31.795000000000002</v>
      </c>
      <c r="DL84" s="322">
        <v>38.639000000000003</v>
      </c>
      <c r="DM84" s="322">
        <v>27.079000000000001</v>
      </c>
      <c r="DN84" s="322">
        <v>25.167999999999999</v>
      </c>
      <c r="DO84" s="322">
        <v>43.353999999999999</v>
      </c>
      <c r="DP84" s="322">
        <v>7.8239999999999998</v>
      </c>
      <c r="DQ84" s="322">
        <v>8.5719999999999992</v>
      </c>
      <c r="DR84" s="314">
        <f>DQ84+DO84+DN84+DM84+DL84+DK84</f>
        <v>174.60700000000003</v>
      </c>
      <c r="DS84" s="314">
        <f>DJ84-DR84</f>
        <v>133.68899999999996</v>
      </c>
      <c r="DT84" s="300">
        <f>DR84/DJ84</f>
        <v>0.5663615486415654</v>
      </c>
      <c r="DU84" s="325">
        <f>DJ84-CW84</f>
        <v>95.988</v>
      </c>
      <c r="DV84" s="314">
        <v>95.988</v>
      </c>
      <c r="DW84" s="314">
        <f>DK84-CX84</f>
        <v>9.429000000000002</v>
      </c>
      <c r="DX84" s="314">
        <f>DL84-CY84</f>
        <v>12.194000000000003</v>
      </c>
      <c r="DY84" s="314">
        <f>DM84-CZ84</f>
        <v>8.0289999999999999</v>
      </c>
      <c r="DZ84" s="314">
        <f>DN84-DA84</f>
        <v>10.302</v>
      </c>
      <c r="EA84" s="314">
        <f>DO84-DB84</f>
        <v>15.785</v>
      </c>
      <c r="EB84" s="314">
        <f>DQ84-DC84</f>
        <v>1.2989999999999995</v>
      </c>
      <c r="EC84" s="314">
        <f>EB84+EA84+DZ84+DY84+DX84+DW84</f>
        <v>57.038000000000004</v>
      </c>
      <c r="ED84" s="314">
        <f>DU84-EC84</f>
        <v>38.949999999999996</v>
      </c>
      <c r="EE84" s="302">
        <f>EC84/DU84</f>
        <v>0.59422011084718929</v>
      </c>
      <c r="EF84" s="315">
        <v>127.03700000000001</v>
      </c>
      <c r="EG84" s="314">
        <v>0.86</v>
      </c>
      <c r="EH84" s="314">
        <v>9.2370000000000001</v>
      </c>
      <c r="EI84" s="314">
        <v>10.704000000000001</v>
      </c>
      <c r="EJ84" s="314">
        <v>6.0830000000000002</v>
      </c>
      <c r="EK84" s="314">
        <v>13.462999999999999</v>
      </c>
      <c r="EL84" s="314">
        <v>1.661</v>
      </c>
      <c r="EM84" s="314">
        <f>EL84+EK84+EJ84+EI84+EH84+EG84</f>
        <v>42.008000000000003</v>
      </c>
      <c r="EN84" s="314">
        <f>EF84-EM84</f>
        <v>85.028999999999996</v>
      </c>
      <c r="EO84" s="302">
        <f>EM84/EF84</f>
        <v>0.33067531506568953</v>
      </c>
      <c r="EP84" s="352">
        <v>3232.4929999999999</v>
      </c>
      <c r="EQ84" s="278">
        <v>150.131</v>
      </c>
      <c r="ER84" s="278">
        <v>423.05900000000003</v>
      </c>
      <c r="ES84" s="278">
        <v>172.251</v>
      </c>
      <c r="ET84" s="278">
        <v>133.22200000000001</v>
      </c>
      <c r="EU84" s="278">
        <v>389.09800000000001</v>
      </c>
      <c r="EV84" s="278">
        <v>207.547</v>
      </c>
      <c r="EW84" s="278">
        <v>83.168999999999997</v>
      </c>
      <c r="EX84" s="278">
        <f>EW84+EU84+ET84+ES84+ER84+EQ84</f>
        <v>1350.93</v>
      </c>
      <c r="EY84" s="278">
        <f>EP84-EX84</f>
        <v>1881.5629999999999</v>
      </c>
      <c r="EZ84" s="302">
        <f>EX84/EP84</f>
        <v>0.41792201870197404</v>
      </c>
      <c r="FA84" s="308">
        <f>(BX84+(EP84-EP83)-DJ84)/EP83</f>
        <v>0.10794026680204941</v>
      </c>
      <c r="FB84" s="302">
        <f>(BY84+(EQ84-EQ83)-DK84)/EQ83</f>
        <v>0.26298127569918783</v>
      </c>
      <c r="FC84" s="302">
        <f>(BZ84+(ER84-ER83)-DL84)/ER83</f>
        <v>5.000946321720269E-2</v>
      </c>
      <c r="FD84" s="302">
        <f>(CA84+(ES84-ES83)-DM84)/ES83</f>
        <v>0.15088084339020666</v>
      </c>
      <c r="FE84" s="302">
        <f>(CB84+(ET84-ET83)-DN84)/ET83</f>
        <v>0.34856086612094012</v>
      </c>
      <c r="FF84" s="302">
        <f>(CC84+(EU84-EU83)-DO84)/EU83</f>
        <v>0.13536090509978335</v>
      </c>
      <c r="FG84" s="302">
        <f>(CD84+(EV84-EV83)-DP84)/EV83</f>
        <v>6.1632059251421768E-2</v>
      </c>
      <c r="FH84" s="302">
        <f>(CF84+(EW84-EW83)-DQ84)/EW83</f>
        <v>-1.8571779875760443E-2</v>
      </c>
      <c r="FI84" s="302">
        <f>(CG84+(EX84-EX83)-DR84)/EX83</f>
        <v>0.12534739136537393</v>
      </c>
      <c r="FJ84" s="302">
        <f>(CH84+(EY84-EY83)-DS84)/EY83</f>
        <v>9.6114560721557538E-2</v>
      </c>
      <c r="FK84" s="302">
        <f>(CH84+AO84+(EY84-EY83)-DS84)/EY83</f>
        <v>0.15243015239986316</v>
      </c>
      <c r="FL84" s="296">
        <f>BX84/EP83</f>
        <v>0.13124803772904295</v>
      </c>
      <c r="FM84" s="302">
        <f>BY84/EQ83</f>
        <v>0.2576460393516159</v>
      </c>
      <c r="FN84" s="302">
        <f>BZ84/ER83</f>
        <v>0.11722742294757377</v>
      </c>
      <c r="FO84" s="302">
        <f>CA84/ES83</f>
        <v>0.14400055486197808</v>
      </c>
      <c r="FP84" s="302">
        <f>CB84/ET83</f>
        <v>0.20724584103512014</v>
      </c>
      <c r="FQ84" s="302">
        <f>CC84/EU83</f>
        <v>0.1445655039603847</v>
      </c>
      <c r="FR84" s="302">
        <f>CD84/EV83</f>
        <v>0.11824305175052431</v>
      </c>
      <c r="FS84" s="302">
        <f>CF84/EW83</f>
        <v>0.18384672133776692</v>
      </c>
      <c r="FT84" s="302">
        <f>CG84/EX83</f>
        <v>0.15411874468489145</v>
      </c>
      <c r="FU84" s="302">
        <f>CH84/EY83</f>
        <v>0.11571059170635123</v>
      </c>
    </row>
    <row r="85" spans="1:177" s="377" customFormat="1">
      <c r="B85" s="392">
        <v>2009</v>
      </c>
      <c r="C85" s="405">
        <v>12126.1</v>
      </c>
      <c r="D85" s="382">
        <v>1397</v>
      </c>
      <c r="E85" s="400">
        <f>D85/C85</f>
        <v>0.11520604316309448</v>
      </c>
      <c r="F85" s="389">
        <f>D85-(G85+I85)</f>
        <v>0</v>
      </c>
      <c r="G85" s="381">
        <f>D85-I85</f>
        <v>1039.8</v>
      </c>
      <c r="H85" s="378">
        <f>G85/C85</f>
        <v>8.574892174730539E-2</v>
      </c>
      <c r="I85" s="389">
        <v>357.2</v>
      </c>
      <c r="J85" s="400">
        <f>I85/C85</f>
        <v>2.945712141578908E-2</v>
      </c>
      <c r="K85" s="378">
        <f>I85/D85</f>
        <v>0.25569076592698642</v>
      </c>
      <c r="L85" s="383">
        <v>498.09999999999997</v>
      </c>
      <c r="M85" s="400">
        <f>L85/C85</f>
        <v>4.1076685826440487E-2</v>
      </c>
      <c r="N85" s="404">
        <f>L85/D85</f>
        <v>0.35654974946313528</v>
      </c>
      <c r="O85" s="382">
        <f>D85</f>
        <v>1397</v>
      </c>
      <c r="P85" s="381">
        <f>O85-(Q85+R85+T85+U85+X85-V85)</f>
        <v>0</v>
      </c>
      <c r="Q85" s="381">
        <v>828.8</v>
      </c>
      <c r="R85" s="403">
        <v>313.5</v>
      </c>
      <c r="S85" s="396">
        <f>R85/D85</f>
        <v>0.22440944881889763</v>
      </c>
      <c r="T85" s="392">
        <v>47.6</v>
      </c>
      <c r="U85" s="392">
        <v>-75.5</v>
      </c>
      <c r="V85" s="399">
        <v>59.3</v>
      </c>
      <c r="W85" s="396">
        <f>V85/D85</f>
        <v>4.2448103078024338E-2</v>
      </c>
      <c r="X85" s="381">
        <f>O85-(Q85+R85+T85+U85-V85)</f>
        <v>341.90000000000009</v>
      </c>
      <c r="Y85" s="402">
        <v>222.588503</v>
      </c>
      <c r="Z85" s="381">
        <f>Z86*Y85/Y86</f>
        <v>-16.997614344626253</v>
      </c>
      <c r="AA85" s="381"/>
      <c r="AB85" s="381"/>
      <c r="AC85" s="381">
        <f>Y85+Z85</f>
        <v>205.59088865537376</v>
      </c>
      <c r="AD85" s="378">
        <f>AC85/D85</f>
        <v>0.1471659904476548</v>
      </c>
      <c r="AE85" s="381">
        <v>274.17566800000003</v>
      </c>
      <c r="AF85" s="381">
        <v>219.18891749091705</v>
      </c>
      <c r="AG85" s="401">
        <v>269.39999999999998</v>
      </c>
      <c r="AH85" s="400">
        <f>AG85/C85</f>
        <v>2.2216541179769254E-2</v>
      </c>
      <c r="AI85" s="400">
        <f>(AG85-AN85)/C85</f>
        <v>1.8307617453261968E-2</v>
      </c>
      <c r="AJ85" s="394">
        <f>AG85-(AK85+AL85+AM85+AN85)</f>
        <v>0</v>
      </c>
      <c r="AK85" s="392">
        <v>152.89999999999998</v>
      </c>
      <c r="AL85" s="392">
        <v>45.6</v>
      </c>
      <c r="AM85" s="399">
        <v>23.5</v>
      </c>
      <c r="AN85" s="392">
        <v>47.4</v>
      </c>
      <c r="AO85" s="399">
        <v>93.6</v>
      </c>
      <c r="AP85" s="389">
        <v>151.53100000000001</v>
      </c>
      <c r="AQ85" s="389">
        <v>104.40537</v>
      </c>
      <c r="AR85" s="389">
        <v>416.82764100000003</v>
      </c>
      <c r="AS85" s="389"/>
      <c r="AT85" s="378">
        <f>(O85-AG85)/C85</f>
        <v>9.2989501983325215E-2</v>
      </c>
      <c r="AU85" s="398">
        <v>0.35</v>
      </c>
      <c r="AV85" s="397">
        <f>(AK85+AL85)/(G85+L85-T85)</f>
        <v>0.13319465879353148</v>
      </c>
      <c r="AW85" s="396">
        <f>(AK85+AL85)/(G85+L85-T85-AE85)</f>
        <v>0.16322344251886903</v>
      </c>
      <c r="AX85" s="378">
        <f>(AG85-AN85-AM85)/(G85+L85-T85+V85)</f>
        <v>0.12809757356737222</v>
      </c>
      <c r="AY85" s="379">
        <f>(AG85-AN85-AM85+AO85)/(G85+L85-T85+AO85)</f>
        <v>0.18441820822021593</v>
      </c>
      <c r="AZ85" s="396">
        <f>(AG85-AN85-AM85+AO85)/(G85+L85-T85+AO85-AC85)</f>
        <v>0.21192633611413789</v>
      </c>
      <c r="BA85" s="378">
        <f>(AG85-AN85)/Q85</f>
        <v>0.26785714285714285</v>
      </c>
      <c r="BB85" s="378">
        <f>(AG85-AN85)/(Q85+R85)</f>
        <v>0.19434474306224284</v>
      </c>
      <c r="BC85" s="395">
        <f>D85</f>
        <v>1397</v>
      </c>
      <c r="BD85" s="394">
        <f>BC85-(BE85+BF85+BG85)</f>
        <v>9.9999999999909051E-2</v>
      </c>
      <c r="BE85" s="393">
        <f>AG85</f>
        <v>269.39999999999998</v>
      </c>
      <c r="BF85" s="383">
        <v>574.6</v>
      </c>
      <c r="BG85" s="383">
        <v>552.9</v>
      </c>
      <c r="BH85" s="378">
        <f>BG85/D85</f>
        <v>0.39577666428060126</v>
      </c>
      <c r="BI85" s="392">
        <v>313.8</v>
      </c>
      <c r="BJ85" s="392">
        <f>BG85-BI85</f>
        <v>239.09999999999997</v>
      </c>
      <c r="BK85" s="378">
        <f>BJ85/D85</f>
        <v>0.17115246957766642</v>
      </c>
      <c r="BL85" s="378">
        <f>DD85/(D85)</f>
        <v>8.9718682891911247E-2</v>
      </c>
      <c r="BM85" s="378">
        <f>DD85/(CV85+CW85)</f>
        <v>0.37581970776874574</v>
      </c>
      <c r="BN85" s="378">
        <f>CQ85*DF85</f>
        <v>0.36859595516984828</v>
      </c>
      <c r="BO85" s="378">
        <f>BJ85/I85</f>
        <v>0.66937290033594621</v>
      </c>
      <c r="BP85" s="391">
        <v>128.56100000000001</v>
      </c>
      <c r="BQ85" s="390">
        <f>L85</f>
        <v>498.09999999999997</v>
      </c>
      <c r="BR85" s="389">
        <f>BQ85-(BS85+BT85+BU85)</f>
        <v>0</v>
      </c>
      <c r="BS85" s="381">
        <f>BQ85-BT85-BU85</f>
        <v>33.524000000000001</v>
      </c>
      <c r="BT85" s="381">
        <v>108.592</v>
      </c>
      <c r="BU85" s="381">
        <v>355.98399999999998</v>
      </c>
      <c r="BV85" s="381">
        <v>22.481000000000002</v>
      </c>
      <c r="BW85" s="378">
        <f>BT85/BQ85</f>
        <v>0.21801244729973901</v>
      </c>
      <c r="BX85" s="384">
        <v>340.03899999999999</v>
      </c>
      <c r="BY85" s="383">
        <v>24.838000000000001</v>
      </c>
      <c r="BZ85" s="383">
        <v>56.472999999999999</v>
      </c>
      <c r="CA85" s="383">
        <v>20.257999999999999</v>
      </c>
      <c r="CB85" s="383">
        <v>17.004999999999999</v>
      </c>
      <c r="CC85" s="383">
        <f>CD85+CE85</f>
        <v>51.125999999999998</v>
      </c>
      <c r="CD85" s="383">
        <v>29.425000000000001</v>
      </c>
      <c r="CE85" s="383">
        <v>21.700999999999997</v>
      </c>
      <c r="CF85" s="383">
        <v>10.298</v>
      </c>
      <c r="CG85" s="383">
        <f>BY85+BZ85+CA85+CB85+CD85+CE85+CF85</f>
        <v>179.99799999999999</v>
      </c>
      <c r="CH85" s="383">
        <f>BX85-CG85</f>
        <v>160.041</v>
      </c>
      <c r="CI85" s="378">
        <f>BY85/$BX85</f>
        <v>7.3044562535473881E-2</v>
      </c>
      <c r="CJ85" s="378">
        <f>BZ85/$BX85</f>
        <v>0.16607800869900219</v>
      </c>
      <c r="CK85" s="378">
        <f>CA85/$BX85</f>
        <v>5.9575519278670976E-2</v>
      </c>
      <c r="CL85" s="378">
        <f>CB85/$BX85</f>
        <v>5.0008969559374068E-2</v>
      </c>
      <c r="CM85" s="386">
        <f>CN85+CO85</f>
        <v>0.15035334182255566</v>
      </c>
      <c r="CN85" s="378">
        <f>CD85/$BX85</f>
        <v>8.6534191666250052E-2</v>
      </c>
      <c r="CO85" s="378">
        <f>CE85/$BX85</f>
        <v>6.3819150156305599E-2</v>
      </c>
      <c r="CP85" s="378">
        <f>CF85/$BX85</f>
        <v>3.0284761453833239E-2</v>
      </c>
      <c r="CQ85" s="378">
        <f>CG85/$BX85</f>
        <v>0.52934516334891002</v>
      </c>
      <c r="CR85" s="378">
        <f>CQ85*N85</f>
        <v>0.18873788537157629</v>
      </c>
      <c r="CS85" s="389">
        <f>BX85</f>
        <v>340.03899999999999</v>
      </c>
      <c r="CT85" s="390">
        <f>BX85</f>
        <v>340.03899999999999</v>
      </c>
      <c r="CU85" s="389">
        <f>CT85-(CV85+CW85)</f>
        <v>6.5359999999999445</v>
      </c>
      <c r="CV85" s="388">
        <v>128.56100000000001</v>
      </c>
      <c r="CW85" s="384">
        <v>204.94200000000001</v>
      </c>
      <c r="CX85" s="383">
        <v>21.856000000000002</v>
      </c>
      <c r="CY85" s="383">
        <v>42.981000000000002</v>
      </c>
      <c r="CZ85" s="383">
        <v>15.96</v>
      </c>
      <c r="DA85" s="383">
        <v>12.188000000000001</v>
      </c>
      <c r="DB85" s="383">
        <v>28.332000000000001</v>
      </c>
      <c r="DC85" s="383">
        <v>4.0199999999999996</v>
      </c>
      <c r="DD85" s="384">
        <f>DC85+DB85+DA85+CZ85+CY85+CX85</f>
        <v>125.33700000000002</v>
      </c>
      <c r="DE85" s="384"/>
      <c r="DF85" s="378">
        <f>DD85/CG85</f>
        <v>0.69632440360448467</v>
      </c>
      <c r="DG85" s="383">
        <f>CW85-DD85</f>
        <v>79.60499999999999</v>
      </c>
      <c r="DH85" s="378">
        <f>DD85/CW85</f>
        <v>0.61157303041836231</v>
      </c>
      <c r="DI85" s="378">
        <f>CW85/(CW85+CV85)</f>
        <v>0.61451321277469761</v>
      </c>
      <c r="DJ85" s="385">
        <v>287.90100000000001</v>
      </c>
      <c r="DK85" s="387">
        <v>23.527999999999999</v>
      </c>
      <c r="DL85" s="387">
        <v>51.588000000000001</v>
      </c>
      <c r="DM85" s="387">
        <v>22.193999999999999</v>
      </c>
      <c r="DN85" s="387">
        <v>15.382999999999999</v>
      </c>
      <c r="DO85" s="387">
        <v>42.844999999999999</v>
      </c>
      <c r="DP85" s="387">
        <v>29.149000000000001</v>
      </c>
      <c r="DQ85" s="387">
        <v>4.88</v>
      </c>
      <c r="DR85" s="383">
        <f>DQ85+DO85+DN85+DM85+DL85+DK85</f>
        <v>160.41800000000001</v>
      </c>
      <c r="DS85" s="383">
        <f>DJ85-DR85</f>
        <v>127.483</v>
      </c>
      <c r="DT85" s="386">
        <f>DR85/DJ85</f>
        <v>0.55719848142243344</v>
      </c>
      <c r="DU85" s="385">
        <f>DJ85-CW85</f>
        <v>82.959000000000003</v>
      </c>
      <c r="DV85" s="383">
        <v>82.959000000000003</v>
      </c>
      <c r="DW85" s="383">
        <f>DK85-CX85</f>
        <v>1.671999999999997</v>
      </c>
      <c r="DX85" s="383">
        <f>DL85-CY85</f>
        <v>8.6069999999999993</v>
      </c>
      <c r="DY85" s="383">
        <f>DM85-CZ85</f>
        <v>6.2339999999999982</v>
      </c>
      <c r="DZ85" s="383">
        <f>DN85-DA85</f>
        <v>3.1949999999999985</v>
      </c>
      <c r="EA85" s="383">
        <f>DO85-DB85</f>
        <v>14.512999999999998</v>
      </c>
      <c r="EB85" s="383">
        <f>DQ85-DC85</f>
        <v>0.86000000000000032</v>
      </c>
      <c r="EC85" s="383">
        <f>EB85+EA85+DZ85+DY85+DX85+DW85</f>
        <v>35.080999999999989</v>
      </c>
      <c r="ED85" s="383">
        <f>DU85-EC85</f>
        <v>47.878000000000014</v>
      </c>
      <c r="EE85" s="378">
        <f>EC85/DU85</f>
        <v>0.42287153895297663</v>
      </c>
      <c r="EF85" s="384">
        <v>34.634999999999998</v>
      </c>
      <c r="EG85" s="383">
        <v>2.5840000000000001</v>
      </c>
      <c r="EH85" s="383">
        <v>1.9830000000000001</v>
      </c>
      <c r="EI85" s="383">
        <v>5.3140000000000001</v>
      </c>
      <c r="EJ85" s="383">
        <v>4.3819999999999997</v>
      </c>
      <c r="EK85" s="383">
        <v>-7.8440000000000003</v>
      </c>
      <c r="EL85" s="383">
        <v>1.629</v>
      </c>
      <c r="EM85" s="383">
        <f>EL85+EK85+EJ85+EI85+EH85+EG85</f>
        <v>8.048</v>
      </c>
      <c r="EN85" s="383">
        <f>EF85-EM85</f>
        <v>26.586999999999996</v>
      </c>
      <c r="EO85" s="378">
        <f>EM85/EF85</f>
        <v>0.23236610365237478</v>
      </c>
      <c r="EP85" s="382">
        <v>3565.02</v>
      </c>
      <c r="EQ85" s="381">
        <v>129.82900000000001</v>
      </c>
      <c r="ER85" s="381">
        <v>497.471</v>
      </c>
      <c r="ES85" s="381">
        <v>219.08199999999999</v>
      </c>
      <c r="ET85" s="381">
        <v>131.70699999999999</v>
      </c>
      <c r="EU85" s="381">
        <v>501.58600000000001</v>
      </c>
      <c r="EV85" s="381">
        <v>287.93299999999999</v>
      </c>
      <c r="EW85" s="381">
        <v>87.909000000000006</v>
      </c>
      <c r="EX85" s="381">
        <f>EW85+EU85+ET85+ES85+ER85+EQ85</f>
        <v>1567.5840000000001</v>
      </c>
      <c r="EY85" s="381">
        <f>EP85-EX85</f>
        <v>1997.4359999999999</v>
      </c>
      <c r="EZ85" s="378">
        <f>EX85/EP85</f>
        <v>0.43971254018210276</v>
      </c>
      <c r="FA85" s="380">
        <f>(BX85+(EP85-EP84)-DJ85)/EP84</f>
        <v>0.11899948429896059</v>
      </c>
      <c r="FB85" s="378">
        <f>(BY85+(EQ85-EQ84)-DK85)/EQ84</f>
        <v>-0.1265028541740213</v>
      </c>
      <c r="FC85" s="378">
        <f>(BZ85+(ER85-ER84)-DL85)/ER84</f>
        <v>0.18743721324921581</v>
      </c>
      <c r="FD85" s="378">
        <f>(CA85+(ES85-ES84)-DM85)/ES84</f>
        <v>0.26063709354372389</v>
      </c>
      <c r="FE85" s="378">
        <f>(CB85+(ET85-ET84)-DN85)/ET84</f>
        <v>8.0317064749054281E-4</v>
      </c>
      <c r="FF85" s="378">
        <f>(CC85+(EU85-EU84)-DO85)/EU84</f>
        <v>0.31038196032876036</v>
      </c>
      <c r="FG85" s="378">
        <f>(CD85+(EV85-EV84)-DP85)/EV84</f>
        <v>0.38864449980004528</v>
      </c>
      <c r="FH85" s="378">
        <f>(CF85+(EW85-EW84)-DQ85)/EW84</f>
        <v>0.12213685387584326</v>
      </c>
      <c r="FI85" s="378">
        <f>(CG85+(EX85-EX84)-DR85)/EX84</f>
        <v>0.1748676837437913</v>
      </c>
      <c r="FJ85" s="378">
        <f>(CH85+(EY85-EY84)-DS85)/EY84</f>
        <v>7.8887074203733837E-2</v>
      </c>
      <c r="FK85" s="378">
        <f>(CH85+AO85+(EY85-EY84)-DS85)/EY84</f>
        <v>0.12863295037157937</v>
      </c>
      <c r="FL85" s="379">
        <f>BX85/EP84</f>
        <v>0.10519404063674694</v>
      </c>
      <c r="FM85" s="378">
        <f>BY85/EQ84</f>
        <v>0.16544218049570042</v>
      </c>
      <c r="FN85" s="378">
        <f>BZ85/ER84</f>
        <v>0.13348729137070714</v>
      </c>
      <c r="FO85" s="378">
        <f>CA85/ES84</f>
        <v>0.11760744494952133</v>
      </c>
      <c r="FP85" s="378">
        <f>CB85/ET84</f>
        <v>0.12764408280914563</v>
      </c>
      <c r="FQ85" s="378">
        <f>CC85/EU84</f>
        <v>0.13139620352713197</v>
      </c>
      <c r="FR85" s="378">
        <f>CD85/EV84</f>
        <v>0.14177511599782219</v>
      </c>
      <c r="FS85" s="378">
        <f>CF85/EW84</f>
        <v>0.12382017338190913</v>
      </c>
      <c r="FT85" s="378">
        <f>CG85/EX84</f>
        <v>0.13324006425203377</v>
      </c>
      <c r="FU85" s="378">
        <f>CH85/EY84</f>
        <v>8.50574761514762E-2</v>
      </c>
    </row>
    <row r="86" spans="1:177">
      <c r="B86" s="288">
        <v>2010</v>
      </c>
      <c r="C86" s="344">
        <v>12739.5</v>
      </c>
      <c r="D86" s="352">
        <v>1746.4</v>
      </c>
      <c r="E86" s="343">
        <f>D86/C86</f>
        <v>0.13708544291377214</v>
      </c>
      <c r="F86" s="333">
        <f>D86-(G86+I86)</f>
        <v>0</v>
      </c>
      <c r="G86" s="278">
        <f>D86-I86</f>
        <v>1351.2</v>
      </c>
      <c r="H86" s="302">
        <f>G86/C86</f>
        <v>0.10606381726127399</v>
      </c>
      <c r="I86" s="333">
        <v>395.2</v>
      </c>
      <c r="J86" s="343">
        <f>I86/C86</f>
        <v>3.1021625652498136E-2</v>
      </c>
      <c r="K86" s="361">
        <f>I86/D86</f>
        <v>0.22629409070087034</v>
      </c>
      <c r="L86" s="371">
        <v>584.6</v>
      </c>
      <c r="M86" s="343">
        <f>L86/C86</f>
        <v>4.58887711448644E-2</v>
      </c>
      <c r="N86" s="370">
        <f>L86/D86</f>
        <v>0.3347457627118644</v>
      </c>
      <c r="O86" s="352">
        <f>D86</f>
        <v>1746.4</v>
      </c>
      <c r="P86" s="366">
        <f>O86-(Q86+R86+T86+U86+X86-V86)</f>
        <v>0</v>
      </c>
      <c r="Q86" s="278">
        <v>1254.2</v>
      </c>
      <c r="R86" s="376">
        <v>401.5</v>
      </c>
      <c r="S86" s="374">
        <f>R86/D86</f>
        <v>0.22990151168117268</v>
      </c>
      <c r="T86" s="292">
        <v>72</v>
      </c>
      <c r="U86" s="292">
        <v>-94.3</v>
      </c>
      <c r="V86" s="372">
        <v>152.30000000000001</v>
      </c>
      <c r="W86" s="374">
        <f>V86/D86</f>
        <v>8.7207970682546959E-2</v>
      </c>
      <c r="X86" s="366">
        <f>O86-(Q86+R86+T86+U86-V86)</f>
        <v>265.29999999999995</v>
      </c>
      <c r="Y86" s="367">
        <v>270.823466</v>
      </c>
      <c r="Z86" s="366">
        <f>-20.681</f>
        <v>-20.681000000000001</v>
      </c>
      <c r="AA86" s="366">
        <v>-15.727283999999999</v>
      </c>
      <c r="AB86" s="366">
        <f>Z86-AA86</f>
        <v>-4.9537160000000018</v>
      </c>
      <c r="AC86" s="366">
        <f>Y86+Z86</f>
        <v>250.14246599999998</v>
      </c>
      <c r="AD86" s="302">
        <f>AC86/D86</f>
        <v>0.14323320316078789</v>
      </c>
      <c r="AE86" s="278">
        <v>293.50299999999999</v>
      </c>
      <c r="AF86" s="278">
        <v>263.3910503167067</v>
      </c>
      <c r="AG86" s="326">
        <v>370.6</v>
      </c>
      <c r="AH86" s="295">
        <f>AG86/C86</f>
        <v>2.9090623650849721E-2</v>
      </c>
      <c r="AI86" s="295">
        <f>(AG86-AN86)/C86</f>
        <v>2.2865889556105027E-2</v>
      </c>
      <c r="AJ86" s="357">
        <f>AG86-(AK86+AL86+AM86+AN86)</f>
        <v>0</v>
      </c>
      <c r="AK86" s="288">
        <v>219.29999999999995</v>
      </c>
      <c r="AL86" s="288">
        <v>47.7</v>
      </c>
      <c r="AM86" s="290">
        <v>24.3</v>
      </c>
      <c r="AN86" s="288">
        <v>79.3</v>
      </c>
      <c r="AO86" s="375">
        <v>118.1</v>
      </c>
      <c r="AP86" s="333">
        <v>188.84899999999999</v>
      </c>
      <c r="AQ86" s="333">
        <v>128.01389900000001</v>
      </c>
      <c r="AR86" s="333">
        <v>470.406676</v>
      </c>
      <c r="AS86" s="333">
        <v>413.83469700000001</v>
      </c>
      <c r="AT86" s="361">
        <f>(O86-AG86)/C86</f>
        <v>0.10799481926292243</v>
      </c>
      <c r="AU86" s="360">
        <v>0.35</v>
      </c>
      <c r="AV86" s="359">
        <f>(AK86+AL86)/(G86+L86-T86)</f>
        <v>0.14325571413241758</v>
      </c>
      <c r="AW86" s="353">
        <f>(AK86+AL86)/(G86+L86-T86-AE86)</f>
        <v>0.17003152906743113</v>
      </c>
      <c r="AX86" s="302">
        <f>(AG86-AN86-AM86)/(G86+L86-T86+V86)</f>
        <v>0.1324339070482615</v>
      </c>
      <c r="AY86" s="296">
        <f>(AG86-AN86-AM86+AO86)/(G86+L86-T86+AO86)</f>
        <v>0.19430849185125385</v>
      </c>
      <c r="AZ86" s="353">
        <f>(AG86-AN86-AM86+AO86)/(G86+L86-T86+AO86-AC86)</f>
        <v>0.22237524159083577</v>
      </c>
      <c r="BA86" s="302">
        <f>(AG86-AN86)/Q86</f>
        <v>0.23225960771806731</v>
      </c>
      <c r="BB86" s="302">
        <f>(AG86-AN86)/(Q86+R86)</f>
        <v>0.17593766986772966</v>
      </c>
      <c r="BC86" s="358">
        <f>D86</f>
        <v>1746.4</v>
      </c>
      <c r="BD86" s="357">
        <f>BC86-(BE86+BF86+BG86)</f>
        <v>-9.9999999999909051E-2</v>
      </c>
      <c r="BE86" s="356">
        <f>AG86</f>
        <v>370.6</v>
      </c>
      <c r="BF86" s="314">
        <v>564</v>
      </c>
      <c r="BG86" s="314">
        <v>811.9</v>
      </c>
      <c r="BH86" s="302">
        <f>BG86/D86</f>
        <v>0.46489922125515343</v>
      </c>
      <c r="BI86" s="288">
        <v>538.1</v>
      </c>
      <c r="BJ86" s="288">
        <f>BG86-BI86</f>
        <v>273.79999999999995</v>
      </c>
      <c r="BK86" s="302">
        <f>BJ86/D86</f>
        <v>0.15677966101694912</v>
      </c>
      <c r="BL86" s="302">
        <f>DD86/(D86)</f>
        <v>9.3932661475034346E-2</v>
      </c>
      <c r="BM86" s="302">
        <f>DD86/(CV86+CW86)</f>
        <v>0.39835455702227274</v>
      </c>
      <c r="BN86" s="302">
        <f>CQ86*DF86</f>
        <v>0.39282096718190623</v>
      </c>
      <c r="BO86" s="302">
        <f>BJ86/I86</f>
        <v>0.69281376518218618</v>
      </c>
      <c r="BP86" s="294">
        <v>132.61600000000001</v>
      </c>
      <c r="BQ86" s="355">
        <f>L86</f>
        <v>584.6</v>
      </c>
      <c r="BR86" s="333">
        <f>BQ86-(BS86+BT86+BU86)</f>
        <v>-7.9999999999245119E-3</v>
      </c>
      <c r="BS86" s="278">
        <v>34.125</v>
      </c>
      <c r="BT86" s="278">
        <v>115.377</v>
      </c>
      <c r="BU86" s="278">
        <v>435.10599999999999</v>
      </c>
      <c r="BV86" s="278">
        <v>23.300999999999998</v>
      </c>
      <c r="BW86" s="302">
        <f>BT86/BQ86</f>
        <v>0.19736058843653778</v>
      </c>
      <c r="BX86" s="315">
        <v>417.60500000000002</v>
      </c>
      <c r="BY86" s="314">
        <v>26.99</v>
      </c>
      <c r="BZ86" s="314">
        <v>66.111999999999995</v>
      </c>
      <c r="CA86" s="314">
        <v>31.780999999999999</v>
      </c>
      <c r="CB86" s="314">
        <v>18.86</v>
      </c>
      <c r="CC86" s="314">
        <f>CD86+CE86</f>
        <v>56.034999999999997</v>
      </c>
      <c r="CD86" s="314">
        <v>28.649000000000001</v>
      </c>
      <c r="CE86" s="314">
        <v>27.385999999999996</v>
      </c>
      <c r="CF86" s="314">
        <v>16.137</v>
      </c>
      <c r="CG86" s="314">
        <f>BY86+BZ86+CA86+CB86+CD86+CE86+CF86</f>
        <v>215.91499999999999</v>
      </c>
      <c r="CH86" s="314">
        <f>BX86-CG86</f>
        <v>201.69000000000003</v>
      </c>
      <c r="CI86" s="302">
        <f>BY86/$BX86</f>
        <v>6.4630452221596954E-2</v>
      </c>
      <c r="CJ86" s="302">
        <f>BZ86/$BX86</f>
        <v>0.15831228074376502</v>
      </c>
      <c r="CK86" s="302">
        <f>CA86/$BX86</f>
        <v>7.6103016007950094E-2</v>
      </c>
      <c r="CL86" s="302">
        <f>CB86/$BX86</f>
        <v>4.5162294512757266E-2</v>
      </c>
      <c r="CM86" s="300">
        <f>CN86+CO86</f>
        <v>0.1341818225356497</v>
      </c>
      <c r="CN86" s="302">
        <f>CD86/$BX86</f>
        <v>6.8603105805725512E-2</v>
      </c>
      <c r="CO86" s="302">
        <f>CE86/$BX86</f>
        <v>6.55787167299242E-2</v>
      </c>
      <c r="CP86" s="302">
        <f>CF86/$BX86</f>
        <v>3.8641778714335315E-2</v>
      </c>
      <c r="CQ86" s="302">
        <f>CG86/$BX86</f>
        <v>0.51703164473605434</v>
      </c>
      <c r="CR86" s="302">
        <f>CQ86*N86</f>
        <v>0.17307415226334022</v>
      </c>
      <c r="CS86" s="342">
        <f>BX86</f>
        <v>417.60500000000002</v>
      </c>
      <c r="CT86" s="355">
        <f>BX86</f>
        <v>417.60500000000002</v>
      </c>
      <c r="CU86" s="333">
        <f>CT86-(CV86+CW86)</f>
        <v>5.8010000000000446</v>
      </c>
      <c r="CV86" s="347">
        <v>132.61600000000001</v>
      </c>
      <c r="CW86" s="315">
        <v>279.18799999999999</v>
      </c>
      <c r="CX86" s="314">
        <v>23.684999999999999</v>
      </c>
      <c r="CY86" s="314">
        <v>51.14</v>
      </c>
      <c r="CZ86" s="314">
        <v>25.466999999999999</v>
      </c>
      <c r="DA86" s="314">
        <v>7.1070000000000002</v>
      </c>
      <c r="DB86" s="314">
        <v>46.363</v>
      </c>
      <c r="DC86" s="314">
        <v>10.282</v>
      </c>
      <c r="DD86" s="315">
        <f>DC86+DB86+DA86+CZ86+CY86+CX86</f>
        <v>164.04399999999998</v>
      </c>
      <c r="DE86" s="315"/>
      <c r="DF86" s="302">
        <f>DD86/CG86</f>
        <v>0.7597619433573396</v>
      </c>
      <c r="DG86" s="314">
        <f>CW86-DD86</f>
        <v>115.14400000000001</v>
      </c>
      <c r="DH86" s="302">
        <f>DD86/CW86</f>
        <v>0.58757539722337637</v>
      </c>
      <c r="DI86" s="302">
        <f>CW86/(CW86+CV86)</f>
        <v>0.67796330293052032</v>
      </c>
      <c r="DJ86" s="325">
        <v>277.779</v>
      </c>
      <c r="DK86" s="322">
        <v>28.864999999999998</v>
      </c>
      <c r="DL86" s="322">
        <v>44.978999999999999</v>
      </c>
      <c r="DM86" s="322">
        <v>48.155999999999999</v>
      </c>
      <c r="DN86" s="322">
        <v>-0.35299999999999998</v>
      </c>
      <c r="DO86" s="322">
        <v>28.739000000000001</v>
      </c>
      <c r="DP86" s="322">
        <v>12.976000000000001</v>
      </c>
      <c r="DQ86" s="322">
        <v>15.500999999999999</v>
      </c>
      <c r="DR86" s="314">
        <f>DQ86+DO86+DN86+DM86+DL86+DK86</f>
        <v>165.887</v>
      </c>
      <c r="DS86" s="314">
        <f>DJ86-DR86</f>
        <v>111.892</v>
      </c>
      <c r="DT86" s="300">
        <f>DR86/DJ86</f>
        <v>0.59719057236148165</v>
      </c>
      <c r="DU86" s="325">
        <f>DJ86-CW86</f>
        <v>-1.4089999999999918</v>
      </c>
      <c r="DV86" s="314">
        <v>-1.41</v>
      </c>
      <c r="DW86" s="314">
        <f>DK86-CX86</f>
        <v>5.18</v>
      </c>
      <c r="DX86" s="314">
        <f>DL86-CY86</f>
        <v>-6.1610000000000014</v>
      </c>
      <c r="DY86" s="314">
        <f>DM86-CZ86</f>
        <v>22.689</v>
      </c>
      <c r="DZ86" s="314">
        <f>DN86-DA86</f>
        <v>-7.46</v>
      </c>
      <c r="EA86" s="314">
        <f>DO86-DB86</f>
        <v>-17.623999999999999</v>
      </c>
      <c r="EB86" s="314">
        <f>DQ86-DC86</f>
        <v>5.2189999999999994</v>
      </c>
      <c r="EC86" s="314">
        <f>EB86+EA86+DZ86+DY86+DX86+DW86</f>
        <v>1.843</v>
      </c>
      <c r="ED86" s="314">
        <f>DU86-EC86</f>
        <v>-3.2519999999999918</v>
      </c>
      <c r="EE86" s="302">
        <f>EC86/DU86</f>
        <v>-1.3080198722498302</v>
      </c>
      <c r="EF86" s="315">
        <v>40.549999999999997</v>
      </c>
      <c r="EG86" s="314">
        <v>-0.56699999999999995</v>
      </c>
      <c r="EH86" s="314">
        <v>5.7839999999999998</v>
      </c>
      <c r="EI86" s="314">
        <v>18.995999999999999</v>
      </c>
      <c r="EJ86" s="323">
        <f>(EJ85+EJ87)/2</f>
        <v>4.0854999999999997</v>
      </c>
      <c r="EK86" s="314">
        <v>-8.5839999999999996</v>
      </c>
      <c r="EL86" s="314">
        <v>2.1469999999999998</v>
      </c>
      <c r="EM86" s="314">
        <f>EL86+EK86+EJ86+EI86+EH86+EG86</f>
        <v>21.861499999999999</v>
      </c>
      <c r="EN86" s="314">
        <f>EF86-EM86</f>
        <v>18.688499999999998</v>
      </c>
      <c r="EO86" s="302">
        <f>EM86/EF86</f>
        <v>0.53912453760789147</v>
      </c>
      <c r="EP86" s="352">
        <v>3741.91</v>
      </c>
      <c r="EQ86" s="278">
        <v>158.851</v>
      </c>
      <c r="ER86" s="278">
        <v>514.68899999999996</v>
      </c>
      <c r="ES86" s="278">
        <v>272.20600000000002</v>
      </c>
      <c r="ET86" s="278">
        <v>119.89100000000001</v>
      </c>
      <c r="EU86" s="278">
        <v>518.43799999999999</v>
      </c>
      <c r="EV86" s="278">
        <v>265.524</v>
      </c>
      <c r="EW86" s="278">
        <v>102.77800000000001</v>
      </c>
      <c r="EX86" s="278">
        <f>EW86+EU86+ET86+ES86+ER86+EQ86</f>
        <v>1686.8530000000001</v>
      </c>
      <c r="EY86" s="278">
        <f>EP86-EX86</f>
        <v>2055.0569999999998</v>
      </c>
      <c r="EZ86" s="302">
        <f>EX86/EP86</f>
        <v>0.45079999251719044</v>
      </c>
      <c r="FA86" s="308">
        <f>(BX86+(EP86-EP85)-DJ86)/EP85</f>
        <v>8.8839894306343273E-2</v>
      </c>
      <c r="FB86" s="302">
        <f>(BY86+(EQ86-EQ85)-DK86)/EQ85</f>
        <v>0.20909812137503936</v>
      </c>
      <c r="FC86" s="302">
        <f>(BZ86+(ER86-ER85)-DL86)/ER85</f>
        <v>7.7091930986931817E-2</v>
      </c>
      <c r="FD86" s="302">
        <f>(CA86+(ES86-ES85)-DM86)/ES85</f>
        <v>0.16774084589331864</v>
      </c>
      <c r="FE86" s="302">
        <f>(CB86+(ET86-ET85)-DN86)/ET85</f>
        <v>5.6162542613528599E-2</v>
      </c>
      <c r="FF86" s="302">
        <f>(CC86+(EU86-EU85)-DO86)/EU85</f>
        <v>8.8016810676533969E-2</v>
      </c>
      <c r="FG86" s="302">
        <f>(CD86+(EV86-EV85)-DP86)/EV85</f>
        <v>-2.3394331320133476E-2</v>
      </c>
      <c r="FH86" s="302">
        <f>(CF86+(EW86-EW85)-DQ86)/EW85</f>
        <v>0.17637557019190298</v>
      </c>
      <c r="FI86" s="302">
        <f>(CG86+(EX86-EX85)-DR86)/EX85</f>
        <v>0.10799867822075242</v>
      </c>
      <c r="FJ86" s="302">
        <f>(CH86+(EY86-EY85)-DS86)/EY85</f>
        <v>7.3804116877837347E-2</v>
      </c>
      <c r="FK86" s="302">
        <f>(CH86+AO86+(EY86-EY85)-DS86)/EY85</f>
        <v>0.13292991615250746</v>
      </c>
      <c r="FL86" s="296">
        <f>BX86/EP85</f>
        <v>0.117139595289788</v>
      </c>
      <c r="FM86" s="302">
        <f>BY86/EQ85</f>
        <v>0.20788883839511971</v>
      </c>
      <c r="FN86" s="302">
        <f>BZ86/ER85</f>
        <v>0.13289618892357544</v>
      </c>
      <c r="FO86" s="302">
        <f>CA86/ES85</f>
        <v>0.14506440510858948</v>
      </c>
      <c r="FP86" s="302">
        <f>CB86/ET85</f>
        <v>0.14319664102895063</v>
      </c>
      <c r="FQ86" s="302">
        <f>CC86/EU85</f>
        <v>0.1117156379962758</v>
      </c>
      <c r="FR86" s="302">
        <f>CD86/EV85</f>
        <v>9.9498841744433603E-2</v>
      </c>
      <c r="FS86" s="302">
        <f>CF86/EW85</f>
        <v>0.18356482271439784</v>
      </c>
      <c r="FT86" s="302">
        <f>CG86/EX85</f>
        <v>0.13773743544205605</v>
      </c>
      <c r="FU86" s="302">
        <f>CH86/EY85</f>
        <v>0.10097444924393073</v>
      </c>
    </row>
    <row r="87" spans="1:177">
      <c r="B87" s="288">
        <v>2011</v>
      </c>
      <c r="C87" s="344">
        <v>13352.3</v>
      </c>
      <c r="D87" s="352">
        <v>1816.6</v>
      </c>
      <c r="E87" s="343">
        <f>D87/C87</f>
        <v>0.13605146678849336</v>
      </c>
      <c r="F87" s="333">
        <f>D87-(G87+I87)</f>
        <v>0</v>
      </c>
      <c r="G87" s="278">
        <f>D87-I87</f>
        <v>1394.6999999999998</v>
      </c>
      <c r="H87" s="302">
        <f>G87/C87</f>
        <v>0.10445391430689843</v>
      </c>
      <c r="I87" s="333">
        <v>421.9</v>
      </c>
      <c r="J87" s="343">
        <f>I87/C87</f>
        <v>3.1597552481594932E-2</v>
      </c>
      <c r="K87" s="361">
        <f>I87/D87</f>
        <v>0.23224705493779588</v>
      </c>
      <c r="L87" s="371">
        <v>644.29999999999995</v>
      </c>
      <c r="M87" s="343">
        <f>L87/C87</f>
        <v>4.8253858885735045E-2</v>
      </c>
      <c r="N87" s="370">
        <f>L87/D87</f>
        <v>0.35467356600242211</v>
      </c>
      <c r="O87" s="352">
        <f>D87</f>
        <v>1816.6</v>
      </c>
      <c r="P87" s="366">
        <f>O87-(Q87+R87+T87+U87+X87-V87)</f>
        <v>0</v>
      </c>
      <c r="Q87" s="373">
        <v>1242.9000000000001</v>
      </c>
      <c r="R87" s="376">
        <v>366.5</v>
      </c>
      <c r="S87" s="374">
        <f>R87/D87</f>
        <v>0.20175052295497084</v>
      </c>
      <c r="T87" s="292">
        <v>76.5</v>
      </c>
      <c r="U87" s="292">
        <v>9.7999999999999972</v>
      </c>
      <c r="V87" s="375">
        <v>175.2</v>
      </c>
      <c r="W87" s="374">
        <f>V87/D87</f>
        <v>9.6443906198392604E-2</v>
      </c>
      <c r="X87" s="366">
        <f>O87-(Q87+R87+T87+U87-V87)</f>
        <v>296.09999999999991</v>
      </c>
      <c r="Y87" s="367">
        <v>294.17491799999999</v>
      </c>
      <c r="Z87" s="366">
        <f>Z86*Y87/Y86</f>
        <v>-22.464196212443422</v>
      </c>
      <c r="AA87" s="366"/>
      <c r="AB87" s="366"/>
      <c r="AC87" s="366">
        <f>Y87+Z87</f>
        <v>271.71072178755657</v>
      </c>
      <c r="AD87" s="353">
        <f>AC87/D87</f>
        <v>0.14957102377383935</v>
      </c>
      <c r="AE87" s="373">
        <v>325.274</v>
      </c>
      <c r="AF87" s="373">
        <v>285.59349027735755</v>
      </c>
      <c r="AG87" s="326">
        <v>379.1</v>
      </c>
      <c r="AH87" s="295">
        <f>AG87/C87</f>
        <v>2.8392112220366531E-2</v>
      </c>
      <c r="AI87" s="295">
        <f>(AG87-AN87)/C87</f>
        <v>2.2745145031193133E-2</v>
      </c>
      <c r="AJ87" s="357">
        <f>AG87-(AK87+AL87+AM87+AN87)</f>
        <v>0</v>
      </c>
      <c r="AK87" s="348">
        <f>AG87-AL87-AM87-AN87</f>
        <v>223.50000000000003</v>
      </c>
      <c r="AL87" s="288">
        <v>50.7</v>
      </c>
      <c r="AM87" s="290">
        <v>29.5</v>
      </c>
      <c r="AN87" s="288">
        <v>75.400000000000006</v>
      </c>
      <c r="AO87" s="372">
        <v>107.1</v>
      </c>
      <c r="AP87" s="333">
        <v>196.386</v>
      </c>
      <c r="AQ87" s="333"/>
      <c r="AR87" s="333"/>
      <c r="AS87" s="333"/>
      <c r="AT87" s="361">
        <f>(O87-AG87)/C87</f>
        <v>0.10765935456812685</v>
      </c>
      <c r="AU87" s="360">
        <v>0.35</v>
      </c>
      <c r="AV87" s="359">
        <f>(AK87+AL87)/(G87+L87-T87)</f>
        <v>0.13971974522292999</v>
      </c>
      <c r="AW87" s="353">
        <f>(AK87+AL87)/(G87+L87-T87-AE87)</f>
        <v>0.16747840554694349</v>
      </c>
      <c r="AX87" s="302">
        <f>(AG87-AN87-AM87)/(G87+L87-T87+V87)</f>
        <v>0.12826870000467797</v>
      </c>
      <c r="AY87" s="296">
        <f>(AG87-AN87-AM87+AO87)/(G87+L87-T87+AO87)</f>
        <v>0.18423850019327409</v>
      </c>
      <c r="AZ87" s="353">
        <f>(AG87-AN87-AM87+AO87)/(G87+L87-T87+AO87-AC87)</f>
        <v>0.21208202564014883</v>
      </c>
      <c r="BA87" s="302">
        <f>(AG87-AN87)/Q87</f>
        <v>0.24434789604956153</v>
      </c>
      <c r="BB87" s="302">
        <f>(AG87-AN87)/(Q87+R87)</f>
        <v>0.18870386479433332</v>
      </c>
      <c r="BC87" s="358">
        <f>D87</f>
        <v>1816.6</v>
      </c>
      <c r="BD87" s="357">
        <f>BC87-(BE87+BF87+BG87)</f>
        <v>-0.1000000000003638</v>
      </c>
      <c r="BE87" s="356">
        <f>AG87</f>
        <v>379.1</v>
      </c>
      <c r="BF87" s="314">
        <v>703.7</v>
      </c>
      <c r="BG87" s="314">
        <v>733.9</v>
      </c>
      <c r="BH87" s="302">
        <f>BG87/D87</f>
        <v>0.4039964769349334</v>
      </c>
      <c r="BI87" s="288">
        <v>466.9</v>
      </c>
      <c r="BJ87" s="288">
        <f>BG87-BI87</f>
        <v>267</v>
      </c>
      <c r="BK87" s="302">
        <f>BJ87/D87</f>
        <v>0.14697787074755037</v>
      </c>
      <c r="BL87" s="302">
        <f>DD87/(D87)</f>
        <v>9.4363095893427285E-2</v>
      </c>
      <c r="BM87" s="302">
        <f>DD87/(CV87+CW87)</f>
        <v>0.38867575436018825</v>
      </c>
      <c r="BN87" s="302">
        <f>CQ87*DF87</f>
        <v>0.38243332180664152</v>
      </c>
      <c r="BO87" s="302">
        <f>BJ87/I87</f>
        <v>0.63285138658449869</v>
      </c>
      <c r="BP87" s="294">
        <v>151.12200000000001</v>
      </c>
      <c r="BQ87" s="355">
        <f>L87</f>
        <v>644.29999999999995</v>
      </c>
      <c r="BR87" s="333">
        <f>BQ87-(BS87+BT87+BU87)</f>
        <v>0</v>
      </c>
      <c r="BS87" s="278">
        <f>BQ87-BT87-BU87</f>
        <v>33.296999999999969</v>
      </c>
      <c r="BT87" s="278">
        <v>147.47399999999999</v>
      </c>
      <c r="BU87" s="278">
        <v>463.529</v>
      </c>
      <c r="BV87" s="278">
        <v>22.492999999999999</v>
      </c>
      <c r="BW87" s="302">
        <f>BT87/BQ87</f>
        <v>0.22889026850845878</v>
      </c>
      <c r="BX87" s="315">
        <v>448.23500000000001</v>
      </c>
      <c r="BY87" s="314">
        <v>31.606999999999999</v>
      </c>
      <c r="BZ87" s="314">
        <v>76.897000000000006</v>
      </c>
      <c r="CA87" s="314">
        <v>23.904</v>
      </c>
      <c r="CB87" s="314">
        <v>18.991</v>
      </c>
      <c r="CC87" s="314">
        <f>CD87+CE87</f>
        <v>59.070999999999998</v>
      </c>
      <c r="CD87" s="314">
        <v>31.952000000000002</v>
      </c>
      <c r="CE87" s="314">
        <v>27.118999999999996</v>
      </c>
      <c r="CF87" s="314">
        <v>21.437000000000001</v>
      </c>
      <c r="CG87" s="314">
        <f>BY87+BZ87+CA87+CB87+CD87+CE87+CF87</f>
        <v>231.90700000000001</v>
      </c>
      <c r="CH87" s="314">
        <f>BX87-CG87</f>
        <v>216.328</v>
      </c>
      <c r="CI87" s="302">
        <f>BY87/$BX87</f>
        <v>7.051435073120127E-2</v>
      </c>
      <c r="CJ87" s="302">
        <f>BZ87/$BX87</f>
        <v>0.17155509944560332</v>
      </c>
      <c r="CK87" s="302">
        <f>CA87/$BX87</f>
        <v>5.3329168851160659E-2</v>
      </c>
      <c r="CL87" s="302">
        <f>CB87/$BX87</f>
        <v>4.23684005041998E-2</v>
      </c>
      <c r="CM87" s="300">
        <f>CN87+CO87</f>
        <v>0.13178578201166799</v>
      </c>
      <c r="CN87" s="302">
        <f>CD87/$BX87</f>
        <v>7.128403627561436E-2</v>
      </c>
      <c r="CO87" s="302">
        <f>CE87/$BX87</f>
        <v>6.0501745736053623E-2</v>
      </c>
      <c r="CP87" s="302">
        <f>CF87/$BX87</f>
        <v>4.7825359465458968E-2</v>
      </c>
      <c r="CQ87" s="302">
        <f>CG87/$BX87</f>
        <v>0.51737816100929201</v>
      </c>
      <c r="CR87" s="302">
        <f>CQ87*N87</f>
        <v>0.18350035733694089</v>
      </c>
      <c r="CS87" s="342">
        <f>BX87</f>
        <v>448.23500000000001</v>
      </c>
      <c r="CT87" s="355">
        <f>BX87</f>
        <v>448.23500000000001</v>
      </c>
      <c r="CU87" s="333">
        <f>CT87-(CV87+CW87)</f>
        <v>7.1990000000000123</v>
      </c>
      <c r="CV87" s="347">
        <v>151.12200000000001</v>
      </c>
      <c r="CW87" s="315">
        <v>289.91399999999999</v>
      </c>
      <c r="CX87" s="314">
        <v>27.989000000000001</v>
      </c>
      <c r="CY87" s="314">
        <v>64.942999999999998</v>
      </c>
      <c r="CZ87" s="314">
        <v>19.739000000000001</v>
      </c>
      <c r="DA87" s="314">
        <v>7.452</v>
      </c>
      <c r="DB87" s="314">
        <v>42.652000000000001</v>
      </c>
      <c r="DC87" s="314">
        <v>8.6449999999999996</v>
      </c>
      <c r="DD87" s="315">
        <f>DC87+DB87+DA87+CZ87+CY87+CX87</f>
        <v>171.42</v>
      </c>
      <c r="DE87" s="315"/>
      <c r="DF87" s="302">
        <f>DD87/CG87</f>
        <v>0.73917561781231256</v>
      </c>
      <c r="DG87" s="314">
        <f>CW87-DD87</f>
        <v>118.494</v>
      </c>
      <c r="DH87" s="302">
        <f>DD87/CW87</f>
        <v>0.59127879302137876</v>
      </c>
      <c r="DI87" s="302">
        <f>CW87/(CW87+CV87)</f>
        <v>0.65734769950752314</v>
      </c>
      <c r="DJ87" s="325">
        <v>386.72399999999999</v>
      </c>
      <c r="DK87" s="322">
        <v>22.587</v>
      </c>
      <c r="DL87" s="322">
        <v>75.007000000000005</v>
      </c>
      <c r="DM87" s="322">
        <v>50.183999999999997</v>
      </c>
      <c r="DN87" s="322">
        <v>9.1509999999999998</v>
      </c>
      <c r="DO87" s="322">
        <v>45.781999999999996</v>
      </c>
      <c r="DP87" s="322">
        <v>22.013000000000002</v>
      </c>
      <c r="DQ87" s="322">
        <v>10.159000000000001</v>
      </c>
      <c r="DR87" s="314">
        <f>DQ87+DO87+DN87+DM87+DL87+DK87</f>
        <v>212.87</v>
      </c>
      <c r="DS87" s="314">
        <f>DJ87-DR87</f>
        <v>173.85399999999998</v>
      </c>
      <c r="DT87" s="300">
        <f>DR87/DJ87</f>
        <v>0.55044424447409523</v>
      </c>
      <c r="DU87" s="325">
        <f>DJ87-CW87</f>
        <v>96.81</v>
      </c>
      <c r="DV87" s="314">
        <v>82.507000000000005</v>
      </c>
      <c r="DW87" s="314">
        <f>DK87-CX87</f>
        <v>-5.402000000000001</v>
      </c>
      <c r="DX87" s="314">
        <f>DL87-CY87</f>
        <v>10.064000000000007</v>
      </c>
      <c r="DY87" s="314">
        <f>DM87-CZ87</f>
        <v>30.444999999999997</v>
      </c>
      <c r="DZ87" s="314">
        <f>DN87-DA87</f>
        <v>1.6989999999999998</v>
      </c>
      <c r="EA87" s="314">
        <f>DO87-DB87</f>
        <v>3.1299999999999955</v>
      </c>
      <c r="EB87" s="314">
        <f>DQ87-DC87</f>
        <v>1.5140000000000011</v>
      </c>
      <c r="EC87" s="314">
        <f>EB87+EA87+DZ87+DY87+DX87+DW87</f>
        <v>41.45</v>
      </c>
      <c r="ED87" s="314">
        <f>DU87-EC87</f>
        <v>55.36</v>
      </c>
      <c r="EE87" s="302">
        <f>EC87/DU87</f>
        <v>0.42815824811486419</v>
      </c>
      <c r="EF87" s="315">
        <v>64.748000000000005</v>
      </c>
      <c r="EG87" s="314">
        <v>0.99299999999999999</v>
      </c>
      <c r="EH87" s="314">
        <v>4.2679999999999998</v>
      </c>
      <c r="EI87" s="314">
        <v>10.19</v>
      </c>
      <c r="EJ87" s="314">
        <v>3.7890000000000001</v>
      </c>
      <c r="EK87" s="314">
        <v>2.9380000000000002</v>
      </c>
      <c r="EL87" s="314">
        <v>2.419</v>
      </c>
      <c r="EM87" s="314">
        <f>EL87+EK87+EJ87+EI87+EH87+EG87</f>
        <v>24.596999999999998</v>
      </c>
      <c r="EN87" s="314">
        <f>EF87-EM87</f>
        <v>40.15100000000001</v>
      </c>
      <c r="EO87" s="302">
        <f>EM87/EF87</f>
        <v>0.37988818187434353</v>
      </c>
      <c r="EP87" s="352">
        <v>4084.6590000000001</v>
      </c>
      <c r="EQ87" s="278">
        <v>189.44900000000001</v>
      </c>
      <c r="ER87" s="278">
        <v>573.721</v>
      </c>
      <c r="ES87" s="278">
        <v>350.61900000000003</v>
      </c>
      <c r="ET87" s="278">
        <v>113.715</v>
      </c>
      <c r="EU87" s="278">
        <v>551.70000000000005</v>
      </c>
      <c r="EV87" s="278">
        <v>280.46100000000001</v>
      </c>
      <c r="EW87" s="278">
        <v>118.571</v>
      </c>
      <c r="EX87" s="278">
        <f>EW87+EU87+ET87+ES87+ER87+EQ87</f>
        <v>1897.7750000000001</v>
      </c>
      <c r="EY87" s="278">
        <f>EP87-EX87</f>
        <v>2186.884</v>
      </c>
      <c r="EZ87" s="302">
        <f>EX87/EP87</f>
        <v>0.46461038730528059</v>
      </c>
      <c r="FA87" s="308">
        <f>(BX87+(EP87-EP86)-DJ87)/EP86</f>
        <v>0.10803573576061432</v>
      </c>
      <c r="FB87" s="302">
        <f>(BY87+(EQ87-EQ86)-DK87)/EQ86</f>
        <v>0.24940352909330132</v>
      </c>
      <c r="FC87" s="302">
        <f>(BZ87+(ER87-ER86)-DL87)/ER86</f>
        <v>0.11836662528245218</v>
      </c>
      <c r="FD87" s="302">
        <f>(CA87+(ES87-ES86)-DM87)/ES86</f>
        <v>0.19152039264380655</v>
      </c>
      <c r="FE87" s="302">
        <f>(CB87+(ET87-ET86)-DN87)/ET86</f>
        <v>3.0561092992801776E-2</v>
      </c>
      <c r="FF87" s="302">
        <f>(CC87+(EU87-EU86)-DO87)/EU86</f>
        <v>8.9790871811094214E-2</v>
      </c>
      <c r="FG87" s="302">
        <f>(CD87+(EV87-EV86)-DP87)/EV86</f>
        <v>9.3686446422922259E-2</v>
      </c>
      <c r="FH87" s="302">
        <f>(CF87+(EW87-EW86)-DQ87)/EW86</f>
        <v>0.26339294401525609</v>
      </c>
      <c r="FI87" s="302">
        <f>(CG87+(EX87-EX86)-DR87)/EX86</f>
        <v>0.13632426773405865</v>
      </c>
      <c r="FJ87" s="302">
        <f>(CH87+(EY87-EY86)-DS87)/EY86</f>
        <v>8.4815652315240034E-2</v>
      </c>
      <c r="FK87" s="302">
        <f>(CH87+AO87+(EY87-EY86)-DS87)/EY86</f>
        <v>0.13693099510135254</v>
      </c>
      <c r="FL87" s="296">
        <f>BX87/EP86</f>
        <v>0.11978775545109317</v>
      </c>
      <c r="FM87" s="302">
        <f>BY87/EQ86</f>
        <v>0.19897262214276271</v>
      </c>
      <c r="FN87" s="302">
        <f>BZ87/ER86</f>
        <v>0.14940478619127281</v>
      </c>
      <c r="FO87" s="302">
        <f>CA87/ES86</f>
        <v>8.7815845352416919E-2</v>
      </c>
      <c r="FP87" s="302">
        <f>CB87/ET86</f>
        <v>0.15840221534560558</v>
      </c>
      <c r="FQ87" s="302">
        <f>CC87/EU86</f>
        <v>0.11394033616362997</v>
      </c>
      <c r="FR87" s="302">
        <f>CD87/EV86</f>
        <v>0.12033563820972869</v>
      </c>
      <c r="FS87" s="302">
        <f>CF87/EW86</f>
        <v>0.20857576524158866</v>
      </c>
      <c r="FT87" s="302">
        <f>CG87/EX86</f>
        <v>0.13747908086833885</v>
      </c>
      <c r="FU87" s="302">
        <f>CH87/EY86</f>
        <v>0.10526617996483797</v>
      </c>
    </row>
    <row r="88" spans="1:177">
      <c r="B88" s="288">
        <v>2012</v>
      </c>
      <c r="C88" s="344">
        <v>14069.5</v>
      </c>
      <c r="D88" s="352">
        <v>2022.8</v>
      </c>
      <c r="E88" s="343">
        <f>D88/C88</f>
        <v>0.14377198905433738</v>
      </c>
      <c r="F88" s="333">
        <f>D88-(G88+I88)</f>
        <v>0</v>
      </c>
      <c r="G88" s="278">
        <f>D88-I88</f>
        <v>1618.1</v>
      </c>
      <c r="H88" s="302">
        <f>G88/C88</f>
        <v>0.1150076406411031</v>
      </c>
      <c r="I88" s="333">
        <v>404.7</v>
      </c>
      <c r="J88" s="343">
        <f>I88/C88</f>
        <v>2.87643484132343E-2</v>
      </c>
      <c r="K88" s="361">
        <f>I88/D88</f>
        <v>0.20006921099466088</v>
      </c>
      <c r="L88" s="371">
        <v>644.4</v>
      </c>
      <c r="M88" s="343">
        <f>L88/C88</f>
        <v>4.5801201179857136E-2</v>
      </c>
      <c r="N88" s="370">
        <f>L88/D88</f>
        <v>0.31856832113901523</v>
      </c>
      <c r="O88" s="352">
        <f>D88</f>
        <v>2022.8</v>
      </c>
      <c r="P88" s="366">
        <f>O88-(Q88+R88+T88+U88+X88-V88)</f>
        <v>0</v>
      </c>
      <c r="Q88" s="351">
        <f>Q87*D88/D87</f>
        <v>1383.9800286249038</v>
      </c>
      <c r="R88" s="365">
        <f>S88*D88</f>
        <v>408.10095783331502</v>
      </c>
      <c r="S88" s="368">
        <f>S$87</f>
        <v>0.20175052295497084</v>
      </c>
      <c r="T88" s="292">
        <v>88.4</v>
      </c>
      <c r="U88" s="292">
        <v>-113.3</v>
      </c>
      <c r="V88" s="369">
        <f>W88*D88</f>
        <v>235.54273345810856</v>
      </c>
      <c r="W88" s="368">
        <f>W87+0.02</f>
        <v>0.11644390619839261</v>
      </c>
      <c r="X88" s="366">
        <f>O88-(Q88+R88+T88+U88-V88)</f>
        <v>491.1617469998896</v>
      </c>
      <c r="Y88" s="367"/>
      <c r="Z88" s="366"/>
      <c r="AA88" s="366"/>
      <c r="AB88" s="366"/>
      <c r="AC88" s="365">
        <f>AC87*AF88/AF87</f>
        <v>305.20583457556052</v>
      </c>
      <c r="AD88" s="353">
        <f>AC88/D88</f>
        <v>0.15088285276624508</v>
      </c>
      <c r="AE88" s="351"/>
      <c r="AF88" s="351">
        <v>320.8</v>
      </c>
      <c r="AG88" s="326">
        <v>454.8</v>
      </c>
      <c r="AH88" s="295">
        <f>AG88/C88</f>
        <v>3.2325242545932692E-2</v>
      </c>
      <c r="AI88" s="295">
        <f>(AG88-AN88)/C88</f>
        <v>2.6042147908596609E-2</v>
      </c>
      <c r="AJ88" s="357">
        <f>AG88-(AK88+AL88+AM88+AN88)</f>
        <v>0</v>
      </c>
      <c r="AK88" s="348">
        <f>AG88-AL88-AM88-AN88</f>
        <v>285.5</v>
      </c>
      <c r="AL88" s="288">
        <v>51.4</v>
      </c>
      <c r="AM88" s="363">
        <f>AM87</f>
        <v>29.5</v>
      </c>
      <c r="AN88" s="288">
        <v>88.4</v>
      </c>
      <c r="AO88" s="362">
        <f>AO87</f>
        <v>107.1</v>
      </c>
      <c r="AP88" s="333">
        <v>250.09325000000001</v>
      </c>
      <c r="AQ88" s="333"/>
      <c r="AR88" s="333"/>
      <c r="AS88" s="333"/>
      <c r="AT88" s="361">
        <f>(O88-AG88)/C88</f>
        <v>0.11144674650840471</v>
      </c>
      <c r="AU88" s="360">
        <v>0.35</v>
      </c>
      <c r="AV88" s="359">
        <f>(AK88+AL88)/(G88+L88-T88)</f>
        <v>0.15496067338208913</v>
      </c>
      <c r="AW88" s="353">
        <f>(AK88+AL88)/(G88+L88-T88-AE88)</f>
        <v>0.15496067338208913</v>
      </c>
      <c r="AX88" s="302">
        <f>(AG88-AN88-AM88)/(G88+L88-T88+V88)</f>
        <v>0.13981325750996729</v>
      </c>
      <c r="AY88" s="296">
        <f>(AG88-AN88-AM88+AO88)/(G88+L88-T88+AO88)</f>
        <v>0.19463440294581802</v>
      </c>
      <c r="AZ88" s="353">
        <f>(AG88-AN88-AM88+AO88)/(G88+L88-T88+AO88-AC88)</f>
        <v>0.22469701974278336</v>
      </c>
      <c r="BA88" s="302">
        <f>(AG88-AN88)/Q88</f>
        <v>0.26474370469351938</v>
      </c>
      <c r="BB88" s="302">
        <f>(AG88-AN88)/(Q88+R88)</f>
        <v>0.20445504570869591</v>
      </c>
      <c r="BC88" s="358">
        <f>D88</f>
        <v>2022.8</v>
      </c>
      <c r="BD88" s="357">
        <f>BC88-(BE88+BF88+BG88)</f>
        <v>0</v>
      </c>
      <c r="BE88" s="356">
        <f>AG88</f>
        <v>454.8</v>
      </c>
      <c r="BF88" s="314">
        <v>857.1</v>
      </c>
      <c r="BG88" s="314">
        <v>710.9</v>
      </c>
      <c r="BH88" s="302">
        <f>BG88/D88</f>
        <v>0.35144354360292662</v>
      </c>
      <c r="BI88" s="288">
        <v>485.9</v>
      </c>
      <c r="BJ88" s="288">
        <f>BG88-BI88</f>
        <v>225</v>
      </c>
      <c r="BK88" s="302">
        <f>BJ88/D88</f>
        <v>0.11123195570496341</v>
      </c>
      <c r="BL88" s="302">
        <f>DD88/(D88)</f>
        <v>7.4127941467273084E-2</v>
      </c>
      <c r="BM88" s="302">
        <f>DD88/(CV88+CW88)</f>
        <v>0.35366541109541322</v>
      </c>
      <c r="BN88" s="302">
        <f>CQ88*DF88</f>
        <v>0.34715427767063572</v>
      </c>
      <c r="BO88" s="302">
        <f>BJ88/I88</f>
        <v>0.55596738324684958</v>
      </c>
      <c r="BP88" s="294">
        <v>155.238</v>
      </c>
      <c r="BQ88" s="355">
        <f>L88</f>
        <v>644.4</v>
      </c>
      <c r="BR88" s="333">
        <f>BQ88-(BS88+BT88+BU88)</f>
        <v>0</v>
      </c>
      <c r="BS88" s="278">
        <f>BQ88-BT88-BU88</f>
        <v>32.354999999999961</v>
      </c>
      <c r="BT88" s="278">
        <v>166.42500000000001</v>
      </c>
      <c r="BU88" s="278">
        <v>445.62</v>
      </c>
      <c r="BV88" s="278">
        <v>21.643000000000001</v>
      </c>
      <c r="BW88" s="302">
        <f>BT88/BQ88</f>
        <v>0.25826350093109873</v>
      </c>
      <c r="BX88" s="315">
        <v>431.92899999999997</v>
      </c>
      <c r="BY88" s="314">
        <v>38.290999999999997</v>
      </c>
      <c r="BZ88" s="314">
        <v>70.587999999999994</v>
      </c>
      <c r="CA88" s="314">
        <v>27.8</v>
      </c>
      <c r="CB88" s="314">
        <v>19.076000000000001</v>
      </c>
      <c r="CC88" s="314">
        <f>CD88+CE88</f>
        <v>54.164999999999999</v>
      </c>
      <c r="CD88" s="314">
        <v>29.853999999999999</v>
      </c>
      <c r="CE88" s="314">
        <v>24.311</v>
      </c>
      <c r="CF88" s="314">
        <v>21.123000000000001</v>
      </c>
      <c r="CG88" s="314">
        <f>BY88+BZ88+CA88+CB88+CD88+CE88+CF88</f>
        <v>231.04299999999998</v>
      </c>
      <c r="CH88" s="314">
        <f>BX88-CG88</f>
        <v>200.886</v>
      </c>
      <c r="CI88" s="302">
        <f>BY88/$BX88</f>
        <v>8.8651144053768088E-2</v>
      </c>
      <c r="CJ88" s="302">
        <f>BZ88/$BX88</f>
        <v>0.16342500735074514</v>
      </c>
      <c r="CK88" s="302">
        <f>CA88/$BX88</f>
        <v>6.4362429936401594E-2</v>
      </c>
      <c r="CL88" s="302">
        <f>CB88/$BX88</f>
        <v>4.4164665952043047E-2</v>
      </c>
      <c r="CM88" s="300">
        <f>CN88+CO88</f>
        <v>0.12540255458651769</v>
      </c>
      <c r="CN88" s="302">
        <f>CD88/$BX88</f>
        <v>6.9117841126666649E-2</v>
      </c>
      <c r="CO88" s="302">
        <f>CE88/$BX88</f>
        <v>5.6284713459851046E-2</v>
      </c>
      <c r="CP88" s="302">
        <f>CF88/$BX88</f>
        <v>4.8903870775057943E-2</v>
      </c>
      <c r="CQ88" s="302">
        <f>CG88/$BX88</f>
        <v>0.53490967265453349</v>
      </c>
      <c r="CR88" s="302">
        <f>CQ88*N88</f>
        <v>0.17040527637857494</v>
      </c>
      <c r="CS88" s="342">
        <f>BX88</f>
        <v>431.92899999999997</v>
      </c>
      <c r="CT88" s="355">
        <f>BX88</f>
        <v>431.92899999999997</v>
      </c>
      <c r="CU88" s="333">
        <f>CT88-(CV88+CW88)</f>
        <v>7.9519999999999982</v>
      </c>
      <c r="CV88" s="347">
        <v>155.238</v>
      </c>
      <c r="CW88" s="315">
        <v>268.73899999999998</v>
      </c>
      <c r="CX88" s="314">
        <v>35.350999999999999</v>
      </c>
      <c r="CY88" s="314">
        <v>41.55</v>
      </c>
      <c r="CZ88" s="314">
        <v>11.611000000000001</v>
      </c>
      <c r="DA88" s="314">
        <v>8.2989999999999995</v>
      </c>
      <c r="DB88" s="314">
        <v>41.612000000000002</v>
      </c>
      <c r="DC88" s="314">
        <v>11.523</v>
      </c>
      <c r="DD88" s="315">
        <f>DC88+DB88+DA88+CZ88+CY88+CX88</f>
        <v>149.946</v>
      </c>
      <c r="DE88" s="315"/>
      <c r="DF88" s="302">
        <f>DD88/CG88</f>
        <v>0.64899607432382722</v>
      </c>
      <c r="DG88" s="314">
        <f>CW88-DD88</f>
        <v>118.79299999999998</v>
      </c>
      <c r="DH88" s="302">
        <f>DD88/CW88</f>
        <v>0.55796144214274823</v>
      </c>
      <c r="DI88" s="302">
        <f>CW88/(CW88+CV88)</f>
        <v>0.63385277974984489</v>
      </c>
      <c r="DJ88" s="325">
        <v>366.94</v>
      </c>
      <c r="DK88" s="322">
        <v>22.751999999999999</v>
      </c>
      <c r="DL88" s="322">
        <v>50.23</v>
      </c>
      <c r="DM88" s="322">
        <v>32.802999999999997</v>
      </c>
      <c r="DN88" s="322">
        <v>16.710999999999999</v>
      </c>
      <c r="DO88" s="322">
        <v>56.914999999999999</v>
      </c>
      <c r="DP88" s="322">
        <v>28.693999999999999</v>
      </c>
      <c r="DQ88" s="322">
        <v>15.026</v>
      </c>
      <c r="DR88" s="314">
        <f>DQ88+DO88+DN88+DM88+DL88+DK88</f>
        <v>194.43700000000001</v>
      </c>
      <c r="DS88" s="314">
        <f>DJ88-DR88</f>
        <v>172.50299999999999</v>
      </c>
      <c r="DT88" s="300">
        <f>DR88/DJ88</f>
        <v>0.5298877200632256</v>
      </c>
      <c r="DU88" s="325">
        <f>DJ88-CW88</f>
        <v>98.201000000000022</v>
      </c>
      <c r="DV88" s="314">
        <v>55.598999999999997</v>
      </c>
      <c r="DW88" s="314">
        <f>DK88-CX88</f>
        <v>-12.599</v>
      </c>
      <c r="DX88" s="314">
        <f>DL88-CY88</f>
        <v>8.68</v>
      </c>
      <c r="DY88" s="314">
        <f>DM88-CZ88</f>
        <v>21.191999999999997</v>
      </c>
      <c r="DZ88" s="314">
        <f>DN88-DA88</f>
        <v>8.411999999999999</v>
      </c>
      <c r="EA88" s="314">
        <f>DO88-DB88</f>
        <v>15.302999999999997</v>
      </c>
      <c r="EB88" s="314">
        <f>DQ88-DC88</f>
        <v>3.5030000000000001</v>
      </c>
      <c r="EC88" s="314">
        <f>EB88+EA88+DZ88+DY88+DX88+DW88</f>
        <v>44.491</v>
      </c>
      <c r="ED88" s="314">
        <f>DU88-EC88</f>
        <v>53.710000000000022</v>
      </c>
      <c r="EE88" s="302">
        <f>EC88/DU88</f>
        <v>0.45306055946477114</v>
      </c>
      <c r="EF88" s="315">
        <v>34.561999999999998</v>
      </c>
      <c r="EG88" s="314">
        <v>0.77200000000000002</v>
      </c>
      <c r="EH88" s="314">
        <v>2.1930000000000001</v>
      </c>
      <c r="EI88" s="314">
        <v>6.2480000000000002</v>
      </c>
      <c r="EJ88" s="314">
        <v>0.20599999999999999</v>
      </c>
      <c r="EK88" s="314">
        <v>9.2669999999999995</v>
      </c>
      <c r="EL88" s="323">
        <f>EL87</f>
        <v>2.419</v>
      </c>
      <c r="EM88" s="314">
        <f>EL88+EK88+EJ88+EI88+EH88+EG88</f>
        <v>21.105</v>
      </c>
      <c r="EN88" s="314">
        <f>EF88-EM88</f>
        <v>13.456999999999997</v>
      </c>
      <c r="EO88" s="302">
        <f>EM88/EF88</f>
        <v>0.61064174526937109</v>
      </c>
      <c r="EP88" s="352">
        <v>4453.3069999999998</v>
      </c>
      <c r="EQ88" s="278">
        <v>203.779</v>
      </c>
      <c r="ER88" s="278">
        <v>645.09799999999996</v>
      </c>
      <c r="ES88" s="278">
        <v>383.60300000000001</v>
      </c>
      <c r="ET88" s="278">
        <v>130.315</v>
      </c>
      <c r="EU88" s="278">
        <v>585.27099999999996</v>
      </c>
      <c r="EV88" s="278">
        <v>304.524</v>
      </c>
      <c r="EW88" s="278">
        <v>138.60300000000001</v>
      </c>
      <c r="EX88" s="278">
        <f>EW88+EU88+ET88+ES88+ER88+EQ88</f>
        <v>2086.6689999999999</v>
      </c>
      <c r="EY88" s="278">
        <f>EP88-EX88</f>
        <v>2366.6379999999999</v>
      </c>
      <c r="EZ88" s="302">
        <f>EX88/EP88</f>
        <v>0.46856616891671737</v>
      </c>
      <c r="FA88" s="308">
        <f>(BX88+(EP88-EP87)-DJ88)/EP87</f>
        <v>0.10616235039448817</v>
      </c>
      <c r="FB88" s="302">
        <f>(BY88+(EQ88-EQ87)-DK88)/EQ87</f>
        <v>0.15766248436254601</v>
      </c>
      <c r="FC88" s="302">
        <f>(BZ88+(ER88-ER87)-DL88)/ER87</f>
        <v>0.15989479206792143</v>
      </c>
      <c r="FD88" s="302">
        <f>(CA88+(ES88-ES87)-DM88)/ES87</f>
        <v>7.9804574195922004E-2</v>
      </c>
      <c r="FE88" s="302">
        <f>(CB88+(ET88-ET87)-DN88)/ET87</f>
        <v>0.16677659059930525</v>
      </c>
      <c r="FF88" s="302">
        <f>(CC88+(EU88-EU87)-DO88)/EU87</f>
        <v>5.5865506615914273E-2</v>
      </c>
      <c r="FG88" s="302">
        <f>(CD88+(EV88-EV87)-DP88)/EV87</f>
        <v>8.9934072830090417E-2</v>
      </c>
      <c r="FH88" s="302">
        <f>(CF88+(EW88-EW87)-DQ88)/EW87</f>
        <v>0.22036585674406065</v>
      </c>
      <c r="FI88" s="302">
        <f>(CG88+(EX88-EX87)-DR88)/EX87</f>
        <v>0.11882335893348778</v>
      </c>
      <c r="FJ88" s="302">
        <f>(CH88+(EY88-EY87)-DS88)/EY87</f>
        <v>9.5175144177743254E-2</v>
      </c>
      <c r="FK88" s="302">
        <f>(CH88+AO88+(EY88-EY87)-DS88)/EY87</f>
        <v>0.14414893519729438</v>
      </c>
      <c r="FL88" s="296">
        <f>BX88/EP87</f>
        <v>0.1057442004338673</v>
      </c>
      <c r="FM88" s="302">
        <f>BY88/EQ87</f>
        <v>0.20211772033634379</v>
      </c>
      <c r="FN88" s="302">
        <f>BZ88/ER87</f>
        <v>0.12303541268316828</v>
      </c>
      <c r="FO88" s="302">
        <f>CA88/ES87</f>
        <v>7.9288344328173888E-2</v>
      </c>
      <c r="FP88" s="302">
        <f>CB88/ET87</f>
        <v>0.16775271512113618</v>
      </c>
      <c r="FQ88" s="302">
        <f>CC88/EU87</f>
        <v>9.8178357803153884E-2</v>
      </c>
      <c r="FR88" s="302">
        <f>CD88/EV87</f>
        <v>0.10644617255162037</v>
      </c>
      <c r="FS88" s="302">
        <f>CF88/EW87</f>
        <v>0.17814642703527844</v>
      </c>
      <c r="FT88" s="302">
        <f>CG88/EX87</f>
        <v>0.12174414775197269</v>
      </c>
      <c r="FU88" s="302">
        <f>CH88/EY87</f>
        <v>9.1859467626083505E-2</v>
      </c>
    </row>
    <row r="89" spans="1:177">
      <c r="B89" s="288">
        <v>2013</v>
      </c>
      <c r="C89" s="344">
        <v>14577.1</v>
      </c>
      <c r="D89" s="352">
        <v>2106.9</v>
      </c>
      <c r="E89" s="343">
        <f>D89/C89</f>
        <v>0.14453492121203806</v>
      </c>
      <c r="F89" s="333">
        <f>D89-(G89+I89)</f>
        <v>0</v>
      </c>
      <c r="G89" s="278">
        <f>D89-I89</f>
        <v>1701.183</v>
      </c>
      <c r="H89" s="302">
        <f>G89/C89</f>
        <v>0.11670243052458994</v>
      </c>
      <c r="I89" s="333">
        <v>405.71699999999998</v>
      </c>
      <c r="J89" s="343">
        <f>I89/C89</f>
        <v>2.7832490687448121E-2</v>
      </c>
      <c r="K89" s="361">
        <f>I89/D89</f>
        <v>0.19256585504770041</v>
      </c>
      <c r="L89" s="371">
        <v>657</v>
      </c>
      <c r="M89" s="343">
        <f>L89/C89</f>
        <v>4.5070693073382219E-2</v>
      </c>
      <c r="N89" s="370">
        <f>L89/D89</f>
        <v>0.31183255019222555</v>
      </c>
      <c r="O89" s="352">
        <f>D89</f>
        <v>2106.9</v>
      </c>
      <c r="P89" s="366">
        <f>O89-(Q89+R89+T89+U89+X89-V89)</f>
        <v>0</v>
      </c>
      <c r="Q89" s="351">
        <f>Q88*D89/D88</f>
        <v>1441.5204282725974</v>
      </c>
      <c r="R89" s="365">
        <f>S89*D89</f>
        <v>425.06817681382807</v>
      </c>
      <c r="S89" s="368">
        <f>S$87</f>
        <v>0.20175052295497084</v>
      </c>
      <c r="T89" s="292">
        <v>77.7</v>
      </c>
      <c r="U89" s="292">
        <v>-128.5</v>
      </c>
      <c r="V89" s="369">
        <f>W89*D89</f>
        <v>287.47366596939338</v>
      </c>
      <c r="W89" s="368">
        <f>W88+0.02</f>
        <v>0.13644390619839261</v>
      </c>
      <c r="X89" s="366">
        <f>O89-(Q89+R89+T89+U89-V89)</f>
        <v>578.58506088296781</v>
      </c>
      <c r="Y89" s="367"/>
      <c r="Z89" s="366"/>
      <c r="AA89" s="366"/>
      <c r="AB89" s="366"/>
      <c r="AC89" s="365">
        <f>AD89*D89</f>
        <v>317.89508249320176</v>
      </c>
      <c r="AD89" s="364">
        <f>AD88</f>
        <v>0.15088285276624508</v>
      </c>
      <c r="AE89" s="351"/>
      <c r="AF89" s="351"/>
      <c r="AG89" s="326">
        <v>474.3</v>
      </c>
      <c r="AH89" s="295">
        <f>AG89/C89</f>
        <v>3.2537335958455385E-2</v>
      </c>
      <c r="AI89" s="295">
        <f>(AG89-AN89)/C89</f>
        <v>2.7207057645210638E-2</v>
      </c>
      <c r="AJ89" s="357">
        <f>AG89-(AK89+AL89+AM89+AN89)</f>
        <v>0</v>
      </c>
      <c r="AK89" s="348">
        <f>AG89-AL89-AM89-AN89</f>
        <v>313.51600000000002</v>
      </c>
      <c r="AL89" s="348">
        <v>53.584000000000003</v>
      </c>
      <c r="AM89" s="363">
        <f>AM88</f>
        <v>29.5</v>
      </c>
      <c r="AN89" s="288">
        <v>77.7</v>
      </c>
      <c r="AO89" s="362">
        <f>AO88</f>
        <v>107.1</v>
      </c>
      <c r="AP89" s="333">
        <v>288.31450000000001</v>
      </c>
      <c r="AQ89" s="333"/>
      <c r="AR89" s="333"/>
      <c r="AS89" s="333"/>
      <c r="AT89" s="361">
        <f>(O89-AG89)/C89</f>
        <v>0.11199758525358268</v>
      </c>
      <c r="AU89" s="360">
        <v>0.35</v>
      </c>
      <c r="AV89" s="359">
        <f>(AK89+AL89)/(G89+L89-T89)</f>
        <v>0.16097467071668589</v>
      </c>
      <c r="AW89" s="353">
        <f>(AK89+AL89)/(G89+L89-T89-AE89)</f>
        <v>0.16097467071668589</v>
      </c>
      <c r="AX89" s="302">
        <f>(AG89-AN89-AM89)/(G89+L89-T89+V89)</f>
        <v>0.14295412569254598</v>
      </c>
      <c r="AY89" s="296">
        <f>(AG89-AN89-AM89+AO89)/(G89+L89-T89+AO89)</f>
        <v>0.19861089645888752</v>
      </c>
      <c r="AZ89" s="353">
        <f>(AG89-AN89-AM89+AO89)/(G89+L89-T89+AO89-AC89)</f>
        <v>0.2291166682613841</v>
      </c>
      <c r="BA89" s="302">
        <f>(AG89-AN89)/Q89</f>
        <v>0.27512617387965405</v>
      </c>
      <c r="BB89" s="302">
        <f>(AG89-AN89)/(Q89+R89)</f>
        <v>0.21247317106687089</v>
      </c>
      <c r="BC89" s="358">
        <f>D89</f>
        <v>2106.9</v>
      </c>
      <c r="BD89" s="357">
        <f>BC89-(BE89+BF89+BG89)</f>
        <v>0</v>
      </c>
      <c r="BE89" s="356">
        <f>AG89</f>
        <v>474.3</v>
      </c>
      <c r="BF89" s="314">
        <v>959.6</v>
      </c>
      <c r="BG89" s="314">
        <v>673</v>
      </c>
      <c r="BH89" s="302">
        <f>BG89/D89</f>
        <v>0.31942664578290375</v>
      </c>
      <c r="BI89" s="288">
        <v>402.8</v>
      </c>
      <c r="BJ89" s="288">
        <f>BG89-BI89</f>
        <v>270.2</v>
      </c>
      <c r="BK89" s="302">
        <f>BJ89/D89</f>
        <v>0.12824528928757889</v>
      </c>
      <c r="BL89" s="302">
        <f>DD89/(D89)</f>
        <v>9.3380796430775084E-2</v>
      </c>
      <c r="BM89" s="302">
        <f>DD89/(CV89+CW89)</f>
        <v>0.45640847194191209</v>
      </c>
      <c r="BN89" s="302">
        <f>CQ89*DF89</f>
        <v>0.44806908786976796</v>
      </c>
      <c r="BO89" s="302">
        <f>BJ89/I89</f>
        <v>0.66598145998319025</v>
      </c>
      <c r="BP89" s="294">
        <v>114.508</v>
      </c>
      <c r="BQ89" s="355">
        <f>L89</f>
        <v>657</v>
      </c>
      <c r="BR89" s="333">
        <f>BQ89-(BS89+BT89+BU89)</f>
        <v>0</v>
      </c>
      <c r="BS89" s="278">
        <f>BQ89-BT89-BU89</f>
        <v>32.43300000000005</v>
      </c>
      <c r="BT89" s="278">
        <v>172.309</v>
      </c>
      <c r="BU89" s="278">
        <v>452.25799999999998</v>
      </c>
      <c r="BV89" s="278">
        <v>21.187999999999999</v>
      </c>
      <c r="BW89" s="302">
        <f>BT89/BQ89</f>
        <v>0.26226636225266364</v>
      </c>
      <c r="BX89" s="315">
        <v>439.09300000000002</v>
      </c>
      <c r="BY89" s="314">
        <v>33.680999999999997</v>
      </c>
      <c r="BZ89" s="314">
        <v>73.314999999999998</v>
      </c>
      <c r="CA89" s="314">
        <v>36.200000000000003</v>
      </c>
      <c r="CB89" s="314">
        <v>21.257000000000001</v>
      </c>
      <c r="CC89" s="314">
        <f>CD89+CE89</f>
        <v>58.026000000000003</v>
      </c>
      <c r="CD89" s="314">
        <v>33.853999999999999</v>
      </c>
      <c r="CE89" s="314">
        <v>24.172000000000004</v>
      </c>
      <c r="CF89" s="314">
        <v>22.670999999999999</v>
      </c>
      <c r="CG89" s="314">
        <f>BY89+BZ89+CA89+CB89+CD89+CE89+CF89</f>
        <v>245.15</v>
      </c>
      <c r="CH89" s="314">
        <f>BX89-CG89</f>
        <v>193.94300000000001</v>
      </c>
      <c r="CI89" s="302">
        <f>BY89/$BX89</f>
        <v>7.6705845914191287E-2</v>
      </c>
      <c r="CJ89" s="302">
        <f>BZ89/$BX89</f>
        <v>0.16696918420471288</v>
      </c>
      <c r="CK89" s="302">
        <f>CA89/$BX89</f>
        <v>8.2442671598044151E-2</v>
      </c>
      <c r="CL89" s="302">
        <f>CB89/$BX89</f>
        <v>4.8411156634243772E-2</v>
      </c>
      <c r="CM89" s="300">
        <f>CN89+CO89</f>
        <v>0.13214968127480967</v>
      </c>
      <c r="CN89" s="302">
        <f>CD89/$BX89</f>
        <v>7.7099839897242714E-2</v>
      </c>
      <c r="CO89" s="302">
        <f>CE89/$BX89</f>
        <v>5.5049841377566945E-2</v>
      </c>
      <c r="CP89" s="302">
        <f>CF89/$BX89</f>
        <v>5.163143115467566E-2</v>
      </c>
      <c r="CQ89" s="302">
        <f>CG89/$BX89</f>
        <v>0.55830997078067746</v>
      </c>
      <c r="CR89" s="302">
        <f>CQ89*N89</f>
        <v>0.17409922198628558</v>
      </c>
      <c r="CS89" s="342">
        <f>BX89</f>
        <v>439.09300000000002</v>
      </c>
      <c r="CT89" s="355">
        <f>BX89</f>
        <v>439.09300000000002</v>
      </c>
      <c r="CU89" s="333">
        <f>CT89-(CV89+CW89)</f>
        <v>8.0230000000000246</v>
      </c>
      <c r="CV89" s="347">
        <v>114.508</v>
      </c>
      <c r="CW89" s="354">
        <v>316.56200000000001</v>
      </c>
      <c r="CX89" s="345">
        <v>30.574000000000002</v>
      </c>
      <c r="CY89" s="345">
        <v>61.414000000000001</v>
      </c>
      <c r="CZ89" s="345">
        <v>28.559000000000001</v>
      </c>
      <c r="DA89" s="345">
        <v>13.143000000000001</v>
      </c>
      <c r="DB89" s="345">
        <v>47.710999999999999</v>
      </c>
      <c r="DC89" s="345">
        <v>15.343</v>
      </c>
      <c r="DD89" s="354">
        <f>DC89+DB89+DA89+CZ89+CY89+CX89</f>
        <v>196.74400000000003</v>
      </c>
      <c r="DE89" s="354"/>
      <c r="DF89" s="302">
        <f>DD89/CG89</f>
        <v>0.80254538037935963</v>
      </c>
      <c r="DG89" s="314">
        <f>CW89-DD89</f>
        <v>119.81799999999998</v>
      </c>
      <c r="DH89" s="353">
        <f>DD89/CW89</f>
        <v>0.62150226495915495</v>
      </c>
      <c r="DI89" s="353">
        <f>CW89/(CW89+CV89)</f>
        <v>0.7343633284617348</v>
      </c>
      <c r="DJ89" s="325"/>
      <c r="DK89" s="322"/>
      <c r="DL89" s="322"/>
      <c r="DM89" s="322"/>
      <c r="DN89" s="322"/>
      <c r="DO89" s="322"/>
      <c r="DP89" s="322"/>
      <c r="DQ89" s="322"/>
      <c r="DR89" s="323">
        <f>$CW89*DR88/$CW88</f>
        <v>229.03771166075637</v>
      </c>
      <c r="DS89" s="314"/>
      <c r="DT89" s="324"/>
      <c r="DU89" s="326"/>
      <c r="DV89" s="288"/>
      <c r="DW89" s="288"/>
      <c r="DX89" s="288"/>
      <c r="DY89" s="288"/>
      <c r="DZ89" s="288"/>
      <c r="EA89" s="288"/>
      <c r="EB89" s="288"/>
      <c r="EC89" s="323">
        <f>$CW89*EC88/$CW88</f>
        <v>52.408321613163707</v>
      </c>
      <c r="ED89" s="288"/>
      <c r="EE89" s="288"/>
      <c r="EF89" s="315"/>
      <c r="EG89" s="314"/>
      <c r="EH89" s="314"/>
      <c r="EI89" s="314"/>
      <c r="EJ89" s="314"/>
      <c r="EK89" s="314"/>
      <c r="EL89" s="314"/>
      <c r="EM89" s="323">
        <f>$CW89*EM88/$CW88</f>
        <v>24.860705033508353</v>
      </c>
      <c r="EN89" s="314"/>
      <c r="EO89" s="288"/>
      <c r="EP89" s="352"/>
      <c r="EQ89" s="278"/>
      <c r="ER89" s="278"/>
      <c r="ES89" s="278"/>
      <c r="ET89" s="278"/>
      <c r="EU89" s="278"/>
      <c r="EV89" s="278"/>
      <c r="EW89" s="278"/>
      <c r="EX89" s="351">
        <f>$CW89*EX88/$CW88</f>
        <v>2457.9986975392485</v>
      </c>
      <c r="EY89" s="278"/>
      <c r="EZ89" s="288"/>
      <c r="FA89" s="289"/>
      <c r="FB89" s="288"/>
      <c r="FC89" s="288"/>
      <c r="FD89" s="288"/>
      <c r="FE89" s="288"/>
      <c r="FF89" s="288"/>
      <c r="FG89" s="288"/>
      <c r="FH89" s="288"/>
      <c r="FI89" s="288"/>
      <c r="FJ89" s="288"/>
      <c r="FK89" s="288"/>
      <c r="FL89" s="301"/>
      <c r="FM89" s="288"/>
      <c r="FN89" s="288"/>
      <c r="FO89" s="288"/>
      <c r="FP89" s="288"/>
      <c r="FQ89" s="288"/>
      <c r="FR89" s="288"/>
      <c r="FS89" s="288"/>
      <c r="FT89" s="288"/>
      <c r="FU89" s="288"/>
    </row>
    <row r="90" spans="1:177">
      <c r="B90" s="288">
        <v>2014</v>
      </c>
      <c r="C90" s="344"/>
      <c r="D90" s="277"/>
      <c r="E90" s="343"/>
      <c r="F90" s="343"/>
      <c r="G90" s="342"/>
      <c r="H90" s="302"/>
      <c r="I90" s="319"/>
      <c r="J90" s="309"/>
      <c r="K90" s="341"/>
      <c r="L90" s="319"/>
      <c r="M90" s="309"/>
      <c r="N90" s="340"/>
      <c r="O90" s="309"/>
      <c r="P90" s="309"/>
      <c r="Q90" s="274"/>
      <c r="R90" s="339"/>
      <c r="S90" s="337"/>
      <c r="T90" s="275"/>
      <c r="U90" s="275"/>
      <c r="V90" s="338"/>
      <c r="W90" s="337"/>
      <c r="X90" s="275"/>
      <c r="Y90" s="277"/>
      <c r="Z90" s="275"/>
      <c r="AA90" s="275"/>
      <c r="AB90" s="275"/>
      <c r="AC90" s="275"/>
      <c r="AD90" s="274"/>
      <c r="AE90" s="274"/>
      <c r="AF90" s="274"/>
      <c r="AG90" s="277"/>
      <c r="AH90" s="295"/>
      <c r="AI90" s="295"/>
      <c r="AJ90" s="300"/>
      <c r="AK90" s="348"/>
      <c r="AL90" s="274"/>
      <c r="AM90" s="274"/>
      <c r="AO90" s="335"/>
      <c r="AP90" s="333">
        <v>361.81</v>
      </c>
      <c r="AQ90" s="333"/>
      <c r="AR90" s="333"/>
      <c r="AS90" s="350"/>
      <c r="AT90" s="350"/>
      <c r="AU90" s="321"/>
      <c r="AV90" s="349"/>
      <c r="AW90" s="334"/>
      <c r="AX90" s="341"/>
      <c r="AY90" s="332"/>
      <c r="AZ90" s="334"/>
      <c r="BA90" s="300"/>
      <c r="BB90" s="300"/>
      <c r="BC90" s="311"/>
      <c r="BD90" s="300"/>
      <c r="BE90" s="300"/>
      <c r="BH90" s="300"/>
      <c r="BK90" s="300"/>
      <c r="BL90" s="300"/>
      <c r="BM90" s="300"/>
      <c r="BN90" s="300"/>
      <c r="BO90" s="300"/>
      <c r="BP90" s="330"/>
      <c r="BQ90" s="329"/>
      <c r="BR90" s="328"/>
      <c r="BS90" s="327"/>
      <c r="BX90" s="273"/>
      <c r="CQ90" s="276"/>
      <c r="CR90" s="302"/>
      <c r="CS90" s="288"/>
      <c r="CT90" s="326"/>
      <c r="CU90" s="292"/>
      <c r="CV90" s="347"/>
      <c r="CW90" s="346"/>
      <c r="CX90" s="323"/>
      <c r="CY90" s="323"/>
      <c r="CZ90" s="323"/>
      <c r="DA90" s="345"/>
      <c r="DB90" s="323"/>
      <c r="DC90" s="323"/>
      <c r="DD90" s="346"/>
      <c r="DE90" s="346"/>
      <c r="DF90" s="302"/>
      <c r="DG90" s="314"/>
      <c r="DH90" s="324"/>
      <c r="DI90" s="324"/>
      <c r="DJ90" s="325"/>
      <c r="DR90" s="323"/>
      <c r="DS90" s="314"/>
      <c r="DT90" s="324"/>
      <c r="DU90" s="326"/>
      <c r="DV90" s="288"/>
      <c r="DW90" s="288"/>
      <c r="DX90" s="288"/>
      <c r="DY90" s="288"/>
      <c r="DZ90" s="288"/>
      <c r="EA90" s="288"/>
      <c r="EB90" s="288"/>
      <c r="EC90" s="323"/>
      <c r="ED90" s="288"/>
      <c r="EE90" s="288"/>
      <c r="EF90" s="315"/>
      <c r="EG90" s="314"/>
      <c r="EH90" s="314"/>
      <c r="EI90" s="314"/>
      <c r="EJ90" s="314"/>
      <c r="EK90" s="314"/>
      <c r="EL90" s="314"/>
      <c r="EM90" s="323"/>
      <c r="EN90" s="314"/>
      <c r="EO90" s="288"/>
      <c r="EP90" s="325"/>
      <c r="EX90" s="323"/>
      <c r="EY90" s="322"/>
      <c r="EZ90" s="288"/>
      <c r="FA90" s="289"/>
      <c r="FB90" s="288"/>
      <c r="FC90" s="288"/>
      <c r="FD90" s="288"/>
      <c r="FE90" s="288"/>
      <c r="FF90" s="288"/>
      <c r="FG90" s="288"/>
      <c r="FH90" s="288"/>
      <c r="FI90" s="288"/>
      <c r="FJ90" s="288"/>
      <c r="FK90" s="288"/>
      <c r="FL90" s="301"/>
      <c r="FM90" s="288"/>
      <c r="FN90" s="288"/>
      <c r="FO90" s="288"/>
      <c r="FP90" s="288"/>
      <c r="FQ90" s="288"/>
      <c r="FR90" s="288"/>
      <c r="FS90" s="288"/>
      <c r="FT90" s="288"/>
      <c r="FU90" s="288"/>
    </row>
    <row r="91" spans="1:177">
      <c r="B91" s="288">
        <v>2015</v>
      </c>
      <c r="C91" s="344"/>
      <c r="D91" s="277"/>
      <c r="E91" s="343"/>
      <c r="F91" s="343"/>
      <c r="G91" s="342"/>
      <c r="H91" s="302"/>
      <c r="I91" s="319"/>
      <c r="J91" s="309"/>
      <c r="K91" s="341"/>
      <c r="L91" s="319"/>
      <c r="M91" s="309"/>
      <c r="N91" s="340"/>
      <c r="O91" s="309"/>
      <c r="P91" s="309"/>
      <c r="Q91" s="274"/>
      <c r="R91" s="339"/>
      <c r="S91" s="337"/>
      <c r="T91" s="275"/>
      <c r="U91" s="275"/>
      <c r="V91" s="338"/>
      <c r="W91" s="337"/>
      <c r="X91" s="275"/>
      <c r="Y91" s="277"/>
      <c r="Z91" s="275"/>
      <c r="AA91" s="275"/>
      <c r="AB91" s="275"/>
      <c r="AC91" s="275"/>
      <c r="AD91" s="274"/>
      <c r="AE91" s="274"/>
      <c r="AF91" s="274"/>
      <c r="AG91" s="277"/>
      <c r="AH91" s="295"/>
      <c r="AI91" s="295"/>
      <c r="AJ91" s="300"/>
      <c r="AK91" s="348"/>
      <c r="AL91" s="274"/>
      <c r="AM91" s="274"/>
      <c r="AO91" s="335"/>
      <c r="AP91" s="333">
        <v>462.19024999999999</v>
      </c>
      <c r="AQ91" s="333"/>
      <c r="AR91" s="333"/>
      <c r="AS91" s="333"/>
      <c r="AT91" s="333"/>
      <c r="AU91" s="321"/>
      <c r="AV91" s="300"/>
      <c r="AW91" s="334"/>
      <c r="AX91" s="341"/>
      <c r="AY91" s="332"/>
      <c r="AZ91" s="331"/>
      <c r="BA91" s="300"/>
      <c r="BB91" s="300"/>
      <c r="BC91" s="311"/>
      <c r="BD91" s="300"/>
      <c r="BE91" s="300"/>
      <c r="BH91" s="300"/>
      <c r="BK91" s="300"/>
      <c r="BL91" s="300"/>
      <c r="BM91" s="300"/>
      <c r="BN91" s="300"/>
      <c r="BO91" s="300"/>
      <c r="BP91" s="330"/>
      <c r="BQ91" s="329"/>
      <c r="BR91" s="328"/>
      <c r="BS91" s="293"/>
      <c r="BX91" s="273"/>
      <c r="CR91" s="302"/>
      <c r="CS91" s="288"/>
      <c r="CT91" s="326"/>
      <c r="CU91" s="292"/>
      <c r="CV91" s="347"/>
      <c r="CW91" s="346"/>
      <c r="CX91" s="323"/>
      <c r="CY91" s="323"/>
      <c r="CZ91" s="323"/>
      <c r="DA91" s="345"/>
      <c r="DB91" s="323"/>
      <c r="DC91" s="323"/>
      <c r="DD91" s="323"/>
      <c r="DE91" s="323"/>
      <c r="DF91" s="314"/>
      <c r="DG91" s="314"/>
      <c r="DH91" s="324"/>
      <c r="DI91" s="324"/>
      <c r="DJ91" s="325"/>
      <c r="DR91" s="323"/>
      <c r="DS91" s="314"/>
      <c r="DT91" s="324"/>
      <c r="DU91" s="326"/>
      <c r="DV91" s="288"/>
      <c r="DW91" s="288"/>
      <c r="DX91" s="288"/>
      <c r="DY91" s="288"/>
      <c r="DZ91" s="288"/>
      <c r="EA91" s="288"/>
      <c r="EB91" s="288"/>
      <c r="EC91" s="323"/>
      <c r="ED91" s="288"/>
      <c r="EE91" s="288"/>
      <c r="EF91" s="315"/>
      <c r="EG91" s="314"/>
      <c r="EH91" s="314"/>
      <c r="EI91" s="314"/>
      <c r="EJ91" s="314"/>
      <c r="EK91" s="314"/>
      <c r="EL91" s="314"/>
      <c r="EM91" s="323"/>
      <c r="EN91" s="314"/>
      <c r="EO91" s="288"/>
      <c r="EP91" s="325"/>
      <c r="EX91" s="323"/>
      <c r="EY91" s="322"/>
      <c r="EZ91" s="288"/>
      <c r="FA91" s="289"/>
      <c r="FB91" s="288"/>
      <c r="FC91" s="288"/>
      <c r="FD91" s="288"/>
      <c r="FE91" s="288"/>
      <c r="FF91" s="288"/>
      <c r="FG91" s="288"/>
      <c r="FH91" s="288"/>
      <c r="FI91" s="288"/>
      <c r="FJ91" s="288"/>
      <c r="FK91" s="288"/>
      <c r="FL91" s="301"/>
      <c r="FM91" s="288"/>
      <c r="FN91" s="288"/>
      <c r="FO91" s="288"/>
      <c r="FP91" s="288"/>
      <c r="FQ91" s="288"/>
      <c r="FR91" s="288"/>
      <c r="FS91" s="288"/>
      <c r="FT91" s="288"/>
      <c r="FU91" s="288"/>
    </row>
    <row r="92" spans="1:177">
      <c r="A92" s="288"/>
      <c r="B92" s="288"/>
      <c r="C92" s="344"/>
      <c r="D92" s="277"/>
      <c r="E92" s="343"/>
      <c r="F92" s="343"/>
      <c r="G92" s="342"/>
      <c r="H92" s="302"/>
      <c r="I92" s="319"/>
      <c r="J92" s="309"/>
      <c r="K92" s="341"/>
      <c r="L92" s="319"/>
      <c r="M92" s="309"/>
      <c r="N92" s="340"/>
      <c r="O92" s="309"/>
      <c r="P92" s="309"/>
      <c r="Q92" s="274"/>
      <c r="R92" s="339"/>
      <c r="S92" s="337"/>
      <c r="T92" s="275"/>
      <c r="U92" s="275"/>
      <c r="V92" s="338"/>
      <c r="W92" s="337"/>
      <c r="X92" s="275"/>
      <c r="Y92" s="277"/>
      <c r="Z92" s="275"/>
      <c r="AA92" s="275"/>
      <c r="AB92" s="275"/>
      <c r="AC92" s="275"/>
      <c r="AD92" s="274"/>
      <c r="AE92" s="274"/>
      <c r="AF92" s="274"/>
      <c r="AG92" s="277"/>
      <c r="AH92" s="288"/>
      <c r="AI92" s="295"/>
      <c r="AJ92" s="300"/>
      <c r="AL92" s="274"/>
      <c r="AM92" s="336"/>
      <c r="AO92" s="335"/>
      <c r="AP92" s="275"/>
      <c r="AQ92" s="275"/>
      <c r="AR92" s="275"/>
      <c r="AS92" s="275"/>
      <c r="AT92" s="275"/>
      <c r="AU92" s="321"/>
      <c r="AV92" s="300"/>
      <c r="AW92" s="334"/>
      <c r="AX92" s="333"/>
      <c r="AY92" s="332"/>
      <c r="AZ92" s="331"/>
      <c r="BA92" s="300"/>
      <c r="BB92" s="300"/>
      <c r="BC92" s="311"/>
      <c r="BD92" s="300"/>
      <c r="BE92" s="300"/>
      <c r="BH92" s="300"/>
      <c r="BK92" s="300"/>
      <c r="BL92" s="300"/>
      <c r="BM92" s="300"/>
      <c r="BN92" s="300"/>
      <c r="BO92" s="300"/>
      <c r="BP92" s="330"/>
      <c r="BQ92" s="329"/>
      <c r="BR92" s="328"/>
      <c r="BS92" s="327"/>
      <c r="BX92" s="273"/>
      <c r="CQ92" s="276"/>
      <c r="CR92" s="302"/>
      <c r="CS92" s="288"/>
      <c r="CT92" s="326"/>
      <c r="CU92" s="292"/>
      <c r="CV92" s="318" t="s">
        <v>178</v>
      </c>
      <c r="CW92" s="317">
        <f>SUM(CW58:CW89)</f>
        <v>2824.2469999999998</v>
      </c>
      <c r="CX92" s="317">
        <f>SUM(CX58:CX89)</f>
        <v>220.41400000000002</v>
      </c>
      <c r="CY92" s="317">
        <f>SUM(CY58:CY89)</f>
        <v>440.52199999999999</v>
      </c>
      <c r="CZ92" s="317">
        <f>SUM(CZ58:CZ89)</f>
        <v>172.90699999999998</v>
      </c>
      <c r="DA92" s="317">
        <f>SUM(DA58:DA89)</f>
        <v>136.53300000000002</v>
      </c>
      <c r="DB92" s="317">
        <f>SUM(DB58:DB89)</f>
        <v>332.73400000000004</v>
      </c>
      <c r="DC92" s="317">
        <f>SUM(DC58:DC89)</f>
        <v>103.672</v>
      </c>
      <c r="DD92" s="317">
        <f>SUM(DD58:DD89)</f>
        <v>1406.7820000000002</v>
      </c>
      <c r="DE92" s="317"/>
      <c r="DF92" s="302">
        <f>DD92/CW92</f>
        <v>0.49810869941616304</v>
      </c>
      <c r="DG92" s="314"/>
      <c r="DH92" s="324"/>
      <c r="DI92" s="324"/>
      <c r="DJ92" s="325"/>
      <c r="DR92" s="323"/>
      <c r="DS92" s="314"/>
      <c r="DT92" s="324"/>
      <c r="DU92" s="277"/>
      <c r="DV92" s="288"/>
      <c r="DW92" s="288"/>
      <c r="DX92" s="288"/>
      <c r="DY92" s="288"/>
      <c r="DZ92" s="288"/>
      <c r="EA92" s="288"/>
      <c r="EB92" s="288"/>
      <c r="EC92" s="288"/>
      <c r="ED92" s="288"/>
      <c r="EE92" s="288"/>
      <c r="EF92" s="301"/>
      <c r="EG92" s="288"/>
      <c r="EH92" s="288"/>
      <c r="EI92" s="288"/>
      <c r="EJ92" s="288"/>
      <c r="EK92" s="288"/>
      <c r="EL92" s="288"/>
      <c r="EM92" s="288"/>
      <c r="EN92" s="288"/>
      <c r="EO92" s="288"/>
      <c r="EP92" s="277"/>
      <c r="EX92" s="323"/>
      <c r="EY92" s="322"/>
      <c r="EZ92" s="288"/>
      <c r="FA92" s="289"/>
      <c r="FB92" s="288"/>
      <c r="FC92" s="288"/>
      <c r="FD92" s="288"/>
      <c r="FE92" s="288"/>
      <c r="FF92" s="288"/>
      <c r="FG92" s="288"/>
      <c r="FH92" s="288"/>
      <c r="FI92" s="288"/>
      <c r="FJ92" s="288"/>
      <c r="FK92" s="288"/>
      <c r="FL92" s="301"/>
      <c r="FM92" s="288"/>
      <c r="FN92" s="288"/>
      <c r="FO92" s="288"/>
      <c r="FP92" s="288"/>
      <c r="FQ92" s="288"/>
      <c r="FR92" s="288"/>
      <c r="FS92" s="288"/>
      <c r="FT92" s="288"/>
      <c r="FU92" s="288"/>
    </row>
    <row r="93" spans="1:177">
      <c r="A93" s="288"/>
      <c r="B93" s="288"/>
      <c r="C93" s="287"/>
      <c r="D93" s="277"/>
      <c r="E93" s="275"/>
      <c r="F93" s="275"/>
      <c r="I93" s="275"/>
      <c r="J93" s="275"/>
      <c r="K93" s="275"/>
      <c r="L93" s="275"/>
      <c r="M93" s="275"/>
      <c r="N93" s="280"/>
      <c r="O93" s="275"/>
      <c r="P93" s="275"/>
      <c r="Q93" s="274"/>
      <c r="R93" s="275"/>
      <c r="S93" s="275"/>
      <c r="T93" s="275"/>
      <c r="U93" s="275"/>
      <c r="V93" s="275"/>
      <c r="W93" s="275"/>
      <c r="X93" s="275"/>
      <c r="Y93" s="277"/>
      <c r="Z93" s="275"/>
      <c r="AA93" s="275"/>
      <c r="AB93" s="275"/>
      <c r="AC93" s="275"/>
      <c r="AD93" s="274"/>
      <c r="AE93" s="274"/>
      <c r="AF93" s="274"/>
      <c r="AG93" s="277"/>
      <c r="AK93" s="276"/>
      <c r="AL93" s="276"/>
      <c r="AM93" s="276"/>
      <c r="AO93" s="275"/>
      <c r="AP93" s="303"/>
      <c r="AQ93" s="303"/>
      <c r="AR93" s="303"/>
      <c r="AS93" s="303"/>
      <c r="AT93" s="303"/>
      <c r="AU93" s="321"/>
      <c r="AW93" s="307"/>
      <c r="AZ93" s="307"/>
      <c r="BA93" s="300"/>
      <c r="BB93" s="300"/>
      <c r="BC93" s="311"/>
      <c r="BD93" s="300"/>
      <c r="BE93" s="300"/>
      <c r="BQ93" s="320"/>
      <c r="BR93" s="319"/>
      <c r="BX93" s="273"/>
      <c r="CT93" s="277"/>
      <c r="CU93" s="275"/>
      <c r="CV93" s="318" t="s">
        <v>177</v>
      </c>
      <c r="CW93" s="317">
        <f>SUM(CW82:CW89)</f>
        <v>1978.3000000000002</v>
      </c>
      <c r="CX93" s="317">
        <f>SUM(CX82:CX89)</f>
        <v>174.791</v>
      </c>
      <c r="CY93" s="317">
        <f>SUM(CY82:CY89)</f>
        <v>353.20699999999999</v>
      </c>
      <c r="CZ93" s="317">
        <f>SUM(CZ82:CZ89)</f>
        <v>152.84</v>
      </c>
      <c r="DA93" s="317">
        <f>SUM(DA82:DA89)</f>
        <v>82.137</v>
      </c>
      <c r="DB93" s="317">
        <f>SUM(DB82:DB89)</f>
        <v>278.99699999999996</v>
      </c>
      <c r="DC93" s="317">
        <f>SUM(DC82:DC89)</f>
        <v>75.85499999999999</v>
      </c>
      <c r="DD93" s="317">
        <f>SUM(DD82:DD89)</f>
        <v>1117.827</v>
      </c>
      <c r="DE93" s="317"/>
      <c r="DF93" s="302">
        <f>DD93/CW93</f>
        <v>0.56504422989435366</v>
      </c>
      <c r="DJ93" s="281"/>
      <c r="DU93" s="277" t="s">
        <v>176</v>
      </c>
      <c r="DV93" s="316">
        <f>SUM(DV58:DV88)</f>
        <v>1535.3820000000001</v>
      </c>
      <c r="DW93" s="314">
        <f>SUM(DW58:DW88)</f>
        <v>25.771999999999995</v>
      </c>
      <c r="DX93" s="314">
        <f>SUM(DX58:DX88)</f>
        <v>168.75299999999999</v>
      </c>
      <c r="DY93" s="314">
        <f>SUM(DY58:DY88)</f>
        <v>130.72999999999999</v>
      </c>
      <c r="DZ93" s="314">
        <f>SUM(DZ58:DZ88)</f>
        <v>37.702999999999996</v>
      </c>
      <c r="EA93" s="314">
        <f>SUM(EA58:EA88)</f>
        <v>89.911000000000001</v>
      </c>
      <c r="EB93" s="314">
        <f>SUM(EB58:EB88)</f>
        <v>29.642000000000003</v>
      </c>
      <c r="EC93" s="314">
        <f>SUM(EC58:EC88)</f>
        <v>482.51100000000008</v>
      </c>
      <c r="ED93" s="314">
        <f>SUM(ED58:ED88)</f>
        <v>1109.7770000000003</v>
      </c>
      <c r="EE93" s="302">
        <f>EC93/DV93</f>
        <v>0.31426120665736607</v>
      </c>
      <c r="EF93" s="315">
        <f>SUM(EF58:EF88)</f>
        <v>1366.645</v>
      </c>
      <c r="EG93" s="314">
        <f>SUM(EG58:EG88)</f>
        <v>23.540999999999997</v>
      </c>
      <c r="EH93" s="314">
        <f>SUM(EH58:EH88)</f>
        <v>142.05100000000002</v>
      </c>
      <c r="EI93" s="314">
        <f>SUM(EI58:EI88)</f>
        <v>79.154000000000011</v>
      </c>
      <c r="EJ93" s="314">
        <f>SUM(EJ58:EJ88)</f>
        <v>35.621500000000005</v>
      </c>
      <c r="EK93" s="314">
        <f>SUM(EK58:EK88)</f>
        <v>85.00800000000001</v>
      </c>
      <c r="EL93" s="314">
        <f>SUM(EL58:EL88)</f>
        <v>23.326999999999998</v>
      </c>
      <c r="EM93" s="314">
        <f>SUM(EM58:EM88)</f>
        <v>388.70249999999993</v>
      </c>
      <c r="EN93" s="314">
        <f>SUM(EN58:EN88)</f>
        <v>977.9425</v>
      </c>
      <c r="EO93" s="302">
        <f>EM93/EF93</f>
        <v>0.28442097252761317</v>
      </c>
      <c r="EP93" s="277"/>
      <c r="EZ93" s="288"/>
      <c r="FA93" s="289"/>
      <c r="FB93" s="288"/>
      <c r="FC93" s="288"/>
      <c r="FD93" s="288"/>
      <c r="FE93" s="288"/>
      <c r="FF93" s="288"/>
      <c r="FG93" s="288"/>
      <c r="FH93" s="288"/>
      <c r="FI93" s="288"/>
      <c r="FJ93" s="288"/>
      <c r="FK93" s="288"/>
      <c r="FL93" s="301"/>
      <c r="FM93" s="288"/>
      <c r="FN93" s="288"/>
      <c r="FO93" s="288"/>
      <c r="FP93" s="288"/>
      <c r="FQ93" s="288"/>
      <c r="FR93" s="288"/>
      <c r="FS93" s="288"/>
      <c r="FT93" s="288"/>
      <c r="FU93" s="288"/>
    </row>
    <row r="94" spans="1:177">
      <c r="A94" s="288">
        <v>1930</v>
      </c>
      <c r="B94" s="288" t="s">
        <v>175</v>
      </c>
      <c r="C94" s="287"/>
      <c r="D94" s="277"/>
      <c r="E94" s="286">
        <f>AVERAGE(E6:E15)</f>
        <v>5.4183261001233426E-2</v>
      </c>
      <c r="F94" s="286"/>
      <c r="I94" s="275"/>
      <c r="J94" s="275"/>
      <c r="K94" s="275"/>
      <c r="L94" s="275"/>
      <c r="M94" s="275"/>
      <c r="N94" s="285">
        <f>AVERAGE(N6:N16)</f>
        <v>3.4991017683595443E-2</v>
      </c>
      <c r="O94" s="286"/>
      <c r="P94" s="286"/>
      <c r="Q94" s="300"/>
      <c r="R94" s="275"/>
      <c r="S94" s="275"/>
      <c r="T94" s="275"/>
      <c r="U94" s="275"/>
      <c r="V94" s="275"/>
      <c r="W94" s="275"/>
      <c r="X94" s="275"/>
      <c r="Y94" s="277"/>
      <c r="Z94" s="275"/>
      <c r="AA94" s="275"/>
      <c r="AB94" s="275"/>
      <c r="AC94" s="275"/>
      <c r="AD94" s="300"/>
      <c r="AE94" s="300"/>
      <c r="AF94" s="300"/>
      <c r="AG94" s="281" t="s">
        <v>174</v>
      </c>
      <c r="AJ94" s="288" t="s">
        <v>173</v>
      </c>
      <c r="AK94" s="272" t="s">
        <v>172</v>
      </c>
      <c r="AN94" s="275"/>
      <c r="AP94" s="275"/>
      <c r="AQ94" s="275"/>
      <c r="AR94" s="275"/>
      <c r="AS94" s="313"/>
      <c r="AT94" s="312">
        <f>AVERAGE(AT6:AT15)</f>
        <v>4.1327364173774431E-2</v>
      </c>
      <c r="AU94" s="308">
        <f>AVERAGE(AU6:AU15)</f>
        <v>0.14699999999999999</v>
      </c>
      <c r="AW94" s="307"/>
      <c r="AZ94" s="307"/>
      <c r="BA94" s="300"/>
      <c r="BB94" s="300"/>
      <c r="BC94" s="311"/>
      <c r="BD94" s="300"/>
      <c r="BE94" s="300"/>
      <c r="BQ94" s="277"/>
      <c r="BR94" s="275"/>
      <c r="BX94" s="273"/>
      <c r="CT94" s="277"/>
      <c r="CU94" s="275"/>
      <c r="DJ94" s="281"/>
      <c r="DU94" s="277"/>
      <c r="EP94" s="277"/>
      <c r="EZ94" s="288" t="s">
        <v>171</v>
      </c>
      <c r="FA94" s="305">
        <f t="array" ref="FA94">GEOMEAN(1+(FA59:FA88))-1</f>
        <v>0.12970951707852474</v>
      </c>
      <c r="FB94" s="298">
        <f t="array" ref="FB94">GEOMEAN(1+(FB59:FB88))-1</f>
        <v>0.22148936717503132</v>
      </c>
      <c r="FC94" s="298">
        <f t="array" ref="FC94">GEOMEAN(1+(FC59:FC88))-1</f>
        <v>0.20681339130007803</v>
      </c>
      <c r="FD94" s="298">
        <f t="array" ref="FD94">GEOMEAN(1+(FD59:FD88))-1</f>
        <v>0.18162767977794236</v>
      </c>
      <c r="FE94" s="298">
        <f t="array" ref="FE94">GEOMEAN(1+(FE59:FE88))-1</f>
        <v>0.13676297214300481</v>
      </c>
      <c r="FF94" s="298">
        <f t="array" ref="FF94">GEOMEAN(1+(FF59:FF88))-1</f>
        <v>9.9368013276713185E-2</v>
      </c>
      <c r="FG94" s="298">
        <f t="array" ref="FG94">GEOMEAN(1+(FG59:FG88))-1</f>
        <v>0.15262109477414598</v>
      </c>
      <c r="FH94" s="298">
        <f t="array" ref="FH94">GEOMEAN(1+(FH59:FH88))-1</f>
        <v>0.24965357984740799</v>
      </c>
      <c r="FI94" s="297">
        <f t="array" ref="FI94">GEOMEAN(1+(FI59:FI88))-1</f>
        <v>0.18642013131434498</v>
      </c>
      <c r="FJ94" s="296">
        <f t="array" ref="FJ94">GEOMEAN(1+(FJ59:FJ88))-1</f>
        <v>0.1083521553218576</v>
      </c>
      <c r="FK94" s="298">
        <f t="array" ref="FK94">GEOMEAN(1+(FK59:FK88))-1</f>
        <v>0.1802061426911068</v>
      </c>
      <c r="FL94" s="304">
        <f>AVERAGE(FL59:FL88)</f>
        <v>0.12471527062246121</v>
      </c>
      <c r="FM94" s="310">
        <f>AVERAGE(FM59:FM88)</f>
        <v>0.23277864248368774</v>
      </c>
      <c r="FN94" s="310">
        <f>AVERAGE(FN59:FN88)</f>
        <v>0.17214280855098901</v>
      </c>
      <c r="FO94" s="310">
        <f>AVERAGE(FO59:FO88)</f>
        <v>0.15286183096527337</v>
      </c>
      <c r="FP94" s="310">
        <f>AVERAGE(FP59:FP88)</f>
        <v>0.14830274665384116</v>
      </c>
      <c r="FQ94" s="310">
        <f>AVERAGE(FQ59:FQ88)</f>
        <v>9.4780110136592877E-2</v>
      </c>
      <c r="FR94" s="310">
        <f>AVERAGE(FR59:FR88)</f>
        <v>0.11272667401396129</v>
      </c>
      <c r="FS94" s="310">
        <f>AVERAGE(FS59:FS88)</f>
        <v>0.22071949915539196</v>
      </c>
      <c r="FT94" s="304">
        <f>AVERAGE(FT59:FT88)</f>
        <v>0.15867612049477989</v>
      </c>
      <c r="FU94" s="304">
        <f>AVERAGE(FU59:FU88)</f>
        <v>0.11324607044148534</v>
      </c>
    </row>
    <row r="95" spans="1:177">
      <c r="A95" s="288">
        <v>1940</v>
      </c>
      <c r="B95" s="288" t="s">
        <v>170</v>
      </c>
      <c r="C95" s="287"/>
      <c r="D95" s="277"/>
      <c r="E95" s="286">
        <f>AVERAGE(E16:E25)</f>
        <v>0.11875856174991901</v>
      </c>
      <c r="F95" s="286"/>
      <c r="I95" s="275"/>
      <c r="J95" s="275"/>
      <c r="K95" s="275"/>
      <c r="L95" s="275"/>
      <c r="M95" s="275"/>
      <c r="N95" s="285">
        <f>AVERAGE(N16:N25)</f>
        <v>3.6917836230686549E-2</v>
      </c>
      <c r="O95" s="286"/>
      <c r="P95" s="286"/>
      <c r="R95" s="275"/>
      <c r="S95" s="275"/>
      <c r="T95" s="275"/>
      <c r="U95" s="275"/>
      <c r="V95" s="275"/>
      <c r="W95" s="275"/>
      <c r="X95" s="275"/>
      <c r="Y95" s="277"/>
      <c r="Z95" s="275"/>
      <c r="AA95" s="275"/>
      <c r="AB95" s="275"/>
      <c r="AC95" s="275"/>
      <c r="AG95" s="277" t="s">
        <v>169</v>
      </c>
      <c r="AI95" s="278">
        <v>16768</v>
      </c>
      <c r="AJ95" s="300">
        <f>AI95/AI$95</f>
        <v>1</v>
      </c>
      <c r="AK95" s="272" t="s">
        <v>150</v>
      </c>
      <c r="AN95" s="275"/>
      <c r="AP95" s="275"/>
      <c r="AQ95" s="275"/>
      <c r="AR95" s="309"/>
      <c r="AS95" s="275"/>
      <c r="AT95" s="286">
        <f>AVERAGE(AT16:AT25)</f>
        <v>6.3504027097179422E-2</v>
      </c>
      <c r="AU95" s="308">
        <f>AVERAGE(AU16:AU25)</f>
        <v>0.36699999999999994</v>
      </c>
      <c r="AW95" s="307"/>
      <c r="AZ95" s="307"/>
      <c r="BC95" s="277"/>
      <c r="BQ95" s="277"/>
      <c r="BR95" s="275"/>
      <c r="BX95" s="273"/>
      <c r="CT95" s="277"/>
      <c r="CU95" s="275"/>
      <c r="DG95" s="306"/>
      <c r="DJ95" s="281"/>
      <c r="DU95" s="277"/>
      <c r="EP95" s="277"/>
      <c r="EZ95" s="288" t="s">
        <v>168</v>
      </c>
      <c r="FA95" s="305">
        <f t="array" ref="FA95">GEOMEAN(1+(FA68:FA88))-1</f>
        <v>0.11679265719473908</v>
      </c>
      <c r="FB95" s="298">
        <f t="array" ref="FB95">GEOMEAN(1+(FB68:FB88))-1</f>
        <v>0.22892622476718372</v>
      </c>
      <c r="FC95" s="298">
        <f t="array" ref="FC95">GEOMEAN(1+(FC68:FC88))-1</f>
        <v>0.19212722186166431</v>
      </c>
      <c r="FD95" s="298">
        <f t="array" ref="FD95">GEOMEAN(1+(FD68:FD88))-1</f>
        <v>0.22831659170294771</v>
      </c>
      <c r="FE95" s="298">
        <f t="array" ref="FE95">GEOMEAN(1+(FE68:FE88))-1</f>
        <v>0.12876560254568026</v>
      </c>
      <c r="FF95" s="298">
        <f t="array" ref="FF95">GEOMEAN(1+(FF68:FF88))-1</f>
        <v>0.17531476716662375</v>
      </c>
      <c r="FG95" s="298">
        <f t="array" ref="FG95">GEOMEAN(1+(FG68:FG88))-1</f>
        <v>0.16453266598554883</v>
      </c>
      <c r="FH95" s="298">
        <f t="array" ref="FH95">GEOMEAN(1+(FH68:FH88))-1</f>
        <v>0.21927835917935057</v>
      </c>
      <c r="FI95" s="297">
        <f t="array" ref="FI95">GEOMEAN(1+(FI68:FI88))-1</f>
        <v>0.18234888185069309</v>
      </c>
      <c r="FJ95" s="296">
        <f t="array" ref="FJ95">GEOMEAN(1+(FJ68:FJ88))-1</f>
        <v>8.8819076647689288E-2</v>
      </c>
      <c r="FK95" s="298">
        <f t="array" ref="FK95">GEOMEAN(1+(FK68:FK88))-1</f>
        <v>0.14655374452426062</v>
      </c>
      <c r="FL95" s="304">
        <f>AVERAGE(FL68:FL88)</f>
        <v>0.1174925165328686</v>
      </c>
      <c r="FM95" s="304">
        <f>AVERAGE(FM68:FM88)</f>
        <v>0.23064310048444284</v>
      </c>
      <c r="FN95" s="304">
        <f>AVERAGE(FN68:FN88)</f>
        <v>0.15230481999590614</v>
      </c>
      <c r="FO95" s="304">
        <f>AVERAGE(FO68:FO88)</f>
        <v>0.16394079202745446</v>
      </c>
      <c r="FP95" s="304">
        <f>AVERAGE(FP68:FP88)</f>
        <v>0.15140166172520275</v>
      </c>
      <c r="FQ95" s="304">
        <f>AVERAGE(FQ68:FQ88)</f>
        <v>0.11946745639418437</v>
      </c>
      <c r="FR95" s="304">
        <f>AVERAGE(FR68:FR88)</f>
        <v>0.11140120382684449</v>
      </c>
      <c r="FS95" s="304">
        <f>AVERAGE(FS68:FS88)</f>
        <v>0.19278365239042627</v>
      </c>
      <c r="FT95" s="304">
        <f>AVERAGE(FT68:FT88)</f>
        <v>0.14861003095231734</v>
      </c>
      <c r="FU95" s="304">
        <f>AVERAGE(FU68:FU88)</f>
        <v>0.10403299207585323</v>
      </c>
    </row>
    <row r="96" spans="1:177">
      <c r="A96" s="288">
        <v>1950</v>
      </c>
      <c r="B96" s="288" t="s">
        <v>167</v>
      </c>
      <c r="C96" s="287"/>
      <c r="D96" s="277"/>
      <c r="E96" s="286">
        <f>AVERAGE(E26:E35)</f>
        <v>0.12208950567660745</v>
      </c>
      <c r="F96" s="286"/>
      <c r="G96" s="276"/>
      <c r="H96" s="276"/>
      <c r="I96" s="303"/>
      <c r="J96" s="303"/>
      <c r="K96" s="303"/>
      <c r="L96" s="303"/>
      <c r="M96" s="275"/>
      <c r="N96" s="285">
        <f>AVERAGE(N26:N35)</f>
        <v>6.1272481932808175E-2</v>
      </c>
      <c r="O96" s="286"/>
      <c r="P96" s="286"/>
      <c r="R96" s="303"/>
      <c r="S96" s="303"/>
      <c r="T96" s="275"/>
      <c r="U96" s="275"/>
      <c r="V96" s="275"/>
      <c r="W96" s="303"/>
      <c r="X96" s="275"/>
      <c r="Y96" s="277"/>
      <c r="Z96" s="275"/>
      <c r="AA96" s="275"/>
      <c r="AB96" s="275"/>
      <c r="AC96" s="275"/>
      <c r="AG96" s="277" t="s">
        <v>166</v>
      </c>
      <c r="AI96" s="294">
        <f>AG89-AM89-AN89</f>
        <v>367.1</v>
      </c>
      <c r="AJ96" s="293">
        <f>AI96/AI$95</f>
        <v>2.1892891221374049E-2</v>
      </c>
      <c r="AK96" s="272" t="s">
        <v>150</v>
      </c>
      <c r="AL96" s="300"/>
      <c r="AO96" s="275"/>
      <c r="AP96" s="275"/>
      <c r="AQ96" s="275"/>
      <c r="AR96" s="275"/>
      <c r="AS96" s="275"/>
      <c r="AT96" s="285">
        <f>AVERAGE(AT26:AT35)</f>
        <v>6.5021519966126859E-2</v>
      </c>
      <c r="AU96" s="283">
        <f>AVERAGE(AU26:AU35)</f>
        <v>0.50900000000000001</v>
      </c>
      <c r="AV96" s="282">
        <f>AVERAGE(AV26:AV35)</f>
        <v>0.45557419406493294</v>
      </c>
      <c r="AW96" s="284">
        <f>AVERAGE(AW26:AW35)</f>
        <v>0.41455016660496113</v>
      </c>
      <c r="AX96" s="282">
        <f>AVERAGE(AX26:AX35)</f>
        <v>0.44091654092133598</v>
      </c>
      <c r="AY96" s="282">
        <f>AVERAGE(AY26:AY35)</f>
        <v>0.46575638253152596</v>
      </c>
      <c r="AZ96" s="284">
        <f>AVERAGE(AZ26:AZ35)</f>
        <v>0.46575638253152596</v>
      </c>
      <c r="BA96" s="282">
        <f>AVERAGE(BA26:BA35)</f>
        <v>0.47121902556772843</v>
      </c>
      <c r="BB96" s="282">
        <f>AVERAGE(BB26:BB35)</f>
        <v>0.45016966144876153</v>
      </c>
      <c r="BC96" s="283"/>
      <c r="BD96" s="282"/>
      <c r="BE96" s="282"/>
      <c r="BQ96" s="277"/>
      <c r="BR96" s="275"/>
      <c r="BX96" s="273"/>
      <c r="CT96" s="277"/>
      <c r="CU96" s="275"/>
      <c r="CV96" s="275"/>
      <c r="DJ96" s="281"/>
      <c r="DU96" s="281"/>
      <c r="DV96" s="288"/>
      <c r="DW96" s="288"/>
      <c r="DX96" s="288"/>
      <c r="DY96" s="288"/>
      <c r="DZ96" s="288"/>
      <c r="EA96" s="288"/>
      <c r="EB96" s="288"/>
      <c r="EC96" s="302"/>
      <c r="ED96" s="288"/>
      <c r="EE96" s="288"/>
      <c r="EF96" s="288"/>
      <c r="EO96" s="288"/>
      <c r="EP96" s="277"/>
      <c r="EZ96" s="288" t="s">
        <v>165</v>
      </c>
      <c r="FA96" s="299">
        <f t="array" ref="FA96">GEOMEAN(1+(FA59:FA68))-1</f>
        <v>0.15319646067783732</v>
      </c>
      <c r="FB96" s="298">
        <f t="array" ref="FB96">GEOMEAN(1+(FB59:FB68))-1</f>
        <v>0.21094254820868397</v>
      </c>
      <c r="FC96" s="298">
        <f t="array" ref="FC96">GEOMEAN(1+(FC59:FC68))-1</f>
        <v>0.24240015304376117</v>
      </c>
      <c r="FD96" s="298">
        <f t="array" ref="FD96">GEOMEAN(1+(FD59:FD68))-1</f>
        <v>8.7512963858399351E-2</v>
      </c>
      <c r="FE96" s="298">
        <f t="array" ref="FE96">GEOMEAN(1+(FE59:FE68))-1</f>
        <v>0.1495431024170184</v>
      </c>
      <c r="FF96" s="298">
        <f t="array" ref="FF96">GEOMEAN(1+(FF59:FF68))-1</f>
        <v>-3.8078110912164509E-2</v>
      </c>
      <c r="FG96" s="298">
        <f t="array" ref="FG96">GEOMEAN(1+(FG59:FG68))-1</f>
        <v>0.12948052935881971</v>
      </c>
      <c r="FH96" s="298">
        <f t="array" ref="FH96">GEOMEAN(1+(FH59:FH68))-1</f>
        <v>0.32113699263198092</v>
      </c>
      <c r="FI96" s="298">
        <f t="array" ref="FI96">GEOMEAN(1+(FI59:FI68))-1</f>
        <v>0.19472249275728282</v>
      </c>
      <c r="FJ96" s="298">
        <f t="array" ref="FJ96">GEOMEAN(1+(FJ59:FJ68))-1</f>
        <v>0.1462835154833575</v>
      </c>
      <c r="FK96" s="298">
        <f t="array" ref="FK96">GEOMEAN(1+(FK59:FK68))-1</f>
        <v>0.24923028870489339</v>
      </c>
      <c r="FL96" s="301"/>
      <c r="FM96" s="288"/>
      <c r="FN96" s="288"/>
      <c r="FO96" s="288"/>
      <c r="FP96" s="288"/>
      <c r="FQ96" s="288"/>
      <c r="FR96" s="288"/>
      <c r="FS96" s="288"/>
      <c r="FT96" s="288"/>
      <c r="FU96" s="288"/>
    </row>
    <row r="97" spans="1:177" hidden="1">
      <c r="A97" s="288"/>
      <c r="B97" s="288"/>
      <c r="C97" s="287"/>
      <c r="D97" s="277"/>
      <c r="E97" s="292"/>
      <c r="F97" s="292"/>
      <c r="I97" s="275"/>
      <c r="J97" s="275"/>
      <c r="K97" s="275"/>
      <c r="L97" s="275"/>
      <c r="M97" s="275"/>
      <c r="N97" s="291"/>
      <c r="O97" s="292"/>
      <c r="P97" s="292"/>
      <c r="R97" s="275"/>
      <c r="S97" s="275"/>
      <c r="T97" s="275"/>
      <c r="U97" s="275"/>
      <c r="V97" s="275"/>
      <c r="W97" s="275"/>
      <c r="X97" s="275"/>
      <c r="Y97" s="277"/>
      <c r="Z97" s="275"/>
      <c r="AA97" s="275"/>
      <c r="AB97" s="275"/>
      <c r="AC97" s="275"/>
      <c r="AG97" s="277"/>
      <c r="AL97" s="300"/>
      <c r="AO97" s="275"/>
      <c r="AP97" s="275"/>
      <c r="AQ97" s="275"/>
      <c r="AR97" s="275"/>
      <c r="AS97" s="275"/>
      <c r="AT97" s="291"/>
      <c r="AU97" s="289"/>
      <c r="AV97" s="288"/>
      <c r="AW97" s="290"/>
      <c r="AX97" s="288"/>
      <c r="AY97" s="288"/>
      <c r="AZ97" s="290"/>
      <c r="BA97" s="288"/>
      <c r="BB97" s="288"/>
      <c r="BC97" s="289"/>
      <c r="BD97" s="288"/>
      <c r="BE97" s="288"/>
      <c r="BQ97" s="277"/>
      <c r="BR97" s="275"/>
      <c r="BX97" s="273"/>
      <c r="CT97" s="277"/>
      <c r="CU97" s="275"/>
      <c r="CV97" s="275"/>
      <c r="DJ97" s="277"/>
      <c r="DU97" s="281"/>
      <c r="DV97" s="288"/>
      <c r="DW97" s="288"/>
      <c r="DX97" s="288"/>
      <c r="DY97" s="288"/>
      <c r="DZ97" s="288"/>
      <c r="EA97" s="288"/>
      <c r="EB97" s="288"/>
      <c r="EC97" s="288"/>
      <c r="ED97" s="288"/>
      <c r="EE97" s="288"/>
      <c r="EF97" s="288"/>
      <c r="EO97" s="288"/>
      <c r="EP97" s="277"/>
      <c r="EZ97" s="288"/>
      <c r="FA97" s="299"/>
      <c r="FB97" s="298"/>
      <c r="FC97" s="298"/>
      <c r="FD97" s="298"/>
      <c r="FE97" s="298"/>
      <c r="FF97" s="298"/>
      <c r="FG97" s="298"/>
      <c r="FH97" s="298"/>
      <c r="FI97" s="298"/>
      <c r="FJ97" s="298"/>
      <c r="FK97" s="298"/>
      <c r="FL97" s="301"/>
      <c r="FM97" s="288"/>
      <c r="FN97" s="288"/>
      <c r="FO97" s="288"/>
      <c r="FP97" s="288"/>
      <c r="FQ97" s="288"/>
      <c r="FR97" s="288"/>
      <c r="FS97" s="288"/>
      <c r="FT97" s="288"/>
      <c r="FU97" s="288"/>
    </row>
    <row r="98" spans="1:177" hidden="1">
      <c r="A98" s="288"/>
      <c r="B98" s="288"/>
      <c r="C98" s="287"/>
      <c r="D98" s="277"/>
      <c r="E98" s="292"/>
      <c r="F98" s="292"/>
      <c r="I98" s="275"/>
      <c r="J98" s="275"/>
      <c r="K98" s="275"/>
      <c r="L98" s="275"/>
      <c r="M98" s="275"/>
      <c r="N98" s="291"/>
      <c r="O98" s="292"/>
      <c r="P98" s="292"/>
      <c r="R98" s="275"/>
      <c r="S98" s="275"/>
      <c r="T98" s="275"/>
      <c r="U98" s="275"/>
      <c r="V98" s="275"/>
      <c r="W98" s="275"/>
      <c r="X98" s="275"/>
      <c r="Y98" s="277"/>
      <c r="Z98" s="275"/>
      <c r="AA98" s="275"/>
      <c r="AB98" s="275"/>
      <c r="AC98" s="275"/>
      <c r="AG98" s="277"/>
      <c r="AL98" s="300"/>
      <c r="AO98" s="275"/>
      <c r="AP98" s="275"/>
      <c r="AQ98" s="275"/>
      <c r="AR98" s="275"/>
      <c r="AS98" s="275"/>
      <c r="AT98" s="291"/>
      <c r="AU98" s="289"/>
      <c r="AV98" s="288"/>
      <c r="AW98" s="290"/>
      <c r="AX98" s="288"/>
      <c r="AY98" s="288"/>
      <c r="AZ98" s="290"/>
      <c r="BA98" s="288"/>
      <c r="BB98" s="288"/>
      <c r="BC98" s="289"/>
      <c r="BD98" s="288"/>
      <c r="BE98" s="288"/>
      <c r="BQ98" s="277"/>
      <c r="BR98" s="275"/>
      <c r="BX98" s="273"/>
      <c r="CT98" s="277"/>
      <c r="CU98" s="275"/>
      <c r="CV98" s="275"/>
      <c r="DJ98" s="277"/>
      <c r="DU98" s="281"/>
      <c r="DV98" s="288"/>
      <c r="DW98" s="288"/>
      <c r="DX98" s="288"/>
      <c r="DY98" s="288"/>
      <c r="DZ98" s="288"/>
      <c r="EA98" s="288"/>
      <c r="EB98" s="288"/>
      <c r="EC98" s="288"/>
      <c r="ED98" s="288"/>
      <c r="EE98" s="288"/>
      <c r="EF98" s="288"/>
      <c r="EO98" s="288"/>
      <c r="EP98" s="277"/>
      <c r="EZ98" s="288"/>
      <c r="FA98" s="299"/>
      <c r="FB98" s="298"/>
      <c r="FC98" s="298"/>
      <c r="FD98" s="298"/>
      <c r="FE98" s="298"/>
      <c r="FF98" s="298"/>
      <c r="FG98" s="298"/>
      <c r="FH98" s="298"/>
      <c r="FI98" s="298"/>
      <c r="FJ98" s="298"/>
      <c r="FK98" s="298"/>
      <c r="FL98" s="301"/>
      <c r="FM98" s="288"/>
      <c r="FN98" s="288"/>
      <c r="FO98" s="288"/>
      <c r="FP98" s="288"/>
      <c r="FQ98" s="288"/>
      <c r="FR98" s="288"/>
      <c r="FS98" s="288"/>
      <c r="FT98" s="288"/>
      <c r="FU98" s="288"/>
    </row>
    <row r="99" spans="1:177" hidden="1">
      <c r="A99" s="288"/>
      <c r="B99" s="288"/>
      <c r="C99" s="287"/>
      <c r="D99" s="277"/>
      <c r="E99" s="292"/>
      <c r="F99" s="292"/>
      <c r="I99" s="275"/>
      <c r="J99" s="275"/>
      <c r="K99" s="275"/>
      <c r="L99" s="275"/>
      <c r="M99" s="275"/>
      <c r="N99" s="291"/>
      <c r="O99" s="292"/>
      <c r="P99" s="292"/>
      <c r="R99" s="275"/>
      <c r="S99" s="275"/>
      <c r="T99" s="275"/>
      <c r="U99" s="275"/>
      <c r="V99" s="275"/>
      <c r="W99" s="275"/>
      <c r="X99" s="275"/>
      <c r="Y99" s="277"/>
      <c r="Z99" s="275"/>
      <c r="AA99" s="275"/>
      <c r="AB99" s="275"/>
      <c r="AC99" s="275"/>
      <c r="AG99" s="277"/>
      <c r="AL99" s="300"/>
      <c r="AO99" s="275"/>
      <c r="AP99" s="275"/>
      <c r="AQ99" s="275"/>
      <c r="AR99" s="275"/>
      <c r="AS99" s="275"/>
      <c r="AT99" s="291"/>
      <c r="AU99" s="289"/>
      <c r="AV99" s="288"/>
      <c r="AW99" s="290"/>
      <c r="AX99" s="288"/>
      <c r="AY99" s="288"/>
      <c r="AZ99" s="290"/>
      <c r="BA99" s="288"/>
      <c r="BB99" s="288"/>
      <c r="BC99" s="289"/>
      <c r="BD99" s="288"/>
      <c r="BE99" s="288"/>
      <c r="BQ99" s="277"/>
      <c r="BR99" s="275"/>
      <c r="BX99" s="273"/>
      <c r="CT99" s="277"/>
      <c r="CU99" s="275"/>
      <c r="CV99" s="275"/>
      <c r="DJ99" s="277"/>
      <c r="DU99" s="281"/>
      <c r="DV99" s="288"/>
      <c r="DW99" s="288"/>
      <c r="DX99" s="288"/>
      <c r="DY99" s="288"/>
      <c r="DZ99" s="288"/>
      <c r="EA99" s="288"/>
      <c r="EB99" s="288"/>
      <c r="EC99" s="288"/>
      <c r="ED99" s="288"/>
      <c r="EE99" s="288"/>
      <c r="EF99" s="288"/>
      <c r="EO99" s="288"/>
      <c r="EP99" s="277"/>
      <c r="EZ99" s="288"/>
      <c r="FA99" s="299"/>
      <c r="FB99" s="298"/>
      <c r="FC99" s="298"/>
      <c r="FD99" s="298"/>
      <c r="FE99" s="298"/>
      <c r="FF99" s="298"/>
      <c r="FG99" s="298"/>
      <c r="FH99" s="298"/>
      <c r="FI99" s="298"/>
      <c r="FJ99" s="298"/>
      <c r="FK99" s="298"/>
      <c r="FL99" s="301"/>
      <c r="FM99" s="288"/>
      <c r="FN99" s="288"/>
      <c r="FO99" s="288"/>
      <c r="FP99" s="288"/>
      <c r="FQ99" s="288"/>
      <c r="FR99" s="288"/>
      <c r="FS99" s="288"/>
      <c r="FT99" s="288"/>
      <c r="FU99" s="288"/>
    </row>
    <row r="100" spans="1:177" hidden="1">
      <c r="A100" s="288"/>
      <c r="B100" s="288"/>
      <c r="C100" s="287"/>
      <c r="D100" s="277"/>
      <c r="E100" s="292"/>
      <c r="F100" s="292"/>
      <c r="I100" s="275"/>
      <c r="J100" s="275"/>
      <c r="K100" s="275"/>
      <c r="L100" s="275"/>
      <c r="M100" s="275"/>
      <c r="N100" s="291"/>
      <c r="O100" s="292"/>
      <c r="P100" s="292"/>
      <c r="R100" s="275"/>
      <c r="S100" s="275"/>
      <c r="T100" s="275"/>
      <c r="U100" s="275"/>
      <c r="V100" s="275"/>
      <c r="W100" s="275"/>
      <c r="X100" s="275"/>
      <c r="Y100" s="277"/>
      <c r="Z100" s="275"/>
      <c r="AA100" s="275"/>
      <c r="AB100" s="275"/>
      <c r="AC100" s="275"/>
      <c r="AG100" s="277"/>
      <c r="AL100" s="300"/>
      <c r="AO100" s="275"/>
      <c r="AP100" s="275"/>
      <c r="AQ100" s="275"/>
      <c r="AR100" s="275"/>
      <c r="AS100" s="275"/>
      <c r="AT100" s="291"/>
      <c r="AU100" s="289"/>
      <c r="AV100" s="288"/>
      <c r="AW100" s="290"/>
      <c r="AX100" s="288"/>
      <c r="AY100" s="288"/>
      <c r="AZ100" s="290"/>
      <c r="BA100" s="288"/>
      <c r="BB100" s="288"/>
      <c r="BC100" s="289"/>
      <c r="BD100" s="288"/>
      <c r="BE100" s="288"/>
      <c r="BQ100" s="277"/>
      <c r="BR100" s="275"/>
      <c r="BX100" s="273"/>
      <c r="CT100" s="277"/>
      <c r="CU100" s="275"/>
      <c r="CV100" s="275"/>
      <c r="DJ100" s="277"/>
      <c r="DU100" s="281"/>
      <c r="DV100" s="288"/>
      <c r="DW100" s="288"/>
      <c r="DX100" s="288"/>
      <c r="DY100" s="288"/>
      <c r="DZ100" s="288"/>
      <c r="EA100" s="288"/>
      <c r="EB100" s="288"/>
      <c r="EC100" s="288"/>
      <c r="ED100" s="288"/>
      <c r="EE100" s="288"/>
      <c r="EF100" s="288"/>
      <c r="EO100" s="288"/>
      <c r="EP100" s="277"/>
      <c r="EZ100" s="288"/>
      <c r="FA100" s="299"/>
      <c r="FB100" s="298"/>
      <c r="FC100" s="298"/>
      <c r="FD100" s="298"/>
      <c r="FE100" s="298"/>
      <c r="FF100" s="298"/>
      <c r="FG100" s="298"/>
      <c r="FH100" s="298"/>
      <c r="FI100" s="298"/>
      <c r="FJ100" s="298"/>
      <c r="FK100" s="298"/>
      <c r="FL100" s="301"/>
      <c r="FM100" s="288"/>
      <c r="FN100" s="288"/>
      <c r="FO100" s="288"/>
      <c r="FP100" s="288"/>
      <c r="FQ100" s="288"/>
      <c r="FR100" s="288"/>
      <c r="FS100" s="288"/>
      <c r="FT100" s="288"/>
      <c r="FU100" s="288"/>
    </row>
    <row r="101" spans="1:177" hidden="1">
      <c r="A101" s="288"/>
      <c r="B101" s="288"/>
      <c r="C101" s="287"/>
      <c r="D101" s="277"/>
      <c r="E101" s="292"/>
      <c r="F101" s="292"/>
      <c r="I101" s="275"/>
      <c r="J101" s="275"/>
      <c r="K101" s="275"/>
      <c r="L101" s="275"/>
      <c r="M101" s="275"/>
      <c r="N101" s="291"/>
      <c r="O101" s="292"/>
      <c r="P101" s="292"/>
      <c r="R101" s="275"/>
      <c r="S101" s="275"/>
      <c r="T101" s="275"/>
      <c r="U101" s="275"/>
      <c r="V101" s="275"/>
      <c r="W101" s="275"/>
      <c r="X101" s="275"/>
      <c r="Y101" s="277"/>
      <c r="Z101" s="275"/>
      <c r="AA101" s="275"/>
      <c r="AB101" s="275"/>
      <c r="AC101" s="275"/>
      <c r="AG101" s="277"/>
      <c r="AL101" s="300"/>
      <c r="AO101" s="275"/>
      <c r="AP101" s="275"/>
      <c r="AQ101" s="275"/>
      <c r="AR101" s="275"/>
      <c r="AS101" s="275"/>
      <c r="AT101" s="291"/>
      <c r="AU101" s="289"/>
      <c r="AV101" s="288"/>
      <c r="AW101" s="290"/>
      <c r="AX101" s="288"/>
      <c r="AY101" s="288"/>
      <c r="AZ101" s="290"/>
      <c r="BA101" s="288"/>
      <c r="BB101" s="288"/>
      <c r="BC101" s="289"/>
      <c r="BD101" s="288"/>
      <c r="BE101" s="288"/>
      <c r="BQ101" s="277"/>
      <c r="BR101" s="275"/>
      <c r="BX101" s="273"/>
      <c r="CT101" s="277"/>
      <c r="CU101" s="275"/>
      <c r="CV101" s="275"/>
      <c r="DJ101" s="277"/>
      <c r="DU101" s="281"/>
      <c r="DV101" s="288"/>
      <c r="DW101" s="288"/>
      <c r="DX101" s="288"/>
      <c r="DY101" s="288"/>
      <c r="DZ101" s="288"/>
      <c r="EA101" s="288"/>
      <c r="EB101" s="288"/>
      <c r="EC101" s="288"/>
      <c r="ED101" s="288"/>
      <c r="EE101" s="288"/>
      <c r="EF101" s="288"/>
      <c r="EO101" s="288"/>
      <c r="EP101" s="277"/>
      <c r="EZ101" s="288"/>
      <c r="FA101" s="299"/>
      <c r="FB101" s="298"/>
      <c r="FC101" s="298"/>
      <c r="FD101" s="298"/>
      <c r="FE101" s="298"/>
      <c r="FF101" s="298"/>
      <c r="FG101" s="298"/>
      <c r="FH101" s="298"/>
      <c r="FI101" s="298"/>
      <c r="FJ101" s="298"/>
      <c r="FK101" s="298"/>
      <c r="FL101" s="301"/>
      <c r="FM101" s="288"/>
      <c r="FN101" s="288"/>
      <c r="FO101" s="288"/>
      <c r="FP101" s="288"/>
      <c r="FQ101" s="288"/>
      <c r="FR101" s="288"/>
      <c r="FS101" s="288"/>
      <c r="FT101" s="288"/>
      <c r="FU101" s="288"/>
    </row>
    <row r="102" spans="1:177" hidden="1">
      <c r="A102" s="288"/>
      <c r="B102" s="288"/>
      <c r="C102" s="287"/>
      <c r="D102" s="277"/>
      <c r="E102" s="292"/>
      <c r="F102" s="292"/>
      <c r="I102" s="275"/>
      <c r="J102" s="275"/>
      <c r="K102" s="275"/>
      <c r="L102" s="275"/>
      <c r="M102" s="275"/>
      <c r="N102" s="291"/>
      <c r="O102" s="292"/>
      <c r="P102" s="292"/>
      <c r="R102" s="275"/>
      <c r="S102" s="275"/>
      <c r="T102" s="275"/>
      <c r="U102" s="275"/>
      <c r="V102" s="275"/>
      <c r="W102" s="275"/>
      <c r="X102" s="275"/>
      <c r="Y102" s="277"/>
      <c r="Z102" s="275"/>
      <c r="AA102" s="275"/>
      <c r="AB102" s="275"/>
      <c r="AC102" s="275"/>
      <c r="AG102" s="277"/>
      <c r="AL102" s="300"/>
      <c r="AO102" s="275"/>
      <c r="AP102" s="275"/>
      <c r="AQ102" s="275"/>
      <c r="AR102" s="275"/>
      <c r="AS102" s="275"/>
      <c r="AT102" s="291"/>
      <c r="AU102" s="289"/>
      <c r="AV102" s="288"/>
      <c r="AW102" s="290"/>
      <c r="AX102" s="288"/>
      <c r="AY102" s="288"/>
      <c r="AZ102" s="290"/>
      <c r="BA102" s="288"/>
      <c r="BB102" s="288"/>
      <c r="BC102" s="289"/>
      <c r="BD102" s="288"/>
      <c r="BE102" s="288"/>
      <c r="BQ102" s="277"/>
      <c r="BR102" s="275"/>
      <c r="BX102" s="273"/>
      <c r="CT102" s="277"/>
      <c r="CU102" s="275"/>
      <c r="CV102" s="275"/>
      <c r="DJ102" s="277"/>
      <c r="DU102" s="281"/>
      <c r="DV102" s="288"/>
      <c r="DW102" s="288"/>
      <c r="DX102" s="288"/>
      <c r="DY102" s="288"/>
      <c r="DZ102" s="288"/>
      <c r="EA102" s="288"/>
      <c r="EB102" s="288"/>
      <c r="EC102" s="288"/>
      <c r="ED102" s="288"/>
      <c r="EE102" s="288"/>
      <c r="EF102" s="288"/>
      <c r="EO102" s="288"/>
      <c r="EP102" s="277"/>
      <c r="EZ102" s="288"/>
      <c r="FA102" s="299"/>
      <c r="FB102" s="298"/>
      <c r="FC102" s="298"/>
      <c r="FD102" s="298"/>
      <c r="FE102" s="298"/>
      <c r="FF102" s="298"/>
      <c r="FG102" s="298"/>
      <c r="FH102" s="298"/>
      <c r="FI102" s="298"/>
      <c r="FJ102" s="298"/>
      <c r="FK102" s="298"/>
      <c r="FL102" s="301"/>
      <c r="FM102" s="288"/>
      <c r="FN102" s="288"/>
      <c r="FO102" s="288"/>
      <c r="FP102" s="288"/>
      <c r="FQ102" s="288"/>
      <c r="FR102" s="288"/>
      <c r="FS102" s="288"/>
      <c r="FT102" s="288"/>
      <c r="FU102" s="288"/>
    </row>
    <row r="103" spans="1:177" hidden="1">
      <c r="A103" s="288"/>
      <c r="B103" s="288"/>
      <c r="C103" s="287"/>
      <c r="D103" s="277"/>
      <c r="E103" s="292"/>
      <c r="F103" s="292"/>
      <c r="I103" s="275"/>
      <c r="J103" s="275"/>
      <c r="K103" s="275"/>
      <c r="L103" s="275"/>
      <c r="M103" s="275"/>
      <c r="N103" s="291"/>
      <c r="O103" s="292"/>
      <c r="P103" s="292"/>
      <c r="R103" s="275"/>
      <c r="S103" s="275"/>
      <c r="T103" s="275"/>
      <c r="U103" s="275"/>
      <c r="V103" s="275"/>
      <c r="W103" s="275"/>
      <c r="X103" s="275"/>
      <c r="Y103" s="277"/>
      <c r="Z103" s="275"/>
      <c r="AA103" s="275"/>
      <c r="AB103" s="275"/>
      <c r="AC103" s="275"/>
      <c r="AG103" s="277"/>
      <c r="AL103" s="300"/>
      <c r="AO103" s="275"/>
      <c r="AP103" s="275"/>
      <c r="AQ103" s="275"/>
      <c r="AR103" s="275"/>
      <c r="AS103" s="275"/>
      <c r="AT103" s="291"/>
      <c r="AU103" s="289"/>
      <c r="AV103" s="288"/>
      <c r="AW103" s="290"/>
      <c r="AX103" s="288"/>
      <c r="AY103" s="288"/>
      <c r="AZ103" s="290"/>
      <c r="BA103" s="288"/>
      <c r="BB103" s="288"/>
      <c r="BC103" s="289"/>
      <c r="BD103" s="288"/>
      <c r="BE103" s="288"/>
      <c r="BQ103" s="277"/>
      <c r="BR103" s="275"/>
      <c r="BX103" s="273"/>
      <c r="CT103" s="277"/>
      <c r="CU103" s="275"/>
      <c r="CV103" s="275"/>
      <c r="DJ103" s="277"/>
      <c r="DU103" s="281"/>
      <c r="DV103" s="288"/>
      <c r="DW103" s="288"/>
      <c r="DX103" s="288"/>
      <c r="DY103" s="288"/>
      <c r="DZ103" s="288"/>
      <c r="EA103" s="288"/>
      <c r="EB103" s="288"/>
      <c r="EC103" s="288"/>
      <c r="ED103" s="288"/>
      <c r="EE103" s="288"/>
      <c r="EF103" s="288"/>
      <c r="EO103" s="288"/>
      <c r="EP103" s="277"/>
      <c r="EZ103" s="288"/>
      <c r="FA103" s="299"/>
      <c r="FB103" s="298"/>
      <c r="FC103" s="298"/>
      <c r="FD103" s="298"/>
      <c r="FE103" s="298"/>
      <c r="FF103" s="298"/>
      <c r="FG103" s="298"/>
      <c r="FH103" s="298"/>
      <c r="FI103" s="298"/>
      <c r="FJ103" s="298"/>
      <c r="FK103" s="298"/>
      <c r="FL103" s="301"/>
      <c r="FM103" s="288"/>
      <c r="FN103" s="288"/>
      <c r="FO103" s="288"/>
      <c r="FP103" s="288"/>
      <c r="FQ103" s="288"/>
      <c r="FR103" s="288"/>
      <c r="FS103" s="288"/>
      <c r="FT103" s="288"/>
      <c r="FU103" s="288"/>
    </row>
    <row r="104" spans="1:177" hidden="1">
      <c r="A104" s="288"/>
      <c r="B104" s="288"/>
      <c r="C104" s="287"/>
      <c r="D104" s="277"/>
      <c r="E104" s="292"/>
      <c r="F104" s="292"/>
      <c r="I104" s="275"/>
      <c r="J104" s="275"/>
      <c r="K104" s="275"/>
      <c r="L104" s="275"/>
      <c r="M104" s="275"/>
      <c r="N104" s="291"/>
      <c r="O104" s="292"/>
      <c r="P104" s="292"/>
      <c r="R104" s="275"/>
      <c r="S104" s="275"/>
      <c r="T104" s="275"/>
      <c r="U104" s="275"/>
      <c r="V104" s="275"/>
      <c r="W104" s="275"/>
      <c r="X104" s="275"/>
      <c r="Y104" s="277"/>
      <c r="Z104" s="275"/>
      <c r="AA104" s="275"/>
      <c r="AB104" s="275"/>
      <c r="AC104" s="275"/>
      <c r="AG104" s="277"/>
      <c r="AL104" s="300"/>
      <c r="AO104" s="275"/>
      <c r="AP104" s="275"/>
      <c r="AQ104" s="275"/>
      <c r="AR104" s="275"/>
      <c r="AS104" s="275"/>
      <c r="AT104" s="291"/>
      <c r="AU104" s="289"/>
      <c r="AV104" s="288"/>
      <c r="AW104" s="290"/>
      <c r="AX104" s="288"/>
      <c r="AY104" s="288"/>
      <c r="AZ104" s="290"/>
      <c r="BA104" s="288"/>
      <c r="BB104" s="288"/>
      <c r="BC104" s="289"/>
      <c r="BD104" s="288"/>
      <c r="BE104" s="288"/>
      <c r="BQ104" s="277"/>
      <c r="BR104" s="275"/>
      <c r="BX104" s="273"/>
      <c r="CT104" s="277"/>
      <c r="CU104" s="275"/>
      <c r="CV104" s="275"/>
      <c r="DJ104" s="277"/>
      <c r="DU104" s="281"/>
      <c r="DV104" s="288"/>
      <c r="DW104" s="288"/>
      <c r="DX104" s="288"/>
      <c r="DY104" s="288"/>
      <c r="DZ104" s="288"/>
      <c r="EA104" s="288"/>
      <c r="EB104" s="288"/>
      <c r="EC104" s="288"/>
      <c r="ED104" s="288"/>
      <c r="EE104" s="288"/>
      <c r="EF104" s="288"/>
      <c r="EO104" s="288"/>
      <c r="EP104" s="277"/>
      <c r="EZ104" s="288"/>
      <c r="FA104" s="299"/>
      <c r="FB104" s="298"/>
      <c r="FC104" s="298"/>
      <c r="FD104" s="298"/>
      <c r="FE104" s="298"/>
      <c r="FF104" s="298"/>
      <c r="FG104" s="298"/>
      <c r="FH104" s="298"/>
      <c r="FI104" s="298"/>
      <c r="FJ104" s="298"/>
      <c r="FK104" s="298"/>
      <c r="FL104" s="301"/>
      <c r="FM104" s="288"/>
      <c r="FN104" s="288"/>
      <c r="FO104" s="288"/>
      <c r="FP104" s="288"/>
      <c r="FQ104" s="288"/>
      <c r="FR104" s="288"/>
      <c r="FS104" s="288"/>
      <c r="FT104" s="288"/>
      <c r="FU104" s="288"/>
    </row>
    <row r="105" spans="1:177" hidden="1">
      <c r="A105" s="288"/>
      <c r="B105" s="288"/>
      <c r="C105" s="287"/>
      <c r="D105" s="277"/>
      <c r="E105" s="292"/>
      <c r="F105" s="292"/>
      <c r="I105" s="275"/>
      <c r="J105" s="275"/>
      <c r="K105" s="275"/>
      <c r="L105" s="275"/>
      <c r="M105" s="275"/>
      <c r="N105" s="291"/>
      <c r="O105" s="292"/>
      <c r="P105" s="292"/>
      <c r="R105" s="275"/>
      <c r="S105" s="275"/>
      <c r="T105" s="275"/>
      <c r="U105" s="275"/>
      <c r="V105" s="275"/>
      <c r="W105" s="275"/>
      <c r="X105" s="275"/>
      <c r="Y105" s="277"/>
      <c r="Z105" s="275"/>
      <c r="AA105" s="275"/>
      <c r="AB105" s="275"/>
      <c r="AC105" s="275"/>
      <c r="AG105" s="277"/>
      <c r="AL105" s="300"/>
      <c r="AO105" s="275"/>
      <c r="AP105" s="275"/>
      <c r="AQ105" s="275"/>
      <c r="AR105" s="275"/>
      <c r="AS105" s="275"/>
      <c r="AT105" s="291"/>
      <c r="AU105" s="289"/>
      <c r="AV105" s="288"/>
      <c r="AW105" s="290"/>
      <c r="AX105" s="288"/>
      <c r="AY105" s="288"/>
      <c r="AZ105" s="290"/>
      <c r="BA105" s="288"/>
      <c r="BB105" s="288"/>
      <c r="BC105" s="289"/>
      <c r="BD105" s="288"/>
      <c r="BE105" s="288"/>
      <c r="BQ105" s="277"/>
      <c r="BR105" s="275"/>
      <c r="BX105" s="273"/>
      <c r="CT105" s="277"/>
      <c r="CU105" s="275"/>
      <c r="CV105" s="275"/>
      <c r="DJ105" s="277"/>
      <c r="DU105" s="281"/>
      <c r="DV105" s="288"/>
      <c r="DW105" s="288"/>
      <c r="DX105" s="288"/>
      <c r="DY105" s="288"/>
      <c r="DZ105" s="288"/>
      <c r="EA105" s="288"/>
      <c r="EB105" s="288"/>
      <c r="EC105" s="288"/>
      <c r="ED105" s="288"/>
      <c r="EE105" s="288"/>
      <c r="EF105" s="288"/>
      <c r="EO105" s="288"/>
      <c r="EP105" s="277"/>
      <c r="EZ105" s="288"/>
      <c r="FA105" s="299"/>
      <c r="FB105" s="298"/>
      <c r="FC105" s="298"/>
      <c r="FD105" s="298"/>
      <c r="FE105" s="298"/>
      <c r="FF105" s="298"/>
      <c r="FG105" s="298"/>
      <c r="FH105" s="298"/>
      <c r="FI105" s="298"/>
      <c r="FJ105" s="298"/>
      <c r="FK105" s="298"/>
      <c r="FL105" s="301"/>
      <c r="FM105" s="288"/>
      <c r="FN105" s="288"/>
      <c r="FO105" s="288"/>
      <c r="FP105" s="288"/>
      <c r="FQ105" s="288"/>
      <c r="FR105" s="288"/>
      <c r="FS105" s="288"/>
      <c r="FT105" s="288"/>
      <c r="FU105" s="288"/>
    </row>
    <row r="106" spans="1:177">
      <c r="A106" s="288">
        <v>1960</v>
      </c>
      <c r="B106" s="288" t="s">
        <v>164</v>
      </c>
      <c r="C106" s="287"/>
      <c r="D106" s="277"/>
      <c r="E106" s="286">
        <f>AVERAGE(E36:E45)</f>
        <v>0.12220571165697844</v>
      </c>
      <c r="F106" s="286"/>
      <c r="I106" s="275"/>
      <c r="J106" s="275"/>
      <c r="K106" s="275"/>
      <c r="L106" s="275"/>
      <c r="M106" s="275"/>
      <c r="N106" s="285">
        <f>AVERAGE(N36:N45)</f>
        <v>6.8577669634618019E-2</v>
      </c>
      <c r="O106" s="286"/>
      <c r="P106" s="286"/>
      <c r="R106" s="275"/>
      <c r="S106" s="275"/>
      <c r="T106" s="275"/>
      <c r="U106" s="275"/>
      <c r="V106" s="275"/>
      <c r="W106" s="275"/>
      <c r="X106" s="275"/>
      <c r="Y106" s="277"/>
      <c r="Z106" s="275"/>
      <c r="AA106" s="275"/>
      <c r="AB106" s="275"/>
      <c r="AC106" s="275"/>
      <c r="AG106" s="277" t="s">
        <v>163</v>
      </c>
      <c r="AI106" s="294">
        <f>AJ106*AI95</f>
        <v>469.50400000000002</v>
      </c>
      <c r="AJ106" s="293">
        <v>2.8000000000000001E-2</v>
      </c>
      <c r="AK106" s="272" t="s">
        <v>153</v>
      </c>
      <c r="AL106" s="300"/>
      <c r="AO106" s="275"/>
      <c r="AP106" s="275"/>
      <c r="AQ106" s="275"/>
      <c r="AR106" s="275"/>
      <c r="AS106" s="275"/>
      <c r="AT106" s="285">
        <f>AVERAGE(AT36:AT45)</f>
        <v>7.6096654666680807E-2</v>
      </c>
      <c r="AU106" s="283">
        <f>AVERAGE(AU36:AU45)</f>
        <v>0.50760000000000005</v>
      </c>
      <c r="AV106" s="282">
        <f>AVERAGE(AV36:AV45)</f>
        <v>0.36030626024539758</v>
      </c>
      <c r="AW106" s="284">
        <f>AVERAGE(AW36:AW45)</f>
        <v>0.36030626024539758</v>
      </c>
      <c r="AX106" s="282">
        <f>AVERAGE(AX36:AX45)</f>
        <v>0.33905691635880453</v>
      </c>
      <c r="AY106" s="282">
        <f>AVERAGE(AY36:AY45)</f>
        <v>0.37946945808241866</v>
      </c>
      <c r="AZ106" s="284">
        <f>AVERAGE(AZ36:AZ45)</f>
        <v>0.38178165907966832</v>
      </c>
      <c r="BA106" s="282">
        <f>AVERAGE(BA36:BA45)</f>
        <v>0.43643129515060597</v>
      </c>
      <c r="BB106" s="282">
        <f>AVERAGE(BB36:BB45)</f>
        <v>0.40969600728172251</v>
      </c>
      <c r="BC106" s="283"/>
      <c r="BD106" s="282"/>
      <c r="BE106" s="282"/>
      <c r="BF106" s="293"/>
      <c r="BQ106" s="277"/>
      <c r="BR106" s="275"/>
      <c r="BX106" s="273"/>
      <c r="CT106" s="277"/>
      <c r="CU106" s="275"/>
      <c r="CV106" s="275"/>
      <c r="DJ106" s="277"/>
      <c r="DU106" s="281"/>
      <c r="DV106" s="288"/>
      <c r="DW106" s="288"/>
      <c r="DX106" s="288"/>
      <c r="DY106" s="288"/>
      <c r="DZ106" s="288"/>
      <c r="EA106" s="288"/>
      <c r="EB106" s="288"/>
      <c r="EC106" s="288"/>
      <c r="ED106" s="288"/>
      <c r="EE106" s="288"/>
      <c r="EF106" s="288"/>
      <c r="EO106" s="288"/>
      <c r="EP106" s="277"/>
      <c r="EZ106" s="288" t="s">
        <v>162</v>
      </c>
      <c r="FA106" s="299">
        <f t="array" ref="FA106">GEOMEAN(1+(FA68:FA78))-1</f>
        <v>0.10372778983659026</v>
      </c>
      <c r="FB106" s="298">
        <f t="array" ref="FB106">GEOMEAN(1+(FB68:FB78))-1</f>
        <v>0.22822222738494613</v>
      </c>
      <c r="FC106" s="298">
        <f t="array" ref="FC106">GEOMEAN(1+(FC68:FC78))-1</f>
        <v>0.21813996284480885</v>
      </c>
      <c r="FD106" s="298">
        <f t="array" ref="FD106">GEOMEAN(1+(FD68:FD78))-1</f>
        <v>0.24552261360672567</v>
      </c>
      <c r="FE106" s="298">
        <f t="array" ref="FE106">GEOMEAN(1+(FE68:FE78))-1</f>
        <v>0.14048351301785589</v>
      </c>
      <c r="FF106" s="298">
        <f t="array" ref="FF106">GEOMEAN(1+(FF68:FF78))-1</f>
        <v>0.16077790239129941</v>
      </c>
      <c r="FG106" s="298">
        <f t="array" ref="FG106">GEOMEAN(1+(FG68:FG78))-1</f>
        <v>0.1471822000248304</v>
      </c>
      <c r="FH106" s="298">
        <f t="array" ref="FH106">GEOMEAN(1+(FH68:FH78))-1</f>
        <v>0.25432777886679703</v>
      </c>
      <c r="FI106" s="297">
        <f t="array" ref="FI106">GEOMEAN(1+(FI68:FI78))-1</f>
        <v>0.18535774825414553</v>
      </c>
      <c r="FJ106" s="298">
        <f t="array" ref="FJ106">GEOMEAN(1+(FJ68:FJ78))-1</f>
        <v>7.7054012732388211E-2</v>
      </c>
      <c r="FK106" s="297">
        <f t="array" ref="FK106">GEOMEAN(1+(FK68:FK78))-1</f>
        <v>0.13864964418566084</v>
      </c>
      <c r="FL106" s="296">
        <f>AVERAGE(FL68:FL78)</f>
        <v>0.11402129799324169</v>
      </c>
      <c r="FM106" s="295">
        <f>AVERAGE(FM68:FM78)</f>
        <v>0.23517463453227672</v>
      </c>
      <c r="FN106" s="295">
        <f>AVERAGE(FN68:FN78)</f>
        <v>0.16496769869515113</v>
      </c>
      <c r="FO106" s="295">
        <f>AVERAGE(FO68:FO78)</f>
        <v>0.18809209538773961</v>
      </c>
      <c r="FP106" s="295">
        <f>AVERAGE(FP68:FP78)</f>
        <v>0.14897792737470703</v>
      </c>
      <c r="FQ106" s="295">
        <f>AVERAGE(FQ68:FQ78)</f>
        <v>0.11466966693798283</v>
      </c>
      <c r="FR106" s="295">
        <f>AVERAGE(FR68:FR78)</f>
        <v>0.10261531581602967</v>
      </c>
      <c r="FS106" s="295">
        <f>AVERAGE(FS68:FS78)</f>
        <v>0.19900098039061609</v>
      </c>
      <c r="FT106" s="295">
        <f>AVERAGE(FT68:FT78)</f>
        <v>0.15070531906578152</v>
      </c>
      <c r="FU106" s="295">
        <f>AVERAGE(FU68:FU78)</f>
        <v>0.10288374820219147</v>
      </c>
    </row>
    <row r="107" spans="1:177" hidden="1">
      <c r="A107" s="288"/>
      <c r="B107" s="288"/>
      <c r="C107" s="287"/>
      <c r="D107" s="277"/>
      <c r="E107" s="292"/>
      <c r="F107" s="292"/>
      <c r="I107" s="275"/>
      <c r="J107" s="275"/>
      <c r="K107" s="275"/>
      <c r="L107" s="275"/>
      <c r="M107" s="275"/>
      <c r="N107" s="291"/>
      <c r="O107" s="292"/>
      <c r="P107" s="292"/>
      <c r="R107" s="275"/>
      <c r="S107" s="275"/>
      <c r="T107" s="275"/>
      <c r="U107" s="275"/>
      <c r="V107" s="275"/>
      <c r="W107" s="275"/>
      <c r="X107" s="275"/>
      <c r="Y107" s="277"/>
      <c r="Z107" s="275"/>
      <c r="AA107" s="275"/>
      <c r="AB107" s="275"/>
      <c r="AC107" s="275"/>
      <c r="AG107" s="277"/>
      <c r="AL107" s="300"/>
      <c r="AO107" s="275"/>
      <c r="AP107" s="275"/>
      <c r="AQ107" s="275"/>
      <c r="AR107" s="275"/>
      <c r="AS107" s="275"/>
      <c r="AT107" s="291"/>
      <c r="AU107" s="289"/>
      <c r="AV107" s="288"/>
      <c r="AW107" s="290"/>
      <c r="AX107" s="288"/>
      <c r="AY107" s="288"/>
      <c r="AZ107" s="290"/>
      <c r="BA107" s="288"/>
      <c r="BB107" s="288"/>
      <c r="BC107" s="289"/>
      <c r="BD107" s="288"/>
      <c r="BE107" s="288"/>
      <c r="BQ107" s="277"/>
      <c r="BR107" s="275"/>
      <c r="CT107" s="277"/>
      <c r="CU107" s="275"/>
      <c r="CV107" s="275"/>
      <c r="DJ107" s="277"/>
      <c r="DU107" s="281"/>
      <c r="DV107" s="288"/>
      <c r="DW107" s="288"/>
      <c r="DX107" s="288"/>
      <c r="DY107" s="288"/>
      <c r="DZ107" s="288"/>
      <c r="EA107" s="288"/>
      <c r="EB107" s="288"/>
      <c r="EC107" s="288"/>
      <c r="ED107" s="288"/>
      <c r="EE107" s="288"/>
      <c r="EO107" s="288"/>
      <c r="EP107" s="277"/>
      <c r="EZ107" s="288"/>
      <c r="FA107" s="299"/>
      <c r="FB107" s="298"/>
      <c r="FC107" s="298"/>
      <c r="FD107" s="298"/>
      <c r="FE107" s="298"/>
      <c r="FF107" s="298"/>
      <c r="FG107" s="298"/>
      <c r="FH107" s="298"/>
      <c r="FI107" s="297"/>
      <c r="FJ107" s="298"/>
      <c r="FK107" s="297"/>
      <c r="FL107" s="296"/>
      <c r="FM107" s="295"/>
      <c r="FN107" s="295"/>
      <c r="FO107" s="295"/>
      <c r="FP107" s="295"/>
      <c r="FQ107" s="295"/>
      <c r="FR107" s="295"/>
      <c r="FS107" s="295"/>
      <c r="FT107" s="295"/>
      <c r="FU107" s="295"/>
    </row>
    <row r="108" spans="1:177" hidden="1">
      <c r="A108" s="288"/>
      <c r="B108" s="288"/>
      <c r="C108" s="287"/>
      <c r="D108" s="277"/>
      <c r="E108" s="292"/>
      <c r="F108" s="292"/>
      <c r="I108" s="275"/>
      <c r="J108" s="275"/>
      <c r="K108" s="275"/>
      <c r="L108" s="275"/>
      <c r="M108" s="275"/>
      <c r="N108" s="291"/>
      <c r="O108" s="292"/>
      <c r="P108" s="292"/>
      <c r="R108" s="275"/>
      <c r="S108" s="275"/>
      <c r="T108" s="275"/>
      <c r="U108" s="275"/>
      <c r="V108" s="275"/>
      <c r="W108" s="275"/>
      <c r="X108" s="275"/>
      <c r="Y108" s="277"/>
      <c r="Z108" s="275"/>
      <c r="AA108" s="275"/>
      <c r="AB108" s="275"/>
      <c r="AC108" s="275"/>
      <c r="AG108" s="277"/>
      <c r="AL108" s="300"/>
      <c r="AO108" s="275"/>
      <c r="AP108" s="275"/>
      <c r="AQ108" s="275"/>
      <c r="AR108" s="275"/>
      <c r="AS108" s="275"/>
      <c r="AT108" s="291"/>
      <c r="AU108" s="289"/>
      <c r="AV108" s="288"/>
      <c r="AW108" s="290"/>
      <c r="AX108" s="288"/>
      <c r="AY108" s="288"/>
      <c r="AZ108" s="290"/>
      <c r="BA108" s="288"/>
      <c r="BB108" s="288"/>
      <c r="BC108" s="289"/>
      <c r="BD108" s="288"/>
      <c r="BE108" s="288"/>
      <c r="BQ108" s="277"/>
      <c r="BR108" s="275"/>
      <c r="CT108" s="277"/>
      <c r="CU108" s="275"/>
      <c r="CV108" s="275"/>
      <c r="DJ108" s="277"/>
      <c r="DU108" s="281"/>
      <c r="DV108" s="288"/>
      <c r="DW108" s="288"/>
      <c r="DX108" s="288"/>
      <c r="DY108" s="288"/>
      <c r="DZ108" s="288"/>
      <c r="EA108" s="288"/>
      <c r="EB108" s="288"/>
      <c r="EC108" s="288"/>
      <c r="ED108" s="288"/>
      <c r="EE108" s="288"/>
      <c r="EO108" s="288"/>
      <c r="EP108" s="277"/>
      <c r="EZ108" s="288"/>
      <c r="FA108" s="299"/>
      <c r="FB108" s="298"/>
      <c r="FC108" s="298"/>
      <c r="FD108" s="298"/>
      <c r="FE108" s="298"/>
      <c r="FF108" s="298"/>
      <c r="FG108" s="298"/>
      <c r="FH108" s="298"/>
      <c r="FI108" s="297"/>
      <c r="FJ108" s="298"/>
      <c r="FK108" s="297"/>
      <c r="FL108" s="296"/>
      <c r="FM108" s="295"/>
      <c r="FN108" s="295"/>
      <c r="FO108" s="295"/>
      <c r="FP108" s="295"/>
      <c r="FQ108" s="295"/>
      <c r="FR108" s="295"/>
      <c r="FS108" s="295"/>
      <c r="FT108" s="295"/>
      <c r="FU108" s="295"/>
    </row>
    <row r="109" spans="1:177" hidden="1">
      <c r="A109" s="288"/>
      <c r="B109" s="288"/>
      <c r="C109" s="287"/>
      <c r="D109" s="277"/>
      <c r="E109" s="292"/>
      <c r="F109" s="292"/>
      <c r="I109" s="275"/>
      <c r="J109" s="275"/>
      <c r="K109" s="275"/>
      <c r="L109" s="275"/>
      <c r="M109" s="275"/>
      <c r="N109" s="291"/>
      <c r="O109" s="292"/>
      <c r="P109" s="292"/>
      <c r="R109" s="275"/>
      <c r="S109" s="275"/>
      <c r="T109" s="275"/>
      <c r="U109" s="275"/>
      <c r="V109" s="275"/>
      <c r="W109" s="275"/>
      <c r="X109" s="275"/>
      <c r="Y109" s="277"/>
      <c r="Z109" s="275"/>
      <c r="AA109" s="275"/>
      <c r="AB109" s="275"/>
      <c r="AC109" s="275"/>
      <c r="AG109" s="277"/>
      <c r="AL109" s="300"/>
      <c r="AO109" s="275"/>
      <c r="AP109" s="275"/>
      <c r="AQ109" s="275"/>
      <c r="AR109" s="275"/>
      <c r="AS109" s="275"/>
      <c r="AT109" s="291"/>
      <c r="AU109" s="289"/>
      <c r="AV109" s="288"/>
      <c r="AW109" s="290"/>
      <c r="AX109" s="288"/>
      <c r="AY109" s="288"/>
      <c r="AZ109" s="290"/>
      <c r="BA109" s="288"/>
      <c r="BB109" s="288"/>
      <c r="BC109" s="289"/>
      <c r="BD109" s="288"/>
      <c r="BE109" s="288"/>
      <c r="BQ109" s="277"/>
      <c r="BR109" s="275"/>
      <c r="CT109" s="277"/>
      <c r="CU109" s="275"/>
      <c r="CV109" s="275"/>
      <c r="DJ109" s="277"/>
      <c r="DU109" s="281"/>
      <c r="DV109" s="288"/>
      <c r="DW109" s="288"/>
      <c r="DX109" s="288"/>
      <c r="DY109" s="288"/>
      <c r="DZ109" s="288"/>
      <c r="EA109" s="288"/>
      <c r="EB109" s="288"/>
      <c r="EC109" s="288"/>
      <c r="ED109" s="288"/>
      <c r="EE109" s="288"/>
      <c r="EO109" s="288"/>
      <c r="EP109" s="277"/>
      <c r="EZ109" s="288"/>
      <c r="FA109" s="299"/>
      <c r="FB109" s="298"/>
      <c r="FC109" s="298"/>
      <c r="FD109" s="298"/>
      <c r="FE109" s="298"/>
      <c r="FF109" s="298"/>
      <c r="FG109" s="298"/>
      <c r="FH109" s="298"/>
      <c r="FI109" s="297"/>
      <c r="FJ109" s="298"/>
      <c r="FK109" s="297"/>
      <c r="FL109" s="296"/>
      <c r="FM109" s="295"/>
      <c r="FN109" s="295"/>
      <c r="FO109" s="295"/>
      <c r="FP109" s="295"/>
      <c r="FQ109" s="295"/>
      <c r="FR109" s="295"/>
      <c r="FS109" s="295"/>
      <c r="FT109" s="295"/>
      <c r="FU109" s="295"/>
    </row>
    <row r="110" spans="1:177" hidden="1">
      <c r="A110" s="288"/>
      <c r="B110" s="288"/>
      <c r="C110" s="287"/>
      <c r="D110" s="277"/>
      <c r="E110" s="292"/>
      <c r="F110" s="292"/>
      <c r="I110" s="275"/>
      <c r="J110" s="275"/>
      <c r="K110" s="275"/>
      <c r="L110" s="275"/>
      <c r="M110" s="275"/>
      <c r="N110" s="291"/>
      <c r="O110" s="292"/>
      <c r="P110" s="292"/>
      <c r="R110" s="275"/>
      <c r="S110" s="275"/>
      <c r="T110" s="275"/>
      <c r="U110" s="275"/>
      <c r="V110" s="275"/>
      <c r="W110" s="275"/>
      <c r="X110" s="275"/>
      <c r="Y110" s="277"/>
      <c r="Z110" s="275"/>
      <c r="AA110" s="275"/>
      <c r="AB110" s="275"/>
      <c r="AC110" s="275"/>
      <c r="AG110" s="277"/>
      <c r="AL110" s="300"/>
      <c r="AO110" s="275"/>
      <c r="AP110" s="275"/>
      <c r="AQ110" s="275"/>
      <c r="AR110" s="275"/>
      <c r="AS110" s="275"/>
      <c r="AT110" s="291"/>
      <c r="AU110" s="289"/>
      <c r="AV110" s="288"/>
      <c r="AW110" s="290"/>
      <c r="AX110" s="288"/>
      <c r="AY110" s="288"/>
      <c r="AZ110" s="290"/>
      <c r="BA110" s="288"/>
      <c r="BB110" s="288"/>
      <c r="BC110" s="289"/>
      <c r="BD110" s="288"/>
      <c r="BE110" s="288"/>
      <c r="BQ110" s="277"/>
      <c r="BR110" s="275"/>
      <c r="CT110" s="277"/>
      <c r="CU110" s="275"/>
      <c r="CV110" s="275"/>
      <c r="DJ110" s="277"/>
      <c r="DU110" s="281"/>
      <c r="DV110" s="288"/>
      <c r="DW110" s="288"/>
      <c r="DX110" s="288"/>
      <c r="DY110" s="288"/>
      <c r="DZ110" s="288"/>
      <c r="EA110" s="288"/>
      <c r="EB110" s="288"/>
      <c r="EC110" s="288"/>
      <c r="ED110" s="288"/>
      <c r="EE110" s="288"/>
      <c r="EO110" s="288"/>
      <c r="EP110" s="277"/>
      <c r="EZ110" s="288"/>
      <c r="FA110" s="299"/>
      <c r="FB110" s="298"/>
      <c r="FC110" s="298"/>
      <c r="FD110" s="298"/>
      <c r="FE110" s="298"/>
      <c r="FF110" s="298"/>
      <c r="FG110" s="298"/>
      <c r="FH110" s="298"/>
      <c r="FI110" s="297"/>
      <c r="FJ110" s="298"/>
      <c r="FK110" s="297"/>
      <c r="FL110" s="296"/>
      <c r="FM110" s="295"/>
      <c r="FN110" s="295"/>
      <c r="FO110" s="295"/>
      <c r="FP110" s="295"/>
      <c r="FQ110" s="295"/>
      <c r="FR110" s="295"/>
      <c r="FS110" s="295"/>
      <c r="FT110" s="295"/>
      <c r="FU110" s="295"/>
    </row>
    <row r="111" spans="1:177" hidden="1">
      <c r="A111" s="288"/>
      <c r="B111" s="288"/>
      <c r="C111" s="287"/>
      <c r="D111" s="277"/>
      <c r="E111" s="292"/>
      <c r="F111" s="292"/>
      <c r="I111" s="275"/>
      <c r="J111" s="275"/>
      <c r="K111" s="275"/>
      <c r="L111" s="275"/>
      <c r="M111" s="275"/>
      <c r="N111" s="291"/>
      <c r="O111" s="292"/>
      <c r="P111" s="292"/>
      <c r="R111" s="275"/>
      <c r="S111" s="275"/>
      <c r="T111" s="275"/>
      <c r="U111" s="275"/>
      <c r="V111" s="275"/>
      <c r="W111" s="275"/>
      <c r="X111" s="275"/>
      <c r="Y111" s="277"/>
      <c r="Z111" s="275"/>
      <c r="AA111" s="275"/>
      <c r="AB111" s="275"/>
      <c r="AC111" s="275"/>
      <c r="AG111" s="277"/>
      <c r="AL111" s="300"/>
      <c r="AO111" s="275"/>
      <c r="AP111" s="275"/>
      <c r="AQ111" s="275"/>
      <c r="AR111" s="275"/>
      <c r="AS111" s="275"/>
      <c r="AT111" s="291"/>
      <c r="AU111" s="289"/>
      <c r="AV111" s="288"/>
      <c r="AW111" s="290"/>
      <c r="AX111" s="288"/>
      <c r="AY111" s="288"/>
      <c r="AZ111" s="290"/>
      <c r="BA111" s="288"/>
      <c r="BB111" s="288"/>
      <c r="BC111" s="289"/>
      <c r="BD111" s="288"/>
      <c r="BE111" s="288"/>
      <c r="BQ111" s="277"/>
      <c r="BR111" s="275"/>
      <c r="CT111" s="277"/>
      <c r="CU111" s="275"/>
      <c r="CV111" s="275"/>
      <c r="DJ111" s="277"/>
      <c r="DU111" s="281"/>
      <c r="DV111" s="288"/>
      <c r="DW111" s="288"/>
      <c r="DX111" s="288"/>
      <c r="DY111" s="288"/>
      <c r="DZ111" s="288"/>
      <c r="EA111" s="288"/>
      <c r="EB111" s="288"/>
      <c r="EC111" s="288"/>
      <c r="ED111" s="288"/>
      <c r="EE111" s="288"/>
      <c r="EO111" s="288"/>
      <c r="EP111" s="277"/>
      <c r="EZ111" s="288"/>
      <c r="FA111" s="299"/>
      <c r="FB111" s="298"/>
      <c r="FC111" s="298"/>
      <c r="FD111" s="298"/>
      <c r="FE111" s="298"/>
      <c r="FF111" s="298"/>
      <c r="FG111" s="298"/>
      <c r="FH111" s="298"/>
      <c r="FI111" s="297"/>
      <c r="FJ111" s="298"/>
      <c r="FK111" s="297"/>
      <c r="FL111" s="296"/>
      <c r="FM111" s="295"/>
      <c r="FN111" s="295"/>
      <c r="FO111" s="295"/>
      <c r="FP111" s="295"/>
      <c r="FQ111" s="295"/>
      <c r="FR111" s="295"/>
      <c r="FS111" s="295"/>
      <c r="FT111" s="295"/>
      <c r="FU111" s="295"/>
    </row>
    <row r="112" spans="1:177" hidden="1">
      <c r="A112" s="288"/>
      <c r="B112" s="288"/>
      <c r="C112" s="287"/>
      <c r="D112" s="277"/>
      <c r="E112" s="292"/>
      <c r="F112" s="292"/>
      <c r="I112" s="275"/>
      <c r="J112" s="275"/>
      <c r="K112" s="275"/>
      <c r="L112" s="275"/>
      <c r="M112" s="275"/>
      <c r="N112" s="291"/>
      <c r="O112" s="292"/>
      <c r="P112" s="292"/>
      <c r="R112" s="275"/>
      <c r="S112" s="275"/>
      <c r="T112" s="275"/>
      <c r="U112" s="275"/>
      <c r="V112" s="275"/>
      <c r="W112" s="275"/>
      <c r="X112" s="275"/>
      <c r="Y112" s="277"/>
      <c r="Z112" s="275"/>
      <c r="AA112" s="275"/>
      <c r="AB112" s="275"/>
      <c r="AC112" s="275"/>
      <c r="AG112" s="277"/>
      <c r="AL112" s="300"/>
      <c r="AO112" s="275"/>
      <c r="AP112" s="275"/>
      <c r="AQ112" s="275"/>
      <c r="AR112" s="275"/>
      <c r="AS112" s="275"/>
      <c r="AT112" s="291"/>
      <c r="AU112" s="289"/>
      <c r="AV112" s="288"/>
      <c r="AW112" s="290"/>
      <c r="AX112" s="288"/>
      <c r="AY112" s="288"/>
      <c r="AZ112" s="290"/>
      <c r="BA112" s="288"/>
      <c r="BB112" s="288"/>
      <c r="BC112" s="289"/>
      <c r="BD112" s="288"/>
      <c r="BE112" s="288"/>
      <c r="BQ112" s="277"/>
      <c r="BR112" s="275"/>
      <c r="CT112" s="277"/>
      <c r="CU112" s="275"/>
      <c r="CV112" s="275"/>
      <c r="DJ112" s="277"/>
      <c r="DU112" s="281"/>
      <c r="DV112" s="288"/>
      <c r="DW112" s="288"/>
      <c r="DX112" s="288"/>
      <c r="DY112" s="288"/>
      <c r="DZ112" s="288"/>
      <c r="EA112" s="288"/>
      <c r="EB112" s="288"/>
      <c r="EC112" s="288"/>
      <c r="ED112" s="288"/>
      <c r="EE112" s="288"/>
      <c r="EO112" s="288"/>
      <c r="EP112" s="277"/>
      <c r="EZ112" s="288"/>
      <c r="FA112" s="299"/>
      <c r="FB112" s="298"/>
      <c r="FC112" s="298"/>
      <c r="FD112" s="298"/>
      <c r="FE112" s="298"/>
      <c r="FF112" s="298"/>
      <c r="FG112" s="298"/>
      <c r="FH112" s="298"/>
      <c r="FI112" s="297"/>
      <c r="FJ112" s="298"/>
      <c r="FK112" s="297"/>
      <c r="FL112" s="296"/>
      <c r="FM112" s="295"/>
      <c r="FN112" s="295"/>
      <c r="FO112" s="295"/>
      <c r="FP112" s="295"/>
      <c r="FQ112" s="295"/>
      <c r="FR112" s="295"/>
      <c r="FS112" s="295"/>
      <c r="FT112" s="295"/>
      <c r="FU112" s="295"/>
    </row>
    <row r="113" spans="1:177" hidden="1">
      <c r="A113" s="288"/>
      <c r="B113" s="288"/>
      <c r="C113" s="287"/>
      <c r="D113" s="277"/>
      <c r="E113" s="292"/>
      <c r="F113" s="292"/>
      <c r="I113" s="275"/>
      <c r="J113" s="275"/>
      <c r="K113" s="275"/>
      <c r="L113" s="275"/>
      <c r="M113" s="275"/>
      <c r="N113" s="291"/>
      <c r="O113" s="292"/>
      <c r="P113" s="292"/>
      <c r="R113" s="275"/>
      <c r="S113" s="275"/>
      <c r="T113" s="275"/>
      <c r="U113" s="275"/>
      <c r="V113" s="275"/>
      <c r="W113" s="275"/>
      <c r="X113" s="275"/>
      <c r="Y113" s="277"/>
      <c r="Z113" s="275"/>
      <c r="AA113" s="275"/>
      <c r="AB113" s="275"/>
      <c r="AC113" s="275"/>
      <c r="AG113" s="277"/>
      <c r="AL113" s="300"/>
      <c r="AO113" s="275"/>
      <c r="AP113" s="275"/>
      <c r="AQ113" s="275"/>
      <c r="AR113" s="275"/>
      <c r="AS113" s="275"/>
      <c r="AT113" s="291"/>
      <c r="AU113" s="289"/>
      <c r="AV113" s="288"/>
      <c r="AW113" s="290"/>
      <c r="AX113" s="288"/>
      <c r="AY113" s="288"/>
      <c r="AZ113" s="290"/>
      <c r="BA113" s="288"/>
      <c r="BB113" s="288"/>
      <c r="BC113" s="289"/>
      <c r="BD113" s="288"/>
      <c r="BE113" s="288"/>
      <c r="BQ113" s="277"/>
      <c r="BR113" s="275"/>
      <c r="CT113" s="277"/>
      <c r="CU113" s="275"/>
      <c r="CV113" s="275"/>
      <c r="DJ113" s="277"/>
      <c r="DU113" s="281"/>
      <c r="DV113" s="288"/>
      <c r="DW113" s="288"/>
      <c r="DX113" s="288"/>
      <c r="DY113" s="288"/>
      <c r="DZ113" s="288"/>
      <c r="EA113" s="288"/>
      <c r="EB113" s="288"/>
      <c r="EC113" s="288"/>
      <c r="ED113" s="288"/>
      <c r="EE113" s="288"/>
      <c r="EO113" s="288"/>
      <c r="EP113" s="277"/>
      <c r="EZ113" s="288"/>
      <c r="FA113" s="299"/>
      <c r="FB113" s="298"/>
      <c r="FC113" s="298"/>
      <c r="FD113" s="298"/>
      <c r="FE113" s="298"/>
      <c r="FF113" s="298"/>
      <c r="FG113" s="298"/>
      <c r="FH113" s="298"/>
      <c r="FI113" s="297"/>
      <c r="FJ113" s="298"/>
      <c r="FK113" s="297"/>
      <c r="FL113" s="296"/>
      <c r="FM113" s="295"/>
      <c r="FN113" s="295"/>
      <c r="FO113" s="295"/>
      <c r="FP113" s="295"/>
      <c r="FQ113" s="295"/>
      <c r="FR113" s="295"/>
      <c r="FS113" s="295"/>
      <c r="FT113" s="295"/>
      <c r="FU113" s="295"/>
    </row>
    <row r="114" spans="1:177" hidden="1">
      <c r="A114" s="288"/>
      <c r="B114" s="288"/>
      <c r="C114" s="287"/>
      <c r="D114" s="277"/>
      <c r="E114" s="292"/>
      <c r="F114" s="292"/>
      <c r="I114" s="275"/>
      <c r="J114" s="275"/>
      <c r="K114" s="275"/>
      <c r="L114" s="275"/>
      <c r="M114" s="275"/>
      <c r="N114" s="291"/>
      <c r="O114" s="292"/>
      <c r="P114" s="292"/>
      <c r="R114" s="275"/>
      <c r="S114" s="275"/>
      <c r="T114" s="275"/>
      <c r="U114" s="275"/>
      <c r="V114" s="275"/>
      <c r="W114" s="275"/>
      <c r="X114" s="275"/>
      <c r="Y114" s="277"/>
      <c r="Z114" s="275"/>
      <c r="AA114" s="275"/>
      <c r="AB114" s="275"/>
      <c r="AC114" s="275"/>
      <c r="AG114" s="277"/>
      <c r="AL114" s="300"/>
      <c r="AO114" s="275"/>
      <c r="AP114" s="275"/>
      <c r="AQ114" s="275"/>
      <c r="AR114" s="275"/>
      <c r="AS114" s="275"/>
      <c r="AT114" s="291"/>
      <c r="AU114" s="289"/>
      <c r="AV114" s="288"/>
      <c r="AW114" s="290"/>
      <c r="AX114" s="288"/>
      <c r="AY114" s="288"/>
      <c r="AZ114" s="290"/>
      <c r="BA114" s="288"/>
      <c r="BB114" s="288"/>
      <c r="BC114" s="289"/>
      <c r="BD114" s="288"/>
      <c r="BE114" s="288"/>
      <c r="BQ114" s="277"/>
      <c r="BR114" s="275"/>
      <c r="CT114" s="277"/>
      <c r="CU114" s="275"/>
      <c r="CV114" s="275"/>
      <c r="DJ114" s="277"/>
      <c r="DU114" s="281"/>
      <c r="DV114" s="288"/>
      <c r="DW114" s="288"/>
      <c r="DX114" s="288"/>
      <c r="DY114" s="288"/>
      <c r="DZ114" s="288"/>
      <c r="EA114" s="288"/>
      <c r="EB114" s="288"/>
      <c r="EC114" s="288"/>
      <c r="ED114" s="288"/>
      <c r="EE114" s="288"/>
      <c r="EO114" s="288"/>
      <c r="EP114" s="277"/>
      <c r="EZ114" s="288"/>
      <c r="FA114" s="299"/>
      <c r="FB114" s="298"/>
      <c r="FC114" s="298"/>
      <c r="FD114" s="298"/>
      <c r="FE114" s="298"/>
      <c r="FF114" s="298"/>
      <c r="FG114" s="298"/>
      <c r="FH114" s="298"/>
      <c r="FI114" s="297"/>
      <c r="FJ114" s="298"/>
      <c r="FK114" s="297"/>
      <c r="FL114" s="296"/>
      <c r="FM114" s="295"/>
      <c r="FN114" s="295"/>
      <c r="FO114" s="295"/>
      <c r="FP114" s="295"/>
      <c r="FQ114" s="295"/>
      <c r="FR114" s="295"/>
      <c r="FS114" s="295"/>
      <c r="FT114" s="295"/>
      <c r="FU114" s="295"/>
    </row>
    <row r="115" spans="1:177" hidden="1">
      <c r="A115" s="288"/>
      <c r="B115" s="288"/>
      <c r="C115" s="287"/>
      <c r="D115" s="277"/>
      <c r="E115" s="292"/>
      <c r="F115" s="292"/>
      <c r="I115" s="275"/>
      <c r="J115" s="275"/>
      <c r="K115" s="275"/>
      <c r="L115" s="275"/>
      <c r="M115" s="275"/>
      <c r="N115" s="291"/>
      <c r="O115" s="292"/>
      <c r="P115" s="292"/>
      <c r="R115" s="275"/>
      <c r="S115" s="275"/>
      <c r="T115" s="275"/>
      <c r="U115" s="275"/>
      <c r="V115" s="275"/>
      <c r="W115" s="275"/>
      <c r="X115" s="275"/>
      <c r="Y115" s="277"/>
      <c r="Z115" s="275"/>
      <c r="AA115" s="275"/>
      <c r="AB115" s="275"/>
      <c r="AC115" s="275"/>
      <c r="AG115" s="277"/>
      <c r="AL115" s="300"/>
      <c r="AO115" s="275"/>
      <c r="AP115" s="275"/>
      <c r="AQ115" s="275"/>
      <c r="AR115" s="275"/>
      <c r="AS115" s="275"/>
      <c r="AT115" s="291"/>
      <c r="AU115" s="289"/>
      <c r="AV115" s="288"/>
      <c r="AW115" s="290"/>
      <c r="AX115" s="288"/>
      <c r="AY115" s="288"/>
      <c r="AZ115" s="290"/>
      <c r="BA115" s="288"/>
      <c r="BB115" s="288"/>
      <c r="BC115" s="289"/>
      <c r="BD115" s="288"/>
      <c r="BE115" s="288"/>
      <c r="BQ115" s="277"/>
      <c r="BR115" s="275"/>
      <c r="CT115" s="277"/>
      <c r="CU115" s="275"/>
      <c r="CV115" s="275"/>
      <c r="DJ115" s="277"/>
      <c r="DU115" s="281"/>
      <c r="DV115" s="288"/>
      <c r="DW115" s="288"/>
      <c r="DX115" s="288"/>
      <c r="DY115" s="288"/>
      <c r="DZ115" s="288"/>
      <c r="EA115" s="288"/>
      <c r="EB115" s="288"/>
      <c r="EC115" s="288"/>
      <c r="ED115" s="288"/>
      <c r="EE115" s="288"/>
      <c r="EO115" s="288"/>
      <c r="EP115" s="277"/>
      <c r="EZ115" s="288"/>
      <c r="FA115" s="299"/>
      <c r="FB115" s="298"/>
      <c r="FC115" s="298"/>
      <c r="FD115" s="298"/>
      <c r="FE115" s="298"/>
      <c r="FF115" s="298"/>
      <c r="FG115" s="298"/>
      <c r="FH115" s="298"/>
      <c r="FI115" s="297"/>
      <c r="FJ115" s="298"/>
      <c r="FK115" s="297"/>
      <c r="FL115" s="296"/>
      <c r="FM115" s="295"/>
      <c r="FN115" s="295"/>
      <c r="FO115" s="295"/>
      <c r="FP115" s="295"/>
      <c r="FQ115" s="295"/>
      <c r="FR115" s="295"/>
      <c r="FS115" s="295"/>
      <c r="FT115" s="295"/>
      <c r="FU115" s="295"/>
    </row>
    <row r="116" spans="1:177">
      <c r="A116" s="288">
        <v>1970</v>
      </c>
      <c r="B116" s="288" t="s">
        <v>161</v>
      </c>
      <c r="C116" s="287"/>
      <c r="D116" s="277"/>
      <c r="E116" s="286">
        <f>AVERAGE(E46:E55)</f>
        <v>0.10405292616906572</v>
      </c>
      <c r="F116" s="286"/>
      <c r="I116" s="275"/>
      <c r="J116" s="275"/>
      <c r="K116" s="275"/>
      <c r="L116" s="275"/>
      <c r="M116" s="275"/>
      <c r="N116" s="285">
        <f>AVERAGE(N46:N55)</f>
        <v>0.12483766779662672</v>
      </c>
      <c r="O116" s="286"/>
      <c r="P116" s="286"/>
      <c r="R116" s="275"/>
      <c r="S116" s="275"/>
      <c r="T116" s="275"/>
      <c r="U116" s="275"/>
      <c r="V116" s="275"/>
      <c r="W116" s="275"/>
      <c r="X116" s="275"/>
      <c r="Y116" s="277"/>
      <c r="Z116" s="275"/>
      <c r="AA116" s="275"/>
      <c r="AB116" s="275"/>
      <c r="AC116" s="275"/>
      <c r="AG116" s="277" t="s">
        <v>160</v>
      </c>
      <c r="AI116" s="294">
        <f>AJ116*AI95</f>
        <v>452.73599999999999</v>
      </c>
      <c r="AJ116" s="279">
        <v>2.7E-2</v>
      </c>
      <c r="AK116" s="272" t="s">
        <v>159</v>
      </c>
      <c r="AL116" s="300"/>
      <c r="AO116" s="275"/>
      <c r="AP116" s="275"/>
      <c r="AQ116" s="275"/>
      <c r="AR116" s="275"/>
      <c r="AS116" s="275"/>
      <c r="AT116" s="285">
        <f>AVERAGE(AT46:AT55)</f>
        <v>6.5020068093304823E-2</v>
      </c>
      <c r="AU116" s="283">
        <f>AVERAGE(AU46:AU55)</f>
        <v>0.47919999999999996</v>
      </c>
      <c r="AV116" s="282">
        <f>AVERAGE(AV46:AV55)</f>
        <v>0.34013145377190201</v>
      </c>
      <c r="AW116" s="284">
        <f>AVERAGE(AW46:AW55)</f>
        <v>0.34013145377190201</v>
      </c>
      <c r="AX116" s="282">
        <f>AVERAGE(AX46:AX55)</f>
        <v>0.31790979493064409</v>
      </c>
      <c r="AY116" s="282">
        <f>AVERAGE(AY46:AY55)</f>
        <v>0.4046649857389501</v>
      </c>
      <c r="AZ116" s="284">
        <f>AVERAGE(AZ46:AZ55)</f>
        <v>0.40985032103178326</v>
      </c>
      <c r="BA116" s="282">
        <f>AVERAGE(BA46:BA55)</f>
        <v>0.35162857596340807</v>
      </c>
      <c r="BB116" s="282">
        <f>AVERAGE(BB46:BB55)</f>
        <v>0.32719386321539334</v>
      </c>
      <c r="BC116" s="283"/>
      <c r="BD116" s="282"/>
      <c r="BE116" s="282"/>
      <c r="BQ116" s="277"/>
      <c r="BR116" s="275"/>
      <c r="CT116" s="277"/>
      <c r="CU116" s="275"/>
      <c r="CV116" s="275"/>
      <c r="DJ116" s="277"/>
      <c r="DU116" s="281"/>
      <c r="DV116" s="288"/>
      <c r="DW116" s="288"/>
      <c r="DX116" s="288"/>
      <c r="DY116" s="288"/>
      <c r="DZ116" s="288"/>
      <c r="EA116" s="288"/>
      <c r="EB116" s="288"/>
      <c r="EC116" s="288"/>
      <c r="ED116" s="288"/>
      <c r="EE116" s="288"/>
      <c r="EO116" s="288"/>
      <c r="EP116" s="277"/>
      <c r="EZ116" s="288" t="s">
        <v>158</v>
      </c>
      <c r="FA116" s="299">
        <f t="array" ref="FA116">GEOMEAN(1+(FA78:FA88))-1</f>
        <v>0.12846672394072978</v>
      </c>
      <c r="FB116" s="298">
        <f t="array" ref="FB116">GEOMEAN(1+(FB78:FB88))-1</f>
        <v>0.2265087888158166</v>
      </c>
      <c r="FC116" s="298">
        <f t="array" ref="FC116">GEOMEAN(1+(FC78:FC88))-1</f>
        <v>0.1534921914417402</v>
      </c>
      <c r="FD116" s="298">
        <f t="array" ref="FD116">GEOMEAN(1+(FD78:FD88))-1</f>
        <v>0.20569117596676856</v>
      </c>
      <c r="FE116" s="298">
        <f t="array" ref="FE116">GEOMEAN(1+(FE78:FE88))-1</f>
        <v>0.12433680794202684</v>
      </c>
      <c r="FF116" s="298">
        <f t="array" ref="FF116">GEOMEAN(1+(FF78:FF88))-1</f>
        <v>0.18513106777988009</v>
      </c>
      <c r="FG116" s="298">
        <f t="array" ref="FG116">GEOMEAN(1+(FG78:FG88))-1</f>
        <v>0.17168047098072803</v>
      </c>
      <c r="FH116" s="298">
        <f t="array" ref="FH116">GEOMEAN(1+(FH78:FH88))-1</f>
        <v>0.19589949121309336</v>
      </c>
      <c r="FI116" s="297">
        <f t="array" ref="FI116">GEOMEAN(1+(FI78:FI88))-1</f>
        <v>0.17565121536200889</v>
      </c>
      <c r="FJ116" s="298">
        <f t="array" ref="FJ116">GEOMEAN(1+(FJ78:FJ88))-1</f>
        <v>9.9824196518437214E-2</v>
      </c>
      <c r="FK116" s="297">
        <f t="array" ref="FK116">GEOMEAN(1+(FK78:FK88))-1</f>
        <v>0.15237955576764461</v>
      </c>
      <c r="FL116" s="296">
        <f>AVERAGE(FL78:FL88)</f>
        <v>0.1180602986218186</v>
      </c>
      <c r="FM116" s="295">
        <f>AVERAGE(FM78:FM88)</f>
        <v>0.21975485306830916</v>
      </c>
      <c r="FN116" s="295">
        <f>AVERAGE(FN78:FN88)</f>
        <v>0.1330324828715426</v>
      </c>
      <c r="FO116" s="295">
        <f>AVERAGE(FO78:FO88)</f>
        <v>0.13838131551172464</v>
      </c>
      <c r="FP116" s="295">
        <f>AVERAGE(FP78:FP88)</f>
        <v>0.15563083116868798</v>
      </c>
      <c r="FQ116" s="295">
        <f>AVERAGE(FQ78:FQ88)</f>
        <v>0.12009705769211036</v>
      </c>
      <c r="FR116" s="295">
        <f>AVERAGE(FR78:FR88)</f>
        <v>0.11494812352091156</v>
      </c>
      <c r="FS116" s="295">
        <f>AVERAGE(FS78:FS88)</f>
        <v>0.17893786254323393</v>
      </c>
      <c r="FT116" s="295">
        <f>AVERAGE(FT78:FT88)</f>
        <v>0.14265941202747026</v>
      </c>
      <c r="FU116" s="295">
        <f>AVERAGE(FU78:FU88)</f>
        <v>0.10257016015554403</v>
      </c>
    </row>
    <row r="117" spans="1:177" hidden="1">
      <c r="A117" s="288"/>
      <c r="B117" s="288"/>
      <c r="C117" s="287"/>
      <c r="D117" s="277"/>
      <c r="E117" s="292"/>
      <c r="F117" s="292"/>
      <c r="I117" s="275"/>
      <c r="J117" s="275"/>
      <c r="K117" s="275"/>
      <c r="L117" s="275"/>
      <c r="M117" s="275"/>
      <c r="N117" s="291"/>
      <c r="O117" s="292"/>
      <c r="P117" s="292"/>
      <c r="R117" s="275"/>
      <c r="S117" s="275"/>
      <c r="T117" s="275"/>
      <c r="U117" s="275"/>
      <c r="V117" s="275"/>
      <c r="W117" s="275"/>
      <c r="X117" s="275"/>
      <c r="Y117" s="277"/>
      <c r="Z117" s="275"/>
      <c r="AA117" s="275"/>
      <c r="AB117" s="275"/>
      <c r="AC117" s="275"/>
      <c r="AG117" s="277"/>
      <c r="AO117" s="275"/>
      <c r="AP117" s="275"/>
      <c r="AQ117" s="275"/>
      <c r="AR117" s="275"/>
      <c r="AS117" s="275"/>
      <c r="AT117" s="291"/>
      <c r="AU117" s="289"/>
      <c r="AV117" s="288"/>
      <c r="AW117" s="290"/>
      <c r="AX117" s="288"/>
      <c r="AY117" s="288"/>
      <c r="AZ117" s="290"/>
      <c r="BA117" s="288"/>
      <c r="BB117" s="288"/>
      <c r="BC117" s="289"/>
      <c r="BD117" s="288"/>
      <c r="BE117" s="288"/>
      <c r="BQ117" s="277"/>
      <c r="BR117" s="275"/>
      <c r="CT117" s="277"/>
      <c r="CU117" s="275"/>
      <c r="CV117" s="275"/>
      <c r="DJ117" s="277"/>
      <c r="DU117" s="281"/>
      <c r="EE117" s="288"/>
      <c r="EP117" s="277"/>
      <c r="EZ117" s="288"/>
      <c r="FA117" s="277"/>
    </row>
    <row r="118" spans="1:177" hidden="1">
      <c r="A118" s="288"/>
      <c r="B118" s="288"/>
      <c r="C118" s="287"/>
      <c r="D118" s="277"/>
      <c r="E118" s="292"/>
      <c r="F118" s="292"/>
      <c r="I118" s="275"/>
      <c r="J118" s="275"/>
      <c r="K118" s="275"/>
      <c r="L118" s="275"/>
      <c r="M118" s="275"/>
      <c r="N118" s="291"/>
      <c r="O118" s="292"/>
      <c r="P118" s="292"/>
      <c r="R118" s="275"/>
      <c r="S118" s="275"/>
      <c r="T118" s="275"/>
      <c r="U118" s="275"/>
      <c r="V118" s="275"/>
      <c r="W118" s="275"/>
      <c r="X118" s="275"/>
      <c r="Y118" s="277"/>
      <c r="Z118" s="275"/>
      <c r="AA118" s="275"/>
      <c r="AB118" s="275"/>
      <c r="AC118" s="275"/>
      <c r="AG118" s="277"/>
      <c r="AO118" s="275"/>
      <c r="AP118" s="275"/>
      <c r="AQ118" s="275"/>
      <c r="AR118" s="275"/>
      <c r="AS118" s="275"/>
      <c r="AT118" s="291"/>
      <c r="AU118" s="289"/>
      <c r="AV118" s="288"/>
      <c r="AW118" s="290"/>
      <c r="AX118" s="288"/>
      <c r="AY118" s="288"/>
      <c r="AZ118" s="290"/>
      <c r="BA118" s="288"/>
      <c r="BB118" s="288"/>
      <c r="BC118" s="289"/>
      <c r="BD118" s="288"/>
      <c r="BE118" s="288"/>
      <c r="BQ118" s="277"/>
      <c r="BR118" s="275"/>
      <c r="CT118" s="277"/>
      <c r="CU118" s="275"/>
      <c r="CV118" s="275"/>
      <c r="DJ118" s="277"/>
      <c r="DU118" s="281"/>
      <c r="EE118" s="288"/>
      <c r="EP118" s="277"/>
      <c r="EZ118" s="288"/>
      <c r="FA118" s="277"/>
    </row>
    <row r="119" spans="1:177" hidden="1">
      <c r="A119" s="288"/>
      <c r="B119" s="288"/>
      <c r="C119" s="287"/>
      <c r="D119" s="277"/>
      <c r="E119" s="292"/>
      <c r="F119" s="292"/>
      <c r="I119" s="275"/>
      <c r="J119" s="275"/>
      <c r="K119" s="275"/>
      <c r="L119" s="275"/>
      <c r="M119" s="275"/>
      <c r="N119" s="291"/>
      <c r="O119" s="292"/>
      <c r="P119" s="292"/>
      <c r="R119" s="275"/>
      <c r="S119" s="275"/>
      <c r="T119" s="275"/>
      <c r="U119" s="275"/>
      <c r="V119" s="275"/>
      <c r="W119" s="275"/>
      <c r="X119" s="275"/>
      <c r="Y119" s="277"/>
      <c r="Z119" s="275"/>
      <c r="AA119" s="275"/>
      <c r="AB119" s="275"/>
      <c r="AC119" s="275"/>
      <c r="AG119" s="277"/>
      <c r="AO119" s="275"/>
      <c r="AP119" s="275"/>
      <c r="AQ119" s="275"/>
      <c r="AR119" s="275"/>
      <c r="AS119" s="275"/>
      <c r="AT119" s="291"/>
      <c r="AU119" s="289"/>
      <c r="AV119" s="288"/>
      <c r="AW119" s="290"/>
      <c r="AX119" s="288"/>
      <c r="AY119" s="288"/>
      <c r="AZ119" s="290"/>
      <c r="BA119" s="288"/>
      <c r="BB119" s="288"/>
      <c r="BC119" s="289"/>
      <c r="BD119" s="288"/>
      <c r="BE119" s="288"/>
      <c r="BQ119" s="277"/>
      <c r="BR119" s="275"/>
      <c r="CT119" s="277"/>
      <c r="CU119" s="275"/>
      <c r="CV119" s="275"/>
      <c r="DJ119" s="277"/>
      <c r="DU119" s="281"/>
      <c r="EE119" s="288"/>
      <c r="EP119" s="277"/>
      <c r="EZ119" s="288"/>
      <c r="FA119" s="277"/>
    </row>
    <row r="120" spans="1:177" hidden="1">
      <c r="A120" s="288"/>
      <c r="B120" s="288"/>
      <c r="C120" s="287"/>
      <c r="D120" s="277"/>
      <c r="E120" s="292"/>
      <c r="F120" s="292"/>
      <c r="I120" s="275"/>
      <c r="J120" s="275"/>
      <c r="K120" s="275"/>
      <c r="L120" s="275"/>
      <c r="M120" s="275"/>
      <c r="N120" s="291"/>
      <c r="O120" s="292"/>
      <c r="P120" s="292"/>
      <c r="R120" s="275"/>
      <c r="S120" s="275"/>
      <c r="T120" s="275"/>
      <c r="U120" s="275"/>
      <c r="V120" s="275"/>
      <c r="W120" s="275"/>
      <c r="X120" s="275"/>
      <c r="Y120" s="277"/>
      <c r="Z120" s="275"/>
      <c r="AA120" s="275"/>
      <c r="AB120" s="275"/>
      <c r="AC120" s="275"/>
      <c r="AG120" s="277"/>
      <c r="AO120" s="275"/>
      <c r="AP120" s="275"/>
      <c r="AQ120" s="275"/>
      <c r="AR120" s="275"/>
      <c r="AS120" s="275"/>
      <c r="AT120" s="291"/>
      <c r="AU120" s="289"/>
      <c r="AV120" s="288"/>
      <c r="AW120" s="290"/>
      <c r="AX120" s="288"/>
      <c r="AY120" s="288"/>
      <c r="AZ120" s="290"/>
      <c r="BA120" s="288"/>
      <c r="BB120" s="288"/>
      <c r="BC120" s="289"/>
      <c r="BD120" s="288"/>
      <c r="BE120" s="288"/>
      <c r="BQ120" s="277"/>
      <c r="BR120" s="275"/>
      <c r="CT120" s="277"/>
      <c r="CU120" s="275"/>
      <c r="CV120" s="275"/>
      <c r="DJ120" s="277"/>
      <c r="DU120" s="281"/>
      <c r="EE120" s="288"/>
      <c r="EP120" s="277"/>
      <c r="EZ120" s="288"/>
      <c r="FA120" s="277"/>
    </row>
    <row r="121" spans="1:177" hidden="1">
      <c r="A121" s="288"/>
      <c r="B121" s="288"/>
      <c r="C121" s="287"/>
      <c r="D121" s="277"/>
      <c r="E121" s="292"/>
      <c r="F121" s="292"/>
      <c r="I121" s="275"/>
      <c r="J121" s="275"/>
      <c r="K121" s="275"/>
      <c r="L121" s="275"/>
      <c r="M121" s="275"/>
      <c r="N121" s="291"/>
      <c r="O121" s="292"/>
      <c r="P121" s="292"/>
      <c r="R121" s="275"/>
      <c r="S121" s="275"/>
      <c r="T121" s="275"/>
      <c r="U121" s="275"/>
      <c r="V121" s="275"/>
      <c r="W121" s="275"/>
      <c r="X121" s="275"/>
      <c r="Y121" s="277"/>
      <c r="Z121" s="275"/>
      <c r="AA121" s="275"/>
      <c r="AB121" s="275"/>
      <c r="AC121" s="275"/>
      <c r="AG121" s="277"/>
      <c r="AO121" s="275"/>
      <c r="AP121" s="275"/>
      <c r="AQ121" s="275"/>
      <c r="AR121" s="275"/>
      <c r="AS121" s="275"/>
      <c r="AT121" s="291"/>
      <c r="AU121" s="289"/>
      <c r="AV121" s="288"/>
      <c r="AW121" s="290"/>
      <c r="AX121" s="288"/>
      <c r="AY121" s="288"/>
      <c r="AZ121" s="290"/>
      <c r="BA121" s="288"/>
      <c r="BB121" s="288"/>
      <c r="BC121" s="289"/>
      <c r="BD121" s="288"/>
      <c r="BE121" s="288"/>
      <c r="BQ121" s="277"/>
      <c r="BR121" s="275"/>
      <c r="CT121" s="277"/>
      <c r="CU121" s="275"/>
      <c r="CV121" s="275"/>
      <c r="DJ121" s="277"/>
      <c r="DU121" s="281"/>
      <c r="EE121" s="288"/>
      <c r="EP121" s="277"/>
      <c r="EZ121" s="288"/>
      <c r="FA121" s="277"/>
    </row>
    <row r="122" spans="1:177" hidden="1">
      <c r="A122" s="288"/>
      <c r="B122" s="288"/>
      <c r="C122" s="287"/>
      <c r="D122" s="277"/>
      <c r="E122" s="292"/>
      <c r="F122" s="292"/>
      <c r="I122" s="275"/>
      <c r="J122" s="275"/>
      <c r="K122" s="275"/>
      <c r="L122" s="275"/>
      <c r="M122" s="275"/>
      <c r="N122" s="291"/>
      <c r="O122" s="292"/>
      <c r="P122" s="292"/>
      <c r="R122" s="275"/>
      <c r="S122" s="275"/>
      <c r="T122" s="275"/>
      <c r="U122" s="275"/>
      <c r="V122" s="275"/>
      <c r="W122" s="275"/>
      <c r="X122" s="275"/>
      <c r="Y122" s="277"/>
      <c r="Z122" s="275"/>
      <c r="AA122" s="275"/>
      <c r="AB122" s="275"/>
      <c r="AC122" s="275"/>
      <c r="AG122" s="277"/>
      <c r="AO122" s="275"/>
      <c r="AP122" s="275"/>
      <c r="AQ122" s="275"/>
      <c r="AR122" s="275"/>
      <c r="AS122" s="275"/>
      <c r="AT122" s="291"/>
      <c r="AU122" s="289"/>
      <c r="AV122" s="288"/>
      <c r="AW122" s="290"/>
      <c r="AX122" s="288"/>
      <c r="AY122" s="288"/>
      <c r="AZ122" s="290"/>
      <c r="BA122" s="288"/>
      <c r="BB122" s="288"/>
      <c r="BC122" s="289"/>
      <c r="BD122" s="288"/>
      <c r="BE122" s="288"/>
      <c r="BQ122" s="277"/>
      <c r="BR122" s="275"/>
      <c r="CT122" s="277"/>
      <c r="CU122" s="275"/>
      <c r="CV122" s="275"/>
      <c r="DJ122" s="277"/>
      <c r="DU122" s="281"/>
      <c r="EE122" s="288"/>
      <c r="EP122" s="277"/>
      <c r="EZ122" s="288"/>
      <c r="FA122" s="277"/>
    </row>
    <row r="123" spans="1:177" hidden="1">
      <c r="A123" s="288"/>
      <c r="B123" s="288"/>
      <c r="C123" s="287"/>
      <c r="D123" s="277"/>
      <c r="E123" s="292"/>
      <c r="F123" s="292"/>
      <c r="I123" s="275"/>
      <c r="J123" s="275"/>
      <c r="K123" s="275"/>
      <c r="L123" s="275"/>
      <c r="M123" s="275"/>
      <c r="N123" s="291"/>
      <c r="O123" s="292"/>
      <c r="P123" s="292"/>
      <c r="R123" s="275"/>
      <c r="S123" s="275"/>
      <c r="T123" s="275"/>
      <c r="U123" s="275"/>
      <c r="V123" s="275"/>
      <c r="W123" s="275"/>
      <c r="X123" s="275"/>
      <c r="Y123" s="277"/>
      <c r="Z123" s="275"/>
      <c r="AA123" s="275"/>
      <c r="AB123" s="275"/>
      <c r="AC123" s="275"/>
      <c r="AG123" s="277"/>
      <c r="AO123" s="275"/>
      <c r="AP123" s="275"/>
      <c r="AQ123" s="275"/>
      <c r="AR123" s="275"/>
      <c r="AS123" s="275"/>
      <c r="AT123" s="291"/>
      <c r="AU123" s="289"/>
      <c r="AV123" s="288"/>
      <c r="AW123" s="290"/>
      <c r="AX123" s="288"/>
      <c r="AY123" s="288"/>
      <c r="AZ123" s="290"/>
      <c r="BA123" s="288"/>
      <c r="BB123" s="288"/>
      <c r="BC123" s="289"/>
      <c r="BD123" s="288"/>
      <c r="BE123" s="288"/>
      <c r="BQ123" s="277"/>
      <c r="BR123" s="275"/>
      <c r="CT123" s="277"/>
      <c r="CU123" s="275"/>
      <c r="CV123" s="275"/>
      <c r="DJ123" s="277"/>
      <c r="DU123" s="281"/>
      <c r="EE123" s="288"/>
      <c r="EP123" s="277"/>
      <c r="EZ123" s="288"/>
      <c r="FA123" s="277"/>
    </row>
    <row r="124" spans="1:177" hidden="1">
      <c r="A124" s="288"/>
      <c r="B124" s="288"/>
      <c r="C124" s="287"/>
      <c r="D124" s="277"/>
      <c r="E124" s="292"/>
      <c r="F124" s="292"/>
      <c r="I124" s="275"/>
      <c r="J124" s="275"/>
      <c r="K124" s="275"/>
      <c r="L124" s="275"/>
      <c r="M124" s="275"/>
      <c r="N124" s="291"/>
      <c r="O124" s="292"/>
      <c r="P124" s="292"/>
      <c r="R124" s="275"/>
      <c r="S124" s="275"/>
      <c r="T124" s="275"/>
      <c r="U124" s="275"/>
      <c r="V124" s="275"/>
      <c r="W124" s="275"/>
      <c r="X124" s="275"/>
      <c r="Y124" s="277"/>
      <c r="Z124" s="275"/>
      <c r="AA124" s="275"/>
      <c r="AB124" s="275"/>
      <c r="AC124" s="275"/>
      <c r="AG124" s="277"/>
      <c r="AO124" s="275"/>
      <c r="AP124" s="275"/>
      <c r="AQ124" s="275"/>
      <c r="AR124" s="275"/>
      <c r="AS124" s="275"/>
      <c r="AT124" s="291"/>
      <c r="AU124" s="289"/>
      <c r="AV124" s="288"/>
      <c r="AW124" s="290"/>
      <c r="AX124" s="288"/>
      <c r="AY124" s="288"/>
      <c r="AZ124" s="290"/>
      <c r="BA124" s="288"/>
      <c r="BB124" s="288"/>
      <c r="BC124" s="289"/>
      <c r="BD124" s="288"/>
      <c r="BE124" s="288"/>
      <c r="BQ124" s="277"/>
      <c r="BR124" s="275"/>
      <c r="CT124" s="277"/>
      <c r="CU124" s="275"/>
      <c r="CV124" s="275"/>
      <c r="DJ124" s="277"/>
      <c r="DU124" s="281"/>
      <c r="EE124" s="288"/>
      <c r="EP124" s="277"/>
      <c r="EZ124" s="288"/>
      <c r="FA124" s="277"/>
    </row>
    <row r="125" spans="1:177" hidden="1">
      <c r="A125" s="288"/>
      <c r="B125" s="288"/>
      <c r="C125" s="287"/>
      <c r="D125" s="277"/>
      <c r="E125" s="292"/>
      <c r="F125" s="292"/>
      <c r="I125" s="275"/>
      <c r="J125" s="275"/>
      <c r="K125" s="275"/>
      <c r="L125" s="275"/>
      <c r="M125" s="275"/>
      <c r="N125" s="291"/>
      <c r="O125" s="292"/>
      <c r="P125" s="292"/>
      <c r="R125" s="275"/>
      <c r="S125" s="275"/>
      <c r="T125" s="275"/>
      <c r="U125" s="275"/>
      <c r="V125" s="275"/>
      <c r="W125" s="275"/>
      <c r="X125" s="275"/>
      <c r="Y125" s="277"/>
      <c r="Z125" s="275"/>
      <c r="AA125" s="275"/>
      <c r="AB125" s="275"/>
      <c r="AC125" s="275"/>
      <c r="AG125" s="277"/>
      <c r="AO125" s="275"/>
      <c r="AP125" s="275"/>
      <c r="AQ125" s="275"/>
      <c r="AR125" s="275"/>
      <c r="AS125" s="275"/>
      <c r="AT125" s="291"/>
      <c r="AU125" s="289"/>
      <c r="AV125" s="288"/>
      <c r="AW125" s="290"/>
      <c r="AX125" s="288"/>
      <c r="AY125" s="288"/>
      <c r="AZ125" s="290"/>
      <c r="BA125" s="288"/>
      <c r="BB125" s="288"/>
      <c r="BC125" s="289"/>
      <c r="BD125" s="288"/>
      <c r="BE125" s="288"/>
      <c r="BQ125" s="277"/>
      <c r="BR125" s="275"/>
      <c r="CT125" s="277"/>
      <c r="CU125" s="275"/>
      <c r="CV125" s="275"/>
      <c r="DJ125" s="277"/>
      <c r="DU125" s="281"/>
      <c r="EE125" s="288"/>
      <c r="EP125" s="277"/>
      <c r="EZ125" s="288"/>
      <c r="FA125" s="277"/>
    </row>
    <row r="126" spans="1:177">
      <c r="A126" s="288">
        <v>1980</v>
      </c>
      <c r="B126" s="288" t="s">
        <v>157</v>
      </c>
      <c r="C126" s="287"/>
      <c r="D126" s="277"/>
      <c r="E126" s="286">
        <f>AVERAGE(E56:E65)</f>
        <v>9.0185652028122523E-2</v>
      </c>
      <c r="F126" s="286"/>
      <c r="I126" s="275"/>
      <c r="J126" s="275"/>
      <c r="K126" s="275"/>
      <c r="L126" s="275"/>
      <c r="M126" s="275"/>
      <c r="N126" s="285">
        <f>AVERAGE(N56:N65)</f>
        <v>0.15910401805537105</v>
      </c>
      <c r="O126" s="286"/>
      <c r="P126" s="286"/>
      <c r="R126" s="275"/>
      <c r="S126" s="275"/>
      <c r="T126" s="275"/>
      <c r="U126" s="275"/>
      <c r="V126" s="275"/>
      <c r="W126" s="275"/>
      <c r="X126" s="275"/>
      <c r="Y126" s="277"/>
      <c r="Z126" s="275"/>
      <c r="AA126" s="275"/>
      <c r="AB126" s="275"/>
      <c r="AC126" s="275"/>
      <c r="AG126" s="277" t="s">
        <v>156</v>
      </c>
      <c r="AI126" s="278">
        <f>AI116+AI106+AI96</f>
        <v>1289.3400000000001</v>
      </c>
      <c r="AJ126" s="279">
        <f>AJ96+AJ106+AJ116</f>
        <v>7.6892891221374049E-2</v>
      </c>
      <c r="AK126" s="272" t="s">
        <v>153</v>
      </c>
      <c r="AO126" s="275"/>
      <c r="AP126" s="275"/>
      <c r="AQ126" s="275"/>
      <c r="AR126" s="275"/>
      <c r="AS126" s="275"/>
      <c r="AT126" s="285">
        <f>AVERAGE(AT56:AT65)</f>
        <v>6.0769060329339319E-2</v>
      </c>
      <c r="AU126" s="283">
        <f>AVERAGE(AU56:AU65)</f>
        <v>0.43</v>
      </c>
      <c r="AV126" s="282">
        <f>AVERAGE(AV56:AV65)</f>
        <v>0.2694135930963909</v>
      </c>
      <c r="AW126" s="284">
        <f>AVERAGE(AW56:AW65)</f>
        <v>0.2694135930963909</v>
      </c>
      <c r="AX126" s="282">
        <f>AVERAGE(AX56:AX65)</f>
        <v>0.22688270789510206</v>
      </c>
      <c r="AY126" s="282">
        <f>AVERAGE(AY56:AY65)</f>
        <v>0.32464435803243147</v>
      </c>
      <c r="AZ126" s="284">
        <f>AVERAGE(AZ56:AZ65)</f>
        <v>0.333585376895779</v>
      </c>
      <c r="BA126" s="282">
        <f>AVERAGE(BA56:BA65)</f>
        <v>0.33105514546214793</v>
      </c>
      <c r="BB126" s="282">
        <f>AVERAGE(BB56:BB65)</f>
        <v>0.28347387004554453</v>
      </c>
      <c r="BC126" s="283"/>
      <c r="BD126" s="282"/>
      <c r="BE126" s="282"/>
      <c r="BQ126" s="277"/>
      <c r="BR126" s="275"/>
      <c r="CT126" s="277"/>
      <c r="CU126" s="275"/>
      <c r="CV126" s="275"/>
      <c r="DJ126" s="277"/>
      <c r="DU126" s="281"/>
      <c r="EE126" s="288"/>
      <c r="EP126" s="277"/>
      <c r="EZ126" s="288"/>
      <c r="FA126" s="277"/>
    </row>
    <row r="127" spans="1:177" hidden="1">
      <c r="A127" s="288"/>
      <c r="B127" s="288"/>
      <c r="C127" s="287"/>
      <c r="D127" s="277"/>
      <c r="E127" s="292"/>
      <c r="F127" s="292"/>
      <c r="I127" s="275"/>
      <c r="J127" s="275"/>
      <c r="K127" s="275"/>
      <c r="L127" s="275"/>
      <c r="M127" s="275"/>
      <c r="N127" s="291"/>
      <c r="O127" s="292"/>
      <c r="P127" s="292"/>
      <c r="R127" s="275"/>
      <c r="S127" s="275"/>
      <c r="T127" s="275"/>
      <c r="U127" s="275"/>
      <c r="V127" s="275"/>
      <c r="W127" s="275"/>
      <c r="X127" s="275"/>
      <c r="Y127" s="277"/>
      <c r="Z127" s="275"/>
      <c r="AA127" s="275"/>
      <c r="AB127" s="275"/>
      <c r="AC127" s="275"/>
      <c r="AG127" s="277"/>
      <c r="AO127" s="275"/>
      <c r="AP127" s="275"/>
      <c r="AQ127" s="275"/>
      <c r="AR127" s="275"/>
      <c r="AS127" s="275"/>
      <c r="AT127" s="291"/>
      <c r="AU127" s="289"/>
      <c r="AV127" s="288"/>
      <c r="AW127" s="290"/>
      <c r="AX127" s="288"/>
      <c r="AY127" s="288"/>
      <c r="AZ127" s="290"/>
      <c r="BA127" s="288"/>
      <c r="BB127" s="288"/>
      <c r="BC127" s="289"/>
      <c r="BD127" s="288"/>
      <c r="BE127" s="288"/>
      <c r="BQ127" s="277"/>
      <c r="BR127" s="275"/>
      <c r="CT127" s="277"/>
      <c r="CU127" s="275"/>
      <c r="CV127" s="275"/>
      <c r="DJ127" s="277"/>
      <c r="DU127" s="281"/>
      <c r="EP127" s="277"/>
      <c r="EZ127" s="288"/>
      <c r="FA127" s="277"/>
    </row>
    <row r="128" spans="1:177" hidden="1">
      <c r="A128" s="288"/>
      <c r="B128" s="288"/>
      <c r="C128" s="287"/>
      <c r="D128" s="277"/>
      <c r="E128" s="292"/>
      <c r="F128" s="292"/>
      <c r="I128" s="275"/>
      <c r="J128" s="275"/>
      <c r="K128" s="275"/>
      <c r="L128" s="275"/>
      <c r="M128" s="275"/>
      <c r="N128" s="291"/>
      <c r="O128" s="292"/>
      <c r="P128" s="292"/>
      <c r="R128" s="275"/>
      <c r="S128" s="275"/>
      <c r="T128" s="275"/>
      <c r="U128" s="275"/>
      <c r="V128" s="275"/>
      <c r="W128" s="275"/>
      <c r="X128" s="275"/>
      <c r="Y128" s="277"/>
      <c r="Z128" s="275"/>
      <c r="AA128" s="275"/>
      <c r="AB128" s="275"/>
      <c r="AC128" s="275"/>
      <c r="AG128" s="277"/>
      <c r="AO128" s="275"/>
      <c r="AP128" s="275"/>
      <c r="AQ128" s="275"/>
      <c r="AR128" s="275"/>
      <c r="AS128" s="275"/>
      <c r="AT128" s="291"/>
      <c r="AU128" s="289"/>
      <c r="AV128" s="288"/>
      <c r="AW128" s="290"/>
      <c r="AX128" s="288"/>
      <c r="AY128" s="288"/>
      <c r="AZ128" s="290"/>
      <c r="BA128" s="288"/>
      <c r="BB128" s="288"/>
      <c r="BC128" s="289"/>
      <c r="BD128" s="288"/>
      <c r="BE128" s="288"/>
      <c r="BQ128" s="277"/>
      <c r="BR128" s="275"/>
      <c r="CT128" s="277"/>
      <c r="CU128" s="275"/>
      <c r="CV128" s="275"/>
      <c r="DJ128" s="277"/>
      <c r="DU128" s="281"/>
      <c r="EP128" s="277"/>
      <c r="EZ128" s="288"/>
      <c r="FA128" s="277"/>
    </row>
    <row r="129" spans="1:157" hidden="1">
      <c r="A129" s="288"/>
      <c r="B129" s="288"/>
      <c r="C129" s="287"/>
      <c r="D129" s="277"/>
      <c r="E129" s="292"/>
      <c r="F129" s="292"/>
      <c r="I129" s="275"/>
      <c r="J129" s="275"/>
      <c r="K129" s="275"/>
      <c r="L129" s="275"/>
      <c r="M129" s="275"/>
      <c r="N129" s="291"/>
      <c r="O129" s="292"/>
      <c r="P129" s="292"/>
      <c r="R129" s="275"/>
      <c r="S129" s="275"/>
      <c r="T129" s="275"/>
      <c r="U129" s="275"/>
      <c r="V129" s="275"/>
      <c r="W129" s="275"/>
      <c r="X129" s="275"/>
      <c r="Y129" s="277"/>
      <c r="Z129" s="275"/>
      <c r="AA129" s="275"/>
      <c r="AB129" s="275"/>
      <c r="AC129" s="275"/>
      <c r="AG129" s="277"/>
      <c r="AO129" s="275"/>
      <c r="AP129" s="275"/>
      <c r="AQ129" s="275"/>
      <c r="AR129" s="275"/>
      <c r="AS129" s="275"/>
      <c r="AT129" s="291"/>
      <c r="AU129" s="289"/>
      <c r="AV129" s="288"/>
      <c r="AW129" s="290"/>
      <c r="AX129" s="288"/>
      <c r="AY129" s="288"/>
      <c r="AZ129" s="290"/>
      <c r="BA129" s="288"/>
      <c r="BB129" s="288"/>
      <c r="BC129" s="289"/>
      <c r="BD129" s="288"/>
      <c r="BE129" s="288"/>
      <c r="BQ129" s="277"/>
      <c r="BR129" s="275"/>
      <c r="CT129" s="277"/>
      <c r="CU129" s="275"/>
      <c r="CV129" s="275"/>
      <c r="DJ129" s="277"/>
      <c r="DU129" s="281"/>
      <c r="EP129" s="277"/>
      <c r="EZ129" s="288"/>
      <c r="FA129" s="277"/>
    </row>
    <row r="130" spans="1:157" hidden="1">
      <c r="A130" s="288"/>
      <c r="B130" s="288"/>
      <c r="C130" s="287"/>
      <c r="D130" s="277"/>
      <c r="E130" s="292"/>
      <c r="F130" s="292"/>
      <c r="I130" s="275"/>
      <c r="J130" s="275"/>
      <c r="K130" s="275"/>
      <c r="L130" s="275"/>
      <c r="M130" s="275"/>
      <c r="N130" s="291"/>
      <c r="O130" s="292"/>
      <c r="P130" s="292"/>
      <c r="R130" s="275"/>
      <c r="S130" s="275"/>
      <c r="T130" s="275"/>
      <c r="U130" s="275"/>
      <c r="V130" s="275"/>
      <c r="W130" s="275"/>
      <c r="X130" s="275"/>
      <c r="Y130" s="277"/>
      <c r="Z130" s="275"/>
      <c r="AA130" s="275"/>
      <c r="AB130" s="275"/>
      <c r="AC130" s="275"/>
      <c r="AG130" s="277"/>
      <c r="AO130" s="275"/>
      <c r="AP130" s="275"/>
      <c r="AQ130" s="275"/>
      <c r="AR130" s="275"/>
      <c r="AS130" s="275"/>
      <c r="AT130" s="291"/>
      <c r="AU130" s="289"/>
      <c r="AV130" s="288"/>
      <c r="AW130" s="290"/>
      <c r="AX130" s="288"/>
      <c r="AY130" s="288"/>
      <c r="AZ130" s="290"/>
      <c r="BA130" s="288"/>
      <c r="BB130" s="288"/>
      <c r="BC130" s="289"/>
      <c r="BD130" s="288"/>
      <c r="BE130" s="288"/>
      <c r="BQ130" s="277"/>
      <c r="BR130" s="275"/>
      <c r="CT130" s="277"/>
      <c r="CU130" s="275"/>
      <c r="CV130" s="275"/>
      <c r="DJ130" s="277"/>
      <c r="DU130" s="281"/>
      <c r="EP130" s="277"/>
      <c r="EZ130" s="288"/>
      <c r="FA130" s="277"/>
    </row>
    <row r="131" spans="1:157" hidden="1">
      <c r="A131" s="288"/>
      <c r="B131" s="288"/>
      <c r="C131" s="287"/>
      <c r="D131" s="277"/>
      <c r="E131" s="292"/>
      <c r="F131" s="292"/>
      <c r="I131" s="275"/>
      <c r="J131" s="275"/>
      <c r="K131" s="275"/>
      <c r="L131" s="275"/>
      <c r="M131" s="275"/>
      <c r="N131" s="291"/>
      <c r="O131" s="292"/>
      <c r="P131" s="292"/>
      <c r="R131" s="275"/>
      <c r="S131" s="275"/>
      <c r="T131" s="275"/>
      <c r="U131" s="275"/>
      <c r="V131" s="275"/>
      <c r="W131" s="275"/>
      <c r="X131" s="275"/>
      <c r="Y131" s="277"/>
      <c r="Z131" s="275"/>
      <c r="AA131" s="275"/>
      <c r="AB131" s="275"/>
      <c r="AC131" s="275"/>
      <c r="AG131" s="277"/>
      <c r="AO131" s="275"/>
      <c r="AP131" s="275"/>
      <c r="AQ131" s="275"/>
      <c r="AR131" s="275"/>
      <c r="AS131" s="275"/>
      <c r="AT131" s="291"/>
      <c r="AU131" s="289"/>
      <c r="AV131" s="288"/>
      <c r="AW131" s="290"/>
      <c r="AX131" s="288"/>
      <c r="AY131" s="288"/>
      <c r="AZ131" s="290"/>
      <c r="BA131" s="288"/>
      <c r="BB131" s="288"/>
      <c r="BC131" s="289"/>
      <c r="BD131" s="288"/>
      <c r="BE131" s="288"/>
      <c r="BQ131" s="277"/>
      <c r="BR131" s="275"/>
      <c r="CT131" s="277"/>
      <c r="CU131" s="275"/>
      <c r="CV131" s="275"/>
      <c r="DJ131" s="277"/>
      <c r="DU131" s="281"/>
      <c r="EP131" s="277"/>
      <c r="EZ131" s="288"/>
      <c r="FA131" s="277"/>
    </row>
    <row r="132" spans="1:157" hidden="1">
      <c r="A132" s="288"/>
      <c r="B132" s="288"/>
      <c r="C132" s="287"/>
      <c r="D132" s="277"/>
      <c r="E132" s="292"/>
      <c r="F132" s="292"/>
      <c r="I132" s="275"/>
      <c r="J132" s="275"/>
      <c r="K132" s="275"/>
      <c r="L132" s="275"/>
      <c r="M132" s="275"/>
      <c r="N132" s="291"/>
      <c r="O132" s="292"/>
      <c r="P132" s="292"/>
      <c r="R132" s="275"/>
      <c r="S132" s="275"/>
      <c r="T132" s="275"/>
      <c r="U132" s="275"/>
      <c r="V132" s="275"/>
      <c r="W132" s="275"/>
      <c r="X132" s="275"/>
      <c r="Y132" s="277"/>
      <c r="Z132" s="275"/>
      <c r="AA132" s="275"/>
      <c r="AB132" s="275"/>
      <c r="AC132" s="275"/>
      <c r="AG132" s="277"/>
      <c r="AO132" s="275"/>
      <c r="AP132" s="275"/>
      <c r="AQ132" s="275"/>
      <c r="AR132" s="275"/>
      <c r="AS132" s="275"/>
      <c r="AT132" s="291"/>
      <c r="AU132" s="289"/>
      <c r="AV132" s="288"/>
      <c r="AW132" s="290"/>
      <c r="AX132" s="288"/>
      <c r="AY132" s="288"/>
      <c r="AZ132" s="290"/>
      <c r="BA132" s="288"/>
      <c r="BB132" s="288"/>
      <c r="BC132" s="289"/>
      <c r="BD132" s="288"/>
      <c r="BE132" s="288"/>
      <c r="BQ132" s="277"/>
      <c r="BR132" s="275"/>
      <c r="CT132" s="277"/>
      <c r="CU132" s="275"/>
      <c r="CV132" s="275"/>
      <c r="DJ132" s="277"/>
      <c r="DU132" s="281"/>
      <c r="EP132" s="277"/>
      <c r="EZ132" s="288"/>
      <c r="FA132" s="277"/>
    </row>
    <row r="133" spans="1:157" hidden="1">
      <c r="A133" s="288"/>
      <c r="B133" s="288"/>
      <c r="C133" s="287"/>
      <c r="D133" s="277"/>
      <c r="E133" s="292"/>
      <c r="F133" s="292"/>
      <c r="I133" s="275"/>
      <c r="J133" s="275"/>
      <c r="K133" s="275"/>
      <c r="L133" s="275"/>
      <c r="M133" s="275"/>
      <c r="N133" s="291"/>
      <c r="O133" s="292"/>
      <c r="P133" s="292"/>
      <c r="R133" s="275"/>
      <c r="S133" s="275"/>
      <c r="T133" s="275"/>
      <c r="U133" s="275"/>
      <c r="V133" s="275"/>
      <c r="W133" s="275"/>
      <c r="X133" s="275"/>
      <c r="Y133" s="277"/>
      <c r="Z133" s="275"/>
      <c r="AA133" s="275"/>
      <c r="AB133" s="275"/>
      <c r="AC133" s="275"/>
      <c r="AG133" s="277"/>
      <c r="AO133" s="275"/>
      <c r="AP133" s="275"/>
      <c r="AQ133" s="275"/>
      <c r="AR133" s="275"/>
      <c r="AS133" s="275"/>
      <c r="AT133" s="291"/>
      <c r="AU133" s="289"/>
      <c r="AV133" s="288"/>
      <c r="AW133" s="290"/>
      <c r="AX133" s="288"/>
      <c r="AY133" s="288"/>
      <c r="AZ133" s="290"/>
      <c r="BA133" s="288"/>
      <c r="BB133" s="288"/>
      <c r="BC133" s="289"/>
      <c r="BD133" s="288"/>
      <c r="BE133" s="288"/>
      <c r="BQ133" s="277"/>
      <c r="BR133" s="275"/>
      <c r="CT133" s="277"/>
      <c r="CU133" s="275"/>
      <c r="CV133" s="275"/>
      <c r="DJ133" s="277"/>
      <c r="DU133" s="281"/>
      <c r="EP133" s="277"/>
      <c r="EZ133" s="288"/>
      <c r="FA133" s="277"/>
    </row>
    <row r="134" spans="1:157" hidden="1">
      <c r="A134" s="288"/>
      <c r="B134" s="288"/>
      <c r="C134" s="287"/>
      <c r="D134" s="277"/>
      <c r="E134" s="292"/>
      <c r="F134" s="292"/>
      <c r="I134" s="275"/>
      <c r="J134" s="275"/>
      <c r="K134" s="275"/>
      <c r="L134" s="275"/>
      <c r="M134" s="275"/>
      <c r="N134" s="291"/>
      <c r="O134" s="292"/>
      <c r="P134" s="292"/>
      <c r="R134" s="275"/>
      <c r="S134" s="275"/>
      <c r="T134" s="275"/>
      <c r="U134" s="275"/>
      <c r="V134" s="275"/>
      <c r="W134" s="275"/>
      <c r="X134" s="275"/>
      <c r="Y134" s="277"/>
      <c r="Z134" s="275"/>
      <c r="AA134" s="275"/>
      <c r="AB134" s="275"/>
      <c r="AC134" s="275"/>
      <c r="AG134" s="277"/>
      <c r="AO134" s="275"/>
      <c r="AP134" s="275"/>
      <c r="AQ134" s="275"/>
      <c r="AR134" s="275"/>
      <c r="AS134" s="275"/>
      <c r="AT134" s="291"/>
      <c r="AU134" s="289"/>
      <c r="AV134" s="288"/>
      <c r="AW134" s="290"/>
      <c r="AX134" s="288"/>
      <c r="AY134" s="288"/>
      <c r="AZ134" s="290"/>
      <c r="BA134" s="288"/>
      <c r="BB134" s="288"/>
      <c r="BC134" s="289"/>
      <c r="BD134" s="288"/>
      <c r="BE134" s="288"/>
      <c r="BQ134" s="277"/>
      <c r="BR134" s="275"/>
      <c r="CT134" s="277"/>
      <c r="CU134" s="275"/>
      <c r="CV134" s="275"/>
      <c r="DJ134" s="277"/>
      <c r="DU134" s="281"/>
      <c r="EP134" s="277"/>
      <c r="EZ134" s="288"/>
      <c r="FA134" s="277"/>
    </row>
    <row r="135" spans="1:157" hidden="1">
      <c r="A135" s="288"/>
      <c r="B135" s="288"/>
      <c r="C135" s="287"/>
      <c r="D135" s="277"/>
      <c r="E135" s="292"/>
      <c r="F135" s="292"/>
      <c r="I135" s="275"/>
      <c r="J135" s="275"/>
      <c r="K135" s="275"/>
      <c r="L135" s="275"/>
      <c r="M135" s="275"/>
      <c r="N135" s="291"/>
      <c r="O135" s="292"/>
      <c r="P135" s="292"/>
      <c r="R135" s="275"/>
      <c r="S135" s="275"/>
      <c r="T135" s="275"/>
      <c r="U135" s="275"/>
      <c r="V135" s="275"/>
      <c r="W135" s="275"/>
      <c r="X135" s="275"/>
      <c r="Y135" s="277"/>
      <c r="Z135" s="275"/>
      <c r="AA135" s="275"/>
      <c r="AB135" s="275"/>
      <c r="AC135" s="275"/>
      <c r="AG135" s="277"/>
      <c r="AO135" s="275"/>
      <c r="AP135" s="275"/>
      <c r="AQ135" s="275"/>
      <c r="AR135" s="275"/>
      <c r="AS135" s="275"/>
      <c r="AT135" s="291"/>
      <c r="AU135" s="289"/>
      <c r="AV135" s="288"/>
      <c r="AW135" s="290"/>
      <c r="AX135" s="288"/>
      <c r="AY135" s="288"/>
      <c r="AZ135" s="290"/>
      <c r="BA135" s="288"/>
      <c r="BB135" s="288"/>
      <c r="BC135" s="289"/>
      <c r="BD135" s="288"/>
      <c r="BE135" s="288"/>
      <c r="BQ135" s="277"/>
      <c r="BR135" s="275"/>
      <c r="CT135" s="277"/>
      <c r="CU135" s="275"/>
      <c r="CV135" s="275"/>
      <c r="DJ135" s="277"/>
      <c r="DU135" s="281"/>
      <c r="EP135" s="277"/>
      <c r="EZ135" s="288"/>
      <c r="FA135" s="277"/>
    </row>
    <row r="136" spans="1:157">
      <c r="A136" s="288">
        <v>1990</v>
      </c>
      <c r="B136" s="288" t="s">
        <v>155</v>
      </c>
      <c r="C136" s="287"/>
      <c r="D136" s="277"/>
      <c r="E136" s="286">
        <f>AVERAGE(E66:E75)</f>
        <v>9.9008913636684723E-2</v>
      </c>
      <c r="F136" s="286"/>
      <c r="I136" s="275"/>
      <c r="J136" s="275"/>
      <c r="K136" s="275"/>
      <c r="L136" s="275"/>
      <c r="M136" s="275"/>
      <c r="N136" s="285">
        <f>AVERAGE(N66:N75)</f>
        <v>0.17988149029619624</v>
      </c>
      <c r="O136" s="286"/>
      <c r="P136" s="286"/>
      <c r="R136" s="275"/>
      <c r="S136" s="275"/>
      <c r="T136" s="275"/>
      <c r="U136" s="275"/>
      <c r="V136" s="275"/>
      <c r="W136" s="275"/>
      <c r="X136" s="275"/>
      <c r="Y136" s="277"/>
      <c r="Z136" s="275"/>
      <c r="AA136" s="275"/>
      <c r="AB136" s="275"/>
      <c r="AC136" s="275"/>
      <c r="AG136" s="277" t="s">
        <v>154</v>
      </c>
      <c r="AI136" s="278">
        <f>AJ136*AI95</f>
        <v>3990.7839999999997</v>
      </c>
      <c r="AJ136" s="279">
        <v>0.23799999999999999</v>
      </c>
      <c r="AK136" s="272" t="s">
        <v>153</v>
      </c>
      <c r="AO136" s="275"/>
      <c r="AP136" s="275"/>
      <c r="AQ136" s="275"/>
      <c r="AR136" s="275"/>
      <c r="AS136" s="275"/>
      <c r="AT136" s="285">
        <f>AVERAGE(AT66:AT75)</f>
        <v>6.8317083478056997E-2</v>
      </c>
      <c r="AU136" s="283">
        <f>AVERAGE(AU66:AU75)</f>
        <v>0.34700000000000009</v>
      </c>
      <c r="AV136" s="282">
        <f>AVERAGE(AV66:AV75)</f>
        <v>0.26594551577575432</v>
      </c>
      <c r="AW136" s="284">
        <f>AVERAGE(AW66:AW75)</f>
        <v>0.29984750287984074</v>
      </c>
      <c r="AX136" s="282">
        <f>AVERAGE(AX66:AX75)</f>
        <v>0.22502822560928162</v>
      </c>
      <c r="AY136" s="282">
        <f>AVERAGE(AY66:AY75)</f>
        <v>0.30274519526802768</v>
      </c>
      <c r="AZ136" s="284">
        <f>AVERAGE(AZ66:AZ75)</f>
        <v>0.33666240490887656</v>
      </c>
      <c r="BA136" s="282">
        <f>AVERAGE(BA66:BA75)</f>
        <v>0.287613358640116</v>
      </c>
      <c r="BB136" s="282">
        <f>AVERAGE(BB66:BB75)</f>
        <v>0.25070399759045237</v>
      </c>
      <c r="BC136" s="283"/>
      <c r="BD136" s="282"/>
      <c r="BE136" s="282"/>
      <c r="BQ136" s="277"/>
      <c r="BR136" s="275"/>
      <c r="CT136" s="277"/>
      <c r="CU136" s="275"/>
      <c r="CV136" s="275"/>
      <c r="DJ136" s="277"/>
      <c r="DU136" s="281"/>
      <c r="EP136" s="277"/>
      <c r="EZ136" s="288"/>
      <c r="FA136" s="277"/>
    </row>
    <row r="137" spans="1:157" hidden="1">
      <c r="A137" s="288"/>
      <c r="B137" s="288"/>
      <c r="C137" s="287"/>
      <c r="D137" s="277"/>
      <c r="E137" s="292"/>
      <c r="F137" s="292"/>
      <c r="I137" s="275"/>
      <c r="J137" s="275"/>
      <c r="K137" s="275"/>
      <c r="L137" s="275"/>
      <c r="M137" s="275"/>
      <c r="N137" s="291"/>
      <c r="O137" s="292"/>
      <c r="P137" s="292"/>
      <c r="R137" s="275"/>
      <c r="S137" s="275"/>
      <c r="T137" s="275"/>
      <c r="U137" s="275"/>
      <c r="V137" s="275"/>
      <c r="W137" s="275"/>
      <c r="X137" s="275"/>
      <c r="Y137" s="277"/>
      <c r="Z137" s="275"/>
      <c r="AA137" s="275"/>
      <c r="AB137" s="275"/>
      <c r="AC137" s="275"/>
      <c r="AG137" s="277"/>
      <c r="AO137" s="275"/>
      <c r="AP137" s="275"/>
      <c r="AQ137" s="275"/>
      <c r="AR137" s="275"/>
      <c r="AS137" s="275"/>
      <c r="AT137" s="291"/>
      <c r="AU137" s="289"/>
      <c r="AV137" s="288"/>
      <c r="AW137" s="290"/>
      <c r="AX137" s="288"/>
      <c r="AY137" s="288"/>
      <c r="AZ137" s="290"/>
      <c r="BA137" s="288"/>
      <c r="BB137" s="288"/>
      <c r="BC137" s="289"/>
      <c r="BD137" s="288"/>
      <c r="BE137" s="288"/>
      <c r="BQ137" s="277"/>
      <c r="BR137" s="275"/>
      <c r="CT137" s="277"/>
      <c r="CU137" s="275"/>
      <c r="CV137" s="275"/>
      <c r="DJ137" s="277"/>
      <c r="DU137" s="281"/>
      <c r="EP137" s="277"/>
      <c r="FA137" s="277"/>
    </row>
    <row r="138" spans="1:157" hidden="1">
      <c r="A138" s="288"/>
      <c r="B138" s="288"/>
      <c r="C138" s="287"/>
      <c r="D138" s="277"/>
      <c r="E138" s="292"/>
      <c r="F138" s="292"/>
      <c r="I138" s="275"/>
      <c r="J138" s="275"/>
      <c r="K138" s="275"/>
      <c r="L138" s="275"/>
      <c r="M138" s="275"/>
      <c r="N138" s="291"/>
      <c r="O138" s="292"/>
      <c r="P138" s="292"/>
      <c r="R138" s="275"/>
      <c r="S138" s="275"/>
      <c r="T138" s="275"/>
      <c r="U138" s="275"/>
      <c r="V138" s="275"/>
      <c r="W138" s="275"/>
      <c r="X138" s="275"/>
      <c r="Y138" s="277"/>
      <c r="Z138" s="275"/>
      <c r="AA138" s="275"/>
      <c r="AB138" s="275"/>
      <c r="AC138" s="275"/>
      <c r="AG138" s="277"/>
      <c r="AO138" s="275"/>
      <c r="AP138" s="275"/>
      <c r="AQ138" s="275"/>
      <c r="AR138" s="275"/>
      <c r="AS138" s="275"/>
      <c r="AT138" s="291"/>
      <c r="AU138" s="289"/>
      <c r="AV138" s="288"/>
      <c r="AW138" s="290"/>
      <c r="AX138" s="288"/>
      <c r="AY138" s="288"/>
      <c r="AZ138" s="290"/>
      <c r="BA138" s="288"/>
      <c r="BB138" s="288"/>
      <c r="BC138" s="289"/>
      <c r="BD138" s="288"/>
      <c r="BE138" s="288"/>
      <c r="BQ138" s="277"/>
      <c r="BR138" s="275"/>
      <c r="CT138" s="277"/>
      <c r="CU138" s="275"/>
      <c r="CV138" s="275"/>
      <c r="DJ138" s="277"/>
      <c r="DU138" s="281"/>
      <c r="EP138" s="277"/>
      <c r="FA138" s="277"/>
    </row>
    <row r="139" spans="1:157" hidden="1">
      <c r="A139" s="288"/>
      <c r="B139" s="288"/>
      <c r="C139" s="287"/>
      <c r="D139" s="277"/>
      <c r="E139" s="292"/>
      <c r="F139" s="292"/>
      <c r="I139" s="275"/>
      <c r="J139" s="275"/>
      <c r="K139" s="275"/>
      <c r="L139" s="275"/>
      <c r="M139" s="275"/>
      <c r="N139" s="291"/>
      <c r="O139" s="292"/>
      <c r="P139" s="292"/>
      <c r="R139" s="275"/>
      <c r="S139" s="275"/>
      <c r="T139" s="275"/>
      <c r="U139" s="275"/>
      <c r="V139" s="275"/>
      <c r="W139" s="275"/>
      <c r="X139" s="275"/>
      <c r="Y139" s="277"/>
      <c r="Z139" s="275"/>
      <c r="AA139" s="275"/>
      <c r="AB139" s="275"/>
      <c r="AC139" s="275"/>
      <c r="AG139" s="277"/>
      <c r="AO139" s="275"/>
      <c r="AP139" s="275"/>
      <c r="AQ139" s="275"/>
      <c r="AR139" s="275"/>
      <c r="AS139" s="275"/>
      <c r="AT139" s="291"/>
      <c r="AU139" s="289"/>
      <c r="AV139" s="288"/>
      <c r="AW139" s="290"/>
      <c r="AX139" s="288"/>
      <c r="AY139" s="288"/>
      <c r="AZ139" s="290"/>
      <c r="BA139" s="288"/>
      <c r="BB139" s="288"/>
      <c r="BC139" s="289"/>
      <c r="BD139" s="288"/>
      <c r="BE139" s="288"/>
      <c r="BQ139" s="277"/>
      <c r="BR139" s="275"/>
      <c r="CT139" s="277"/>
      <c r="CU139" s="275"/>
      <c r="CV139" s="275"/>
      <c r="DJ139" s="277"/>
      <c r="DU139" s="281"/>
      <c r="EP139" s="277"/>
      <c r="FA139" s="277"/>
    </row>
    <row r="140" spans="1:157" hidden="1">
      <c r="A140" s="288"/>
      <c r="B140" s="288"/>
      <c r="C140" s="287"/>
      <c r="D140" s="277"/>
      <c r="E140" s="292"/>
      <c r="F140" s="292"/>
      <c r="I140" s="275"/>
      <c r="J140" s="275"/>
      <c r="K140" s="275"/>
      <c r="L140" s="275"/>
      <c r="M140" s="275"/>
      <c r="N140" s="291"/>
      <c r="O140" s="292"/>
      <c r="P140" s="292"/>
      <c r="R140" s="275"/>
      <c r="S140" s="275"/>
      <c r="T140" s="275"/>
      <c r="U140" s="275"/>
      <c r="V140" s="275"/>
      <c r="W140" s="275"/>
      <c r="X140" s="275"/>
      <c r="Y140" s="277"/>
      <c r="Z140" s="275"/>
      <c r="AA140" s="275"/>
      <c r="AB140" s="275"/>
      <c r="AC140" s="275"/>
      <c r="AG140" s="277"/>
      <c r="AO140" s="275"/>
      <c r="AP140" s="275"/>
      <c r="AQ140" s="275"/>
      <c r="AR140" s="275"/>
      <c r="AS140" s="275"/>
      <c r="AT140" s="291"/>
      <c r="AU140" s="289"/>
      <c r="AV140" s="288"/>
      <c r="AW140" s="290"/>
      <c r="AX140" s="288"/>
      <c r="AY140" s="288"/>
      <c r="AZ140" s="290"/>
      <c r="BA140" s="288"/>
      <c r="BB140" s="288"/>
      <c r="BC140" s="289"/>
      <c r="BD140" s="288"/>
      <c r="BE140" s="288"/>
      <c r="BQ140" s="277"/>
      <c r="BR140" s="275"/>
      <c r="CT140" s="277"/>
      <c r="CU140" s="275"/>
      <c r="CV140" s="275"/>
      <c r="DJ140" s="277"/>
      <c r="DU140" s="281"/>
      <c r="EP140" s="277"/>
      <c r="FA140" s="277"/>
    </row>
    <row r="141" spans="1:157" hidden="1">
      <c r="A141" s="288"/>
      <c r="B141" s="288"/>
      <c r="C141" s="287"/>
      <c r="D141" s="277"/>
      <c r="E141" s="292"/>
      <c r="F141" s="292"/>
      <c r="I141" s="275"/>
      <c r="J141" s="275"/>
      <c r="K141" s="275"/>
      <c r="L141" s="275"/>
      <c r="M141" s="275"/>
      <c r="N141" s="291"/>
      <c r="O141" s="292"/>
      <c r="P141" s="292"/>
      <c r="R141" s="275"/>
      <c r="S141" s="275"/>
      <c r="T141" s="275"/>
      <c r="U141" s="275"/>
      <c r="V141" s="275"/>
      <c r="W141" s="275"/>
      <c r="X141" s="275"/>
      <c r="Y141" s="277"/>
      <c r="Z141" s="275"/>
      <c r="AA141" s="275"/>
      <c r="AB141" s="275"/>
      <c r="AC141" s="275"/>
      <c r="AG141" s="277"/>
      <c r="AO141" s="275"/>
      <c r="AP141" s="275"/>
      <c r="AQ141" s="275"/>
      <c r="AR141" s="275"/>
      <c r="AS141" s="275"/>
      <c r="AT141" s="291"/>
      <c r="AU141" s="289"/>
      <c r="AV141" s="288"/>
      <c r="AW141" s="290"/>
      <c r="AX141" s="288"/>
      <c r="AY141" s="288"/>
      <c r="AZ141" s="290"/>
      <c r="BA141" s="288"/>
      <c r="BB141" s="288"/>
      <c r="BC141" s="289"/>
      <c r="BD141" s="288"/>
      <c r="BE141" s="288"/>
      <c r="BQ141" s="277"/>
      <c r="BR141" s="275"/>
      <c r="CT141" s="277"/>
      <c r="CU141" s="275"/>
      <c r="CV141" s="275"/>
      <c r="DJ141" s="277"/>
      <c r="DU141" s="281"/>
      <c r="EP141" s="277"/>
      <c r="FA141" s="277"/>
    </row>
    <row r="142" spans="1:157" hidden="1">
      <c r="A142" s="288"/>
      <c r="B142" s="288"/>
      <c r="C142" s="287"/>
      <c r="D142" s="277"/>
      <c r="E142" s="292"/>
      <c r="F142" s="292"/>
      <c r="I142" s="275"/>
      <c r="J142" s="275"/>
      <c r="K142" s="275"/>
      <c r="L142" s="275"/>
      <c r="M142" s="275"/>
      <c r="N142" s="291"/>
      <c r="O142" s="292"/>
      <c r="P142" s="292"/>
      <c r="R142" s="275"/>
      <c r="S142" s="275"/>
      <c r="T142" s="275"/>
      <c r="U142" s="275"/>
      <c r="V142" s="275"/>
      <c r="W142" s="275"/>
      <c r="X142" s="275"/>
      <c r="Y142" s="277"/>
      <c r="Z142" s="275"/>
      <c r="AA142" s="275"/>
      <c r="AB142" s="275"/>
      <c r="AC142" s="275"/>
      <c r="AG142" s="277"/>
      <c r="AO142" s="275"/>
      <c r="AP142" s="275"/>
      <c r="AQ142" s="275"/>
      <c r="AR142" s="275"/>
      <c r="AS142" s="275"/>
      <c r="AT142" s="291"/>
      <c r="AU142" s="289"/>
      <c r="AV142" s="288"/>
      <c r="AW142" s="290"/>
      <c r="AX142" s="288"/>
      <c r="AY142" s="288"/>
      <c r="AZ142" s="290"/>
      <c r="BA142" s="288"/>
      <c r="BB142" s="288"/>
      <c r="BC142" s="289"/>
      <c r="BD142" s="288"/>
      <c r="BE142" s="288"/>
      <c r="BQ142" s="277"/>
      <c r="BR142" s="275"/>
      <c r="CT142" s="277"/>
      <c r="CU142" s="275"/>
      <c r="CV142" s="275"/>
      <c r="DJ142" s="277"/>
      <c r="DU142" s="281"/>
      <c r="EP142" s="277"/>
      <c r="FA142" s="277"/>
    </row>
    <row r="143" spans="1:157" hidden="1">
      <c r="A143" s="288"/>
      <c r="B143" s="288"/>
      <c r="C143" s="287"/>
      <c r="D143" s="277"/>
      <c r="E143" s="292"/>
      <c r="F143" s="292"/>
      <c r="I143" s="275"/>
      <c r="J143" s="275"/>
      <c r="K143" s="275"/>
      <c r="L143" s="275"/>
      <c r="M143" s="275"/>
      <c r="N143" s="291"/>
      <c r="O143" s="292"/>
      <c r="P143" s="292"/>
      <c r="R143" s="275"/>
      <c r="S143" s="275"/>
      <c r="T143" s="275"/>
      <c r="U143" s="275"/>
      <c r="V143" s="275"/>
      <c r="W143" s="275"/>
      <c r="X143" s="275"/>
      <c r="Y143" s="277"/>
      <c r="Z143" s="275"/>
      <c r="AA143" s="275"/>
      <c r="AB143" s="275"/>
      <c r="AC143" s="275"/>
      <c r="AG143" s="277"/>
      <c r="AO143" s="275"/>
      <c r="AP143" s="275"/>
      <c r="AQ143" s="275"/>
      <c r="AR143" s="275"/>
      <c r="AS143" s="275"/>
      <c r="AT143" s="291"/>
      <c r="AU143" s="289"/>
      <c r="AV143" s="288"/>
      <c r="AW143" s="290"/>
      <c r="AX143" s="288"/>
      <c r="AY143" s="288"/>
      <c r="AZ143" s="290"/>
      <c r="BA143" s="288"/>
      <c r="BB143" s="288"/>
      <c r="BC143" s="289"/>
      <c r="BD143" s="288"/>
      <c r="BE143" s="288"/>
      <c r="BQ143" s="277"/>
      <c r="BR143" s="275"/>
      <c r="CT143" s="277"/>
      <c r="CU143" s="275"/>
      <c r="CV143" s="275"/>
      <c r="DJ143" s="277"/>
      <c r="DU143" s="281"/>
      <c r="EP143" s="277"/>
      <c r="FA143" s="277"/>
    </row>
    <row r="144" spans="1:157" hidden="1">
      <c r="A144" s="288"/>
      <c r="B144" s="288"/>
      <c r="C144" s="287"/>
      <c r="D144" s="277"/>
      <c r="E144" s="292"/>
      <c r="F144" s="292"/>
      <c r="I144" s="275"/>
      <c r="J144" s="275"/>
      <c r="K144" s="275"/>
      <c r="L144" s="275"/>
      <c r="M144" s="275"/>
      <c r="N144" s="291"/>
      <c r="O144" s="292"/>
      <c r="P144" s="292"/>
      <c r="R144" s="275"/>
      <c r="S144" s="275"/>
      <c r="T144" s="275"/>
      <c r="U144" s="275"/>
      <c r="V144" s="275"/>
      <c r="W144" s="275"/>
      <c r="X144" s="275"/>
      <c r="Y144" s="277"/>
      <c r="Z144" s="275"/>
      <c r="AA144" s="275"/>
      <c r="AB144" s="275"/>
      <c r="AC144" s="275"/>
      <c r="AG144" s="277"/>
      <c r="AO144" s="275"/>
      <c r="AP144" s="275"/>
      <c r="AQ144" s="275"/>
      <c r="AR144" s="275"/>
      <c r="AS144" s="275"/>
      <c r="AT144" s="291"/>
      <c r="AU144" s="289"/>
      <c r="AV144" s="288"/>
      <c r="AW144" s="290"/>
      <c r="AX144" s="288"/>
      <c r="AY144" s="288"/>
      <c r="AZ144" s="290"/>
      <c r="BA144" s="288"/>
      <c r="BB144" s="288"/>
      <c r="BC144" s="289"/>
      <c r="BD144" s="288"/>
      <c r="BE144" s="288"/>
      <c r="BQ144" s="277"/>
      <c r="BR144" s="275"/>
      <c r="CT144" s="277"/>
      <c r="CU144" s="275"/>
      <c r="CV144" s="275"/>
      <c r="DJ144" s="277"/>
      <c r="DU144" s="281"/>
      <c r="EP144" s="277"/>
      <c r="FA144" s="277"/>
    </row>
    <row r="145" spans="1:157" hidden="1">
      <c r="A145" s="288"/>
      <c r="B145" s="288"/>
      <c r="C145" s="287"/>
      <c r="D145" s="277"/>
      <c r="E145" s="292"/>
      <c r="F145" s="292"/>
      <c r="I145" s="275"/>
      <c r="J145" s="275"/>
      <c r="K145" s="275"/>
      <c r="L145" s="275"/>
      <c r="M145" s="275"/>
      <c r="N145" s="291"/>
      <c r="O145" s="292"/>
      <c r="P145" s="292"/>
      <c r="R145" s="275"/>
      <c r="S145" s="275"/>
      <c r="T145" s="275"/>
      <c r="U145" s="275"/>
      <c r="V145" s="275"/>
      <c r="W145" s="275"/>
      <c r="X145" s="275"/>
      <c r="Y145" s="277"/>
      <c r="Z145" s="275"/>
      <c r="AA145" s="275"/>
      <c r="AB145" s="275"/>
      <c r="AC145" s="275"/>
      <c r="AG145" s="277"/>
      <c r="AO145" s="275"/>
      <c r="AP145" s="275"/>
      <c r="AQ145" s="275"/>
      <c r="AR145" s="275"/>
      <c r="AS145" s="275"/>
      <c r="AT145" s="291"/>
      <c r="AU145" s="289"/>
      <c r="AV145" s="288"/>
      <c r="AW145" s="290"/>
      <c r="AX145" s="288"/>
      <c r="AY145" s="288"/>
      <c r="AZ145" s="290"/>
      <c r="BA145" s="288"/>
      <c r="BB145" s="288"/>
      <c r="BC145" s="289"/>
      <c r="BD145" s="288"/>
      <c r="BE145" s="288"/>
      <c r="BQ145" s="277"/>
      <c r="BR145" s="275"/>
      <c r="CT145" s="277"/>
      <c r="CU145" s="275"/>
      <c r="CV145" s="275"/>
      <c r="DJ145" s="277"/>
      <c r="DU145" s="281"/>
      <c r="EP145" s="277"/>
      <c r="FA145" s="277"/>
    </row>
    <row r="146" spans="1:157">
      <c r="A146" s="288">
        <v>2000</v>
      </c>
      <c r="B146" s="288" t="s">
        <v>152</v>
      </c>
      <c r="C146" s="287"/>
      <c r="D146" s="277"/>
      <c r="E146" s="286">
        <f>AVERAGE(E76:E85)</f>
        <v>0.1106101820956988</v>
      </c>
      <c r="F146" s="286"/>
      <c r="I146" s="275"/>
      <c r="J146" s="275"/>
      <c r="K146" s="275"/>
      <c r="L146" s="275"/>
      <c r="M146" s="275"/>
      <c r="N146" s="285">
        <f>AVERAGE(N76:N85)</f>
        <v>0.28880845426527846</v>
      </c>
      <c r="O146" s="286"/>
      <c r="P146" s="286"/>
      <c r="R146" s="275"/>
      <c r="S146" s="275"/>
      <c r="T146" s="275"/>
      <c r="U146" s="275"/>
      <c r="V146" s="275"/>
      <c r="W146" s="275"/>
      <c r="X146" s="275"/>
      <c r="Y146" s="277"/>
      <c r="Z146" s="275"/>
      <c r="AA146" s="275"/>
      <c r="AB146" s="275"/>
      <c r="AC146" s="275"/>
      <c r="AG146" s="277" t="s">
        <v>151</v>
      </c>
      <c r="AI146" s="294">
        <f>AN89</f>
        <v>77.7</v>
      </c>
      <c r="AJ146" s="293">
        <f>AI146/AI$95</f>
        <v>4.6338263358778626E-3</v>
      </c>
      <c r="AK146" s="272" t="s">
        <v>150</v>
      </c>
      <c r="AO146" s="275"/>
      <c r="AP146" s="275"/>
      <c r="AQ146" s="275"/>
      <c r="AR146" s="275"/>
      <c r="AS146" s="275"/>
      <c r="AT146" s="285">
        <f>AVERAGE(AT76:AT85)</f>
        <v>8.2070118438330592E-2</v>
      </c>
      <c r="AU146" s="283">
        <f>AVERAGE(AU76:AU85)</f>
        <v>0.35000000000000003</v>
      </c>
      <c r="AV146" s="282">
        <f>AVERAGE(AV76:AV85)</f>
        <v>0.20786876954169292</v>
      </c>
      <c r="AW146" s="284">
        <f>AVERAGE(AW76:AW85)</f>
        <v>0.25938220043090365</v>
      </c>
      <c r="AX146" s="282">
        <f>AVERAGE(AX76:AX85)</f>
        <v>0.1792739974766438</v>
      </c>
      <c r="AY146" s="282">
        <f>AVERAGE(AY76:AY85)</f>
        <v>0.24801002785351214</v>
      </c>
      <c r="AZ146" s="284">
        <f>AVERAGE(AZ76:AZ85)</f>
        <v>0.29141995989497199</v>
      </c>
      <c r="BA146" s="282">
        <f>AVERAGE(BA76:BA85)</f>
        <v>0.26748117579876884</v>
      </c>
      <c r="BB146" s="282">
        <f>AVERAGE(BB76:BB85)</f>
        <v>0.21543604097213226</v>
      </c>
      <c r="BC146" s="283"/>
      <c r="BD146" s="282"/>
      <c r="BE146" s="282"/>
      <c r="BQ146" s="277"/>
      <c r="BR146" s="275"/>
      <c r="CT146" s="277"/>
      <c r="CU146" s="275"/>
      <c r="CV146" s="275"/>
      <c r="DJ146" s="277"/>
      <c r="DU146" s="281"/>
      <c r="EP146" s="277"/>
      <c r="FA146" s="277"/>
    </row>
    <row r="147" spans="1:157" hidden="1">
      <c r="A147" s="288"/>
      <c r="B147" s="288"/>
      <c r="C147" s="287"/>
      <c r="D147" s="277"/>
      <c r="E147" s="292"/>
      <c r="F147" s="292"/>
      <c r="I147" s="275"/>
      <c r="J147" s="275"/>
      <c r="K147" s="275"/>
      <c r="L147" s="275"/>
      <c r="M147" s="275"/>
      <c r="N147" s="291"/>
      <c r="O147" s="292"/>
      <c r="P147" s="292"/>
      <c r="R147" s="275"/>
      <c r="S147" s="275"/>
      <c r="T147" s="275"/>
      <c r="U147" s="275"/>
      <c r="V147" s="275"/>
      <c r="W147" s="275"/>
      <c r="X147" s="275"/>
      <c r="Y147" s="277"/>
      <c r="Z147" s="275"/>
      <c r="AA147" s="275"/>
      <c r="AB147" s="275"/>
      <c r="AC147" s="275"/>
      <c r="AG147" s="277"/>
      <c r="AO147" s="275"/>
      <c r="AP147" s="275"/>
      <c r="AQ147" s="275"/>
      <c r="AR147" s="275"/>
      <c r="AS147" s="275"/>
      <c r="AT147" s="291"/>
      <c r="AU147" s="289"/>
      <c r="AV147" s="288"/>
      <c r="AW147" s="290"/>
      <c r="AX147" s="288"/>
      <c r="AY147" s="288"/>
      <c r="AZ147" s="290"/>
      <c r="BA147" s="288"/>
      <c r="BB147" s="288"/>
      <c r="BC147" s="289"/>
      <c r="BD147" s="288"/>
      <c r="BE147" s="288"/>
      <c r="BQ147" s="277"/>
      <c r="BR147" s="275"/>
      <c r="CT147" s="277"/>
      <c r="CU147" s="275"/>
      <c r="CV147" s="275"/>
      <c r="DJ147" s="277"/>
      <c r="DU147" s="281"/>
      <c r="EP147" s="277"/>
      <c r="FA147" s="277"/>
    </row>
    <row r="148" spans="1:157" hidden="1">
      <c r="A148" s="288"/>
      <c r="B148" s="288"/>
      <c r="C148" s="287"/>
      <c r="D148" s="277"/>
      <c r="E148" s="292"/>
      <c r="F148" s="292"/>
      <c r="I148" s="275"/>
      <c r="J148" s="275"/>
      <c r="K148" s="275"/>
      <c r="L148" s="275"/>
      <c r="M148" s="275"/>
      <c r="N148" s="291"/>
      <c r="O148" s="292"/>
      <c r="P148" s="292"/>
      <c r="R148" s="275"/>
      <c r="S148" s="275"/>
      <c r="T148" s="275"/>
      <c r="U148" s="275"/>
      <c r="V148" s="275"/>
      <c r="W148" s="275"/>
      <c r="X148" s="275"/>
      <c r="Y148" s="277"/>
      <c r="Z148" s="275"/>
      <c r="AA148" s="275"/>
      <c r="AB148" s="275"/>
      <c r="AC148" s="275"/>
      <c r="AG148" s="277"/>
      <c r="AO148" s="275"/>
      <c r="AP148" s="275"/>
      <c r="AQ148" s="275"/>
      <c r="AR148" s="275"/>
      <c r="AS148" s="275"/>
      <c r="AT148" s="291"/>
      <c r="AU148" s="289"/>
      <c r="AV148" s="288"/>
      <c r="AW148" s="290"/>
      <c r="AX148" s="288"/>
      <c r="AY148" s="288"/>
      <c r="AZ148" s="290"/>
      <c r="BA148" s="288"/>
      <c r="BB148" s="288"/>
      <c r="BC148" s="289"/>
      <c r="BD148" s="288"/>
      <c r="BE148" s="288"/>
      <c r="BQ148" s="277"/>
      <c r="BR148" s="275"/>
      <c r="CT148" s="277"/>
      <c r="CU148" s="275"/>
      <c r="CV148" s="275"/>
      <c r="DJ148" s="277"/>
      <c r="DU148" s="281"/>
      <c r="EP148" s="277"/>
      <c r="FA148" s="277"/>
    </row>
    <row r="149" spans="1:157" hidden="1">
      <c r="A149" s="288"/>
      <c r="B149" s="288"/>
      <c r="C149" s="287"/>
      <c r="D149" s="277"/>
      <c r="E149" s="292"/>
      <c r="F149" s="292"/>
      <c r="I149" s="275"/>
      <c r="J149" s="275"/>
      <c r="K149" s="275"/>
      <c r="L149" s="275"/>
      <c r="M149" s="275"/>
      <c r="N149" s="291"/>
      <c r="O149" s="292"/>
      <c r="P149" s="292"/>
      <c r="R149" s="275"/>
      <c r="S149" s="275"/>
      <c r="T149" s="275"/>
      <c r="U149" s="275"/>
      <c r="V149" s="275"/>
      <c r="W149" s="275"/>
      <c r="X149" s="275"/>
      <c r="Y149" s="277"/>
      <c r="Z149" s="275"/>
      <c r="AA149" s="275"/>
      <c r="AB149" s="275"/>
      <c r="AC149" s="275"/>
      <c r="AG149" s="277"/>
      <c r="AO149" s="275"/>
      <c r="AP149" s="275"/>
      <c r="AQ149" s="275"/>
      <c r="AR149" s="275"/>
      <c r="AS149" s="275"/>
      <c r="AT149" s="291"/>
      <c r="AU149" s="289"/>
      <c r="AV149" s="288"/>
      <c r="AW149" s="290"/>
      <c r="AX149" s="288"/>
      <c r="AY149" s="288"/>
      <c r="AZ149" s="290"/>
      <c r="BA149" s="288"/>
      <c r="BB149" s="288"/>
      <c r="BC149" s="289"/>
      <c r="BD149" s="288"/>
      <c r="BE149" s="288"/>
      <c r="BQ149" s="277"/>
      <c r="BR149" s="275"/>
      <c r="CT149" s="277"/>
      <c r="CU149" s="275"/>
      <c r="CV149" s="275"/>
      <c r="DJ149" s="277"/>
      <c r="DU149" s="281"/>
      <c r="EP149" s="277"/>
      <c r="FA149" s="277"/>
    </row>
    <row r="150" spans="1:157" hidden="1">
      <c r="A150" s="288"/>
      <c r="B150" s="288"/>
      <c r="C150" s="287"/>
      <c r="D150" s="277"/>
      <c r="E150" s="292"/>
      <c r="F150" s="292"/>
      <c r="I150" s="275"/>
      <c r="J150" s="275"/>
      <c r="K150" s="275"/>
      <c r="L150" s="275"/>
      <c r="M150" s="275"/>
      <c r="N150" s="291"/>
      <c r="O150" s="292"/>
      <c r="P150" s="292"/>
      <c r="R150" s="275"/>
      <c r="S150" s="275"/>
      <c r="T150" s="275"/>
      <c r="U150" s="275"/>
      <c r="V150" s="275"/>
      <c r="W150" s="275"/>
      <c r="X150" s="275"/>
      <c r="Y150" s="277"/>
      <c r="Z150" s="275"/>
      <c r="AA150" s="275"/>
      <c r="AB150" s="275"/>
      <c r="AC150" s="275"/>
      <c r="AG150" s="277"/>
      <c r="AO150" s="275"/>
      <c r="AP150" s="275"/>
      <c r="AQ150" s="275"/>
      <c r="AR150" s="275"/>
      <c r="AS150" s="275"/>
      <c r="AT150" s="291"/>
      <c r="AU150" s="289"/>
      <c r="AV150" s="288"/>
      <c r="AW150" s="290"/>
      <c r="AX150" s="288"/>
      <c r="AY150" s="288"/>
      <c r="AZ150" s="290"/>
      <c r="BA150" s="288"/>
      <c r="BB150" s="288"/>
      <c r="BC150" s="289"/>
      <c r="BD150" s="288"/>
      <c r="BE150" s="288"/>
      <c r="BQ150" s="277"/>
      <c r="BR150" s="275"/>
      <c r="CT150" s="277"/>
      <c r="CU150" s="275"/>
      <c r="CV150" s="275"/>
      <c r="DJ150" s="277"/>
      <c r="DU150" s="281"/>
      <c r="EP150" s="277"/>
      <c r="FA150" s="277"/>
    </row>
    <row r="151" spans="1:157" hidden="1">
      <c r="A151" s="288"/>
      <c r="B151" s="288"/>
      <c r="C151" s="287"/>
      <c r="D151" s="277"/>
      <c r="E151" s="292"/>
      <c r="F151" s="292"/>
      <c r="I151" s="275"/>
      <c r="J151" s="275"/>
      <c r="K151" s="275"/>
      <c r="L151" s="275"/>
      <c r="M151" s="275"/>
      <c r="N151" s="291"/>
      <c r="O151" s="292"/>
      <c r="P151" s="292"/>
      <c r="R151" s="275"/>
      <c r="S151" s="275"/>
      <c r="T151" s="275"/>
      <c r="U151" s="275"/>
      <c r="V151" s="275"/>
      <c r="W151" s="275"/>
      <c r="X151" s="275"/>
      <c r="Y151" s="277"/>
      <c r="Z151" s="275"/>
      <c r="AA151" s="275"/>
      <c r="AB151" s="275"/>
      <c r="AC151" s="275"/>
      <c r="AG151" s="277"/>
      <c r="AO151" s="275"/>
      <c r="AP151" s="275"/>
      <c r="AQ151" s="275"/>
      <c r="AR151" s="275"/>
      <c r="AS151" s="275"/>
      <c r="AT151" s="291"/>
      <c r="AU151" s="289"/>
      <c r="AV151" s="288"/>
      <c r="AW151" s="290"/>
      <c r="AX151" s="288"/>
      <c r="AY151" s="288"/>
      <c r="AZ151" s="290"/>
      <c r="BA151" s="288"/>
      <c r="BB151" s="288"/>
      <c r="BC151" s="289"/>
      <c r="BD151" s="288"/>
      <c r="BE151" s="288"/>
      <c r="BQ151" s="277"/>
      <c r="BR151" s="275"/>
      <c r="CT151" s="277"/>
      <c r="CU151" s="275"/>
      <c r="CV151" s="275"/>
      <c r="DJ151" s="277"/>
      <c r="DU151" s="281"/>
      <c r="EP151" s="277"/>
      <c r="FA151" s="277"/>
    </row>
    <row r="152" spans="1:157" hidden="1">
      <c r="A152" s="288"/>
      <c r="B152" s="288"/>
      <c r="C152" s="287"/>
      <c r="D152" s="277"/>
      <c r="E152" s="292"/>
      <c r="F152" s="292"/>
      <c r="I152" s="275"/>
      <c r="J152" s="275"/>
      <c r="K152" s="275"/>
      <c r="L152" s="275"/>
      <c r="M152" s="275"/>
      <c r="N152" s="291"/>
      <c r="O152" s="292"/>
      <c r="P152" s="292"/>
      <c r="R152" s="275"/>
      <c r="S152" s="275"/>
      <c r="T152" s="275"/>
      <c r="U152" s="275"/>
      <c r="V152" s="275"/>
      <c r="W152" s="275"/>
      <c r="X152" s="275"/>
      <c r="Y152" s="277"/>
      <c r="Z152" s="275"/>
      <c r="AA152" s="275"/>
      <c r="AB152" s="275"/>
      <c r="AC152" s="275"/>
      <c r="AG152" s="277"/>
      <c r="AO152" s="275"/>
      <c r="AP152" s="275"/>
      <c r="AQ152" s="275"/>
      <c r="AR152" s="275"/>
      <c r="AS152" s="275"/>
      <c r="AT152" s="291"/>
      <c r="AU152" s="289"/>
      <c r="AV152" s="288"/>
      <c r="AW152" s="290"/>
      <c r="AX152" s="288"/>
      <c r="AY152" s="288"/>
      <c r="AZ152" s="290"/>
      <c r="BA152" s="288"/>
      <c r="BB152" s="288"/>
      <c r="BC152" s="289"/>
      <c r="BD152" s="288"/>
      <c r="BE152" s="288"/>
      <c r="BQ152" s="277"/>
      <c r="BR152" s="275"/>
      <c r="CT152" s="277"/>
      <c r="CU152" s="275"/>
      <c r="CV152" s="275"/>
      <c r="DJ152" s="277"/>
      <c r="DU152" s="281"/>
      <c r="EP152" s="277"/>
      <c r="FA152" s="277"/>
    </row>
    <row r="153" spans="1:157" hidden="1">
      <c r="A153" s="288"/>
      <c r="B153" s="288"/>
      <c r="C153" s="287"/>
      <c r="D153" s="277"/>
      <c r="E153" s="292"/>
      <c r="F153" s="292"/>
      <c r="I153" s="275"/>
      <c r="J153" s="275"/>
      <c r="K153" s="275"/>
      <c r="L153" s="275"/>
      <c r="M153" s="275"/>
      <c r="N153" s="291"/>
      <c r="O153" s="292"/>
      <c r="P153" s="292"/>
      <c r="R153" s="275"/>
      <c r="S153" s="275"/>
      <c r="T153" s="275"/>
      <c r="U153" s="275"/>
      <c r="V153" s="275"/>
      <c r="W153" s="275"/>
      <c r="X153" s="275"/>
      <c r="Y153" s="277"/>
      <c r="Z153" s="275"/>
      <c r="AA153" s="275"/>
      <c r="AB153" s="275"/>
      <c r="AC153" s="275"/>
      <c r="AG153" s="277"/>
      <c r="AO153" s="275"/>
      <c r="AP153" s="275"/>
      <c r="AQ153" s="275"/>
      <c r="AR153" s="275"/>
      <c r="AS153" s="275"/>
      <c r="AT153" s="291"/>
      <c r="AU153" s="289"/>
      <c r="AV153" s="288"/>
      <c r="AW153" s="290"/>
      <c r="AX153" s="288"/>
      <c r="AY153" s="288"/>
      <c r="AZ153" s="290"/>
      <c r="BA153" s="288"/>
      <c r="BB153" s="288"/>
      <c r="BC153" s="289"/>
      <c r="BD153" s="288"/>
      <c r="BE153" s="288"/>
      <c r="BQ153" s="277"/>
      <c r="BR153" s="275"/>
      <c r="CT153" s="277"/>
      <c r="CU153" s="275"/>
      <c r="CV153" s="275"/>
      <c r="DJ153" s="277"/>
      <c r="DU153" s="281"/>
      <c r="EP153" s="277"/>
      <c r="FA153" s="277"/>
    </row>
    <row r="154" spans="1:157" hidden="1">
      <c r="A154" s="288"/>
      <c r="B154" s="288"/>
      <c r="C154" s="287"/>
      <c r="D154" s="277"/>
      <c r="E154" s="292"/>
      <c r="F154" s="292"/>
      <c r="I154" s="275"/>
      <c r="J154" s="275"/>
      <c r="K154" s="275"/>
      <c r="L154" s="275"/>
      <c r="M154" s="275"/>
      <c r="N154" s="291"/>
      <c r="O154" s="292"/>
      <c r="P154" s="292"/>
      <c r="R154" s="275"/>
      <c r="S154" s="275"/>
      <c r="T154" s="275"/>
      <c r="U154" s="275"/>
      <c r="V154" s="275"/>
      <c r="W154" s="275"/>
      <c r="X154" s="275"/>
      <c r="Y154" s="277"/>
      <c r="Z154" s="275"/>
      <c r="AA154" s="275"/>
      <c r="AB154" s="275"/>
      <c r="AC154" s="275"/>
      <c r="AG154" s="277"/>
      <c r="AO154" s="275"/>
      <c r="AP154" s="275"/>
      <c r="AQ154" s="275"/>
      <c r="AR154" s="275"/>
      <c r="AS154" s="275"/>
      <c r="AT154" s="291"/>
      <c r="AU154" s="289"/>
      <c r="AV154" s="288"/>
      <c r="AW154" s="290"/>
      <c r="AX154" s="288"/>
      <c r="AY154" s="288"/>
      <c r="AZ154" s="290"/>
      <c r="BA154" s="288"/>
      <c r="BB154" s="288"/>
      <c r="BC154" s="289"/>
      <c r="BD154" s="288"/>
      <c r="BE154" s="288"/>
      <c r="BQ154" s="277"/>
      <c r="BR154" s="275"/>
      <c r="CT154" s="277"/>
      <c r="CU154" s="275"/>
      <c r="CV154" s="275"/>
      <c r="DJ154" s="277"/>
      <c r="DU154" s="281"/>
      <c r="EP154" s="277"/>
      <c r="FA154" s="277"/>
    </row>
    <row r="155" spans="1:157" hidden="1">
      <c r="A155" s="288"/>
      <c r="B155" s="288"/>
      <c r="C155" s="287"/>
      <c r="D155" s="277"/>
      <c r="E155" s="292"/>
      <c r="F155" s="292"/>
      <c r="I155" s="275"/>
      <c r="J155" s="275"/>
      <c r="K155" s="275"/>
      <c r="L155" s="275"/>
      <c r="M155" s="275"/>
      <c r="N155" s="291"/>
      <c r="O155" s="292"/>
      <c r="P155" s="292"/>
      <c r="R155" s="275"/>
      <c r="S155" s="275"/>
      <c r="T155" s="275"/>
      <c r="U155" s="275"/>
      <c r="V155" s="275"/>
      <c r="W155" s="275"/>
      <c r="X155" s="275"/>
      <c r="Y155" s="277"/>
      <c r="Z155" s="275"/>
      <c r="AA155" s="275"/>
      <c r="AB155" s="275"/>
      <c r="AC155" s="275"/>
      <c r="AG155" s="277"/>
      <c r="AO155" s="275"/>
      <c r="AP155" s="275"/>
      <c r="AQ155" s="275"/>
      <c r="AR155" s="275"/>
      <c r="AS155" s="275"/>
      <c r="AT155" s="291"/>
      <c r="AU155" s="289"/>
      <c r="AV155" s="288"/>
      <c r="AW155" s="290"/>
      <c r="AX155" s="288"/>
      <c r="AY155" s="288"/>
      <c r="AZ155" s="290"/>
      <c r="BA155" s="288"/>
      <c r="BB155" s="288"/>
      <c r="BC155" s="289"/>
      <c r="BD155" s="288"/>
      <c r="BE155" s="288"/>
      <c r="BQ155" s="277"/>
      <c r="BR155" s="275"/>
      <c r="CT155" s="277"/>
      <c r="CU155" s="275"/>
      <c r="CV155" s="275"/>
      <c r="DJ155" s="277"/>
      <c r="DU155" s="281"/>
      <c r="EP155" s="277"/>
      <c r="FA155" s="277"/>
    </row>
    <row r="156" spans="1:157">
      <c r="A156" s="288">
        <v>2010</v>
      </c>
      <c r="B156" s="288" t="s">
        <v>149</v>
      </c>
      <c r="C156" s="287"/>
      <c r="D156" s="277"/>
      <c r="E156" s="286">
        <f>AVERAGE(E86:E89)</f>
        <v>0.14036095499216023</v>
      </c>
      <c r="F156" s="286"/>
      <c r="I156" s="275"/>
      <c r="J156" s="275"/>
      <c r="K156" s="275"/>
      <c r="L156" s="275"/>
      <c r="M156" s="275"/>
      <c r="N156" s="285">
        <f>AVERAGE(N86:N89)</f>
        <v>0.32995505001138181</v>
      </c>
      <c r="O156" s="286"/>
      <c r="P156" s="286"/>
      <c r="R156" s="275"/>
      <c r="S156" s="275"/>
      <c r="T156" s="275"/>
      <c r="U156" s="275"/>
      <c r="V156" s="275"/>
      <c r="W156" s="275"/>
      <c r="X156" s="275"/>
      <c r="Y156" s="277"/>
      <c r="Z156" s="275"/>
      <c r="AA156" s="275"/>
      <c r="AB156" s="275"/>
      <c r="AC156" s="275"/>
      <c r="AG156" s="277"/>
      <c r="AO156" s="275"/>
      <c r="AP156" s="275"/>
      <c r="AQ156" s="275"/>
      <c r="AR156" s="275"/>
      <c r="AS156" s="275"/>
      <c r="AT156" s="285">
        <f>AVERAGE(AT86:AT93)</f>
        <v>0.10977462639825916</v>
      </c>
      <c r="AU156" s="283">
        <f>AVERAGE(AU86:AU93)</f>
        <v>0.35</v>
      </c>
      <c r="AV156" s="282">
        <f>AVERAGE(AV86:AV93)</f>
        <v>0.14972770086353065</v>
      </c>
      <c r="AW156" s="284">
        <f>AVERAGE(AW86:AW93)</f>
        <v>0.1633613196782874</v>
      </c>
      <c r="AX156" s="282">
        <f>AVERAGE(AX86:AX93)</f>
        <v>0.13586749756386318</v>
      </c>
      <c r="AY156" s="282">
        <f>AVERAGE(AY86:AY93)</f>
        <v>0.19294807286230836</v>
      </c>
      <c r="AZ156" s="284">
        <f>AVERAGE(AZ86:AZ93)</f>
        <v>0.22206773880878802</v>
      </c>
      <c r="BA156" s="282">
        <f>AVERAGE(BA86:BA93)</f>
        <v>0.25411934558520055</v>
      </c>
      <c r="BB156" s="282">
        <f>AVERAGE(BB86:BB93)</f>
        <v>0.19539243785940744</v>
      </c>
      <c r="BC156" s="283"/>
      <c r="BD156" s="282"/>
      <c r="BE156" s="282"/>
      <c r="BQ156" s="277"/>
      <c r="BR156" s="275"/>
      <c r="CT156" s="277"/>
      <c r="CU156" s="275"/>
      <c r="CV156" s="275"/>
      <c r="DJ156" s="277"/>
      <c r="DU156" s="281"/>
      <c r="EP156" s="277"/>
      <c r="FA156" s="277"/>
    </row>
    <row r="157" spans="1:157">
      <c r="J157" s="275"/>
      <c r="K157" s="275"/>
      <c r="L157" s="275"/>
      <c r="M157" s="275"/>
      <c r="N157" s="280"/>
      <c r="O157" s="275"/>
      <c r="P157" s="275"/>
      <c r="Y157" s="277"/>
      <c r="AG157" s="277"/>
      <c r="AI157" s="279"/>
      <c r="AJ157" s="279"/>
      <c r="AP157" s="275"/>
      <c r="AQ157" s="275"/>
      <c r="AR157" s="275"/>
      <c r="AS157" s="275"/>
      <c r="AT157" s="275"/>
      <c r="AU157" s="277"/>
      <c r="BQ157" s="277"/>
      <c r="BR157" s="275"/>
      <c r="CU157" s="275"/>
      <c r="DU157" s="273"/>
      <c r="FA157" s="277"/>
    </row>
    <row r="158" spans="1:157">
      <c r="AG158" s="277"/>
      <c r="AI158" s="278"/>
      <c r="AU158" s="277"/>
      <c r="AV158" s="276"/>
      <c r="AW158" s="276"/>
      <c r="AY158" s="276"/>
      <c r="AZ158" s="276"/>
      <c r="CU158" s="275"/>
    </row>
    <row r="159" spans="1:157">
      <c r="CU159" s="275"/>
    </row>
    <row r="160" spans="1:157">
      <c r="CU160" s="275"/>
    </row>
    <row r="161" spans="99:99">
      <c r="CU161" s="275"/>
    </row>
    <row r="162" spans="99:99">
      <c r="CU162" s="275"/>
    </row>
    <row r="163" spans="99:99">
      <c r="CU163" s="275"/>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12</vt:i4>
      </vt:variant>
      <vt:variant>
        <vt:lpstr>Graphiques</vt:lpstr>
      </vt:variant>
      <vt:variant>
        <vt:i4>5</vt:i4>
      </vt:variant>
    </vt:vector>
  </HeadingPairs>
  <TitlesOfParts>
    <vt:vector size="17" baseType="lpstr">
      <vt:lpstr>Data-Fig1</vt:lpstr>
      <vt:lpstr>Fig2</vt:lpstr>
      <vt:lpstr>DataFig2</vt:lpstr>
      <vt:lpstr>Fig3</vt:lpstr>
      <vt:lpstr>Data-Fig3</vt:lpstr>
      <vt:lpstr>Fig4</vt:lpstr>
      <vt:lpstr>Tab1</vt:lpstr>
      <vt:lpstr>Data-Fig4_Tab1</vt:lpstr>
      <vt:lpstr>Data-Fig5</vt:lpstr>
      <vt:lpstr>Data-Fig6</vt:lpstr>
      <vt:lpstr>Fig7</vt:lpstr>
      <vt:lpstr>DataFig8-9</vt:lpstr>
      <vt:lpstr>Fig1</vt:lpstr>
      <vt:lpstr>Fig5</vt:lpstr>
      <vt:lpstr>Fig6</vt:lpstr>
      <vt:lpstr>Fig8</vt:lpstr>
      <vt:lpstr>Fig9</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Zucman</dc:creator>
  <cp:lastModifiedBy>Gabriel Zucman</cp:lastModifiedBy>
  <cp:lastPrinted>2015-05-21T08:55:43Z</cp:lastPrinted>
  <dcterms:created xsi:type="dcterms:W3CDTF">2013-06-18T10:06:13Z</dcterms:created>
  <dcterms:modified xsi:type="dcterms:W3CDTF">2015-09-22T21:57:03Z</dcterms:modified>
</cp:coreProperties>
</file>