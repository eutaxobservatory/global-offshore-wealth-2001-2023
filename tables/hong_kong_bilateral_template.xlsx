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ouleymanefaye/FGMZ2025/outputs/revision_sensitivity_templates/"/>
    </mc:Choice>
  </mc:AlternateContent>
  <xr:revisionPtr revIDLastSave="0" documentId="13_ncr:1_{1E841829-ECB3-2348-BA75-7DC31B0C2937}" xr6:coauthVersionLast="47" xr6:coauthVersionMax="47" xr10:uidLastSave="{00000000-0000-0000-0000-000000000000}"/>
  <bookViews>
    <workbookView xWindow="0" yWindow="660" windowWidth="29400" windowHeight="17660" activeTab="1" xr2:uid="{00000000-000D-0000-FFFF-FFFF00000000}"/>
  </bookViews>
  <sheets>
    <sheet name="read_me" sheetId="1" r:id="rId1"/>
    <sheet name="hk_evolution" sheetId="2" r:id="rId2"/>
    <sheet name="hk_assumption_sho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3" l="1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</calcChain>
</file>

<file path=xl/sharedStrings.xml><?xml version="1.0" encoding="utf-8"?>
<sst xmlns="http://schemas.openxmlformats.org/spreadsheetml/2006/main" count="44" uniqueCount="33">
  <si>
    <t>Assumptions</t>
  </si>
  <si>
    <t>Description</t>
  </si>
  <si>
    <t>Our preferred estimates</t>
  </si>
  <si>
    <t>Baseline Hong Kong allocation.</t>
  </si>
  <si>
    <t>HK household share low</t>
  </si>
  <si>
    <t>Lower household share assigned to Hong Kong deposits.</t>
  </si>
  <si>
    <t>HK household share high</t>
  </si>
  <si>
    <t>Raise household share assigned to Hong Kong deposits.</t>
  </si>
  <si>
    <t>China share low</t>
  </si>
  <si>
    <t>Lower Chinese bilateral share in Hong Kong by the chosen amount.</t>
  </si>
  <si>
    <t>China share high</t>
  </si>
  <si>
    <t>Raise Chinese bilateral share in Hong Kong by the chosen amount.</t>
  </si>
  <si>
    <t>HK residents with China</t>
  </si>
  <si>
    <t>Upper-bound scenario treating Hong Kong-resident deposits as Chinese-owned.</t>
  </si>
  <si>
    <t>Table B: Hong Kong BIS deposits over time</t>
  </si>
  <si>
    <t>Year</t>
  </si>
  <si>
    <t>Total deposits in Hong Kong</t>
  </si>
  <si>
    <t>China-owned in Hong Kong</t>
  </si>
  <si>
    <t>UK share</t>
  </si>
  <si>
    <t>China share</t>
  </si>
  <si>
    <t>Note</t>
  </si>
  <si>
    <t>First year in the current Hong Kong bilateral BIS extract</t>
  </si>
  <si>
    <t>Table B: China and UK wealth held in Hong Kong in 2023</t>
  </si>
  <si>
    <t>Change with respect to our preferred estimates</t>
  </si>
  <si>
    <t>Outcome</t>
  </si>
  <si>
    <t>Total BIS deposits in Hong Kong</t>
  </si>
  <si>
    <t>UK-owned BIS deposits in Hong Kong</t>
  </si>
  <si>
    <t>China-owned BIS deposits in Hong Kong</t>
  </si>
  <si>
    <t>Offshore wealth attracted by Hong Kong</t>
  </si>
  <si>
    <t>China-owned wealth through Hong Kong</t>
  </si>
  <si>
    <t>UK-owned wealth through Hong Kong</t>
  </si>
  <si>
    <t>Hong Kong checks for China / UK</t>
  </si>
  <si>
    <t>UK-owned in 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</si>
</sst>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2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3" fontId="0" fillId="0" borderId="0" xfId="0" applyNumberFormat="1"/>
    <xf numFmtId="9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0" sqref="B10"/>
    </sheetView>
  </sheetViews>
  <sheetFormatPr baseColWidth="10" defaultColWidth="8.83203125" defaultRowHeight="14"/>
  <cols>
    <col min="1" max="1" width="38" customWidth="1"/>
    <col min="2" max="2" width="120" customWidth="1"/>
  </cols>
  <sheetData>
    <row r="1" spans="1:2" ht="18" customHeight="1">
      <c r="A1" s="6" t="s">
        <v>31</v>
      </c>
      <c r="B1" s="6"/>
    </row>
    <row r="2" spans="1:2" ht="18" customHeight="1"/>
    <row r="3" spans="1:2" ht="18" customHeight="1"/>
    <row r="4" spans="1:2" ht="18" customHeight="1">
      <c r="A4" s="1" t="s">
        <v>0</v>
      </c>
      <c r="B4" s="1" t="s">
        <v>1</v>
      </c>
    </row>
    <row r="5" spans="1:2" ht="18" customHeight="1">
      <c r="A5" s="2" t="s">
        <v>2</v>
      </c>
      <c r="B5" s="2" t="s">
        <v>3</v>
      </c>
    </row>
    <row r="6" spans="1:2" ht="18" customHeight="1">
      <c r="A6" s="2" t="s">
        <v>4</v>
      </c>
      <c r="B6" s="2" t="s">
        <v>5</v>
      </c>
    </row>
    <row r="7" spans="1:2" ht="18" customHeight="1">
      <c r="A7" s="2" t="s">
        <v>6</v>
      </c>
      <c r="B7" s="2" t="s">
        <v>7</v>
      </c>
    </row>
    <row r="8" spans="1:2" ht="18" customHeight="1">
      <c r="A8" s="2" t="s">
        <v>8</v>
      </c>
      <c r="B8" s="2" t="s">
        <v>9</v>
      </c>
    </row>
    <row r="9" spans="1:2" ht="18" customHeight="1">
      <c r="A9" s="2" t="s">
        <v>10</v>
      </c>
      <c r="B9" s="2" t="s">
        <v>11</v>
      </c>
    </row>
    <row r="10" spans="1:2" ht="18" customHeight="1">
      <c r="A10" s="2" t="s">
        <v>12</v>
      </c>
      <c r="B10" s="2" t="s">
        <v>13</v>
      </c>
    </row>
    <row r="11" spans="1:2" ht="18" customHeight="1"/>
    <row r="12" spans="1:2" ht="18" customHeight="1"/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workbookViewId="0">
      <selection activeCell="G3" sqref="G3"/>
    </sheetView>
  </sheetViews>
  <sheetFormatPr baseColWidth="10" defaultColWidth="8.83203125" defaultRowHeight="14"/>
  <cols>
    <col min="1" max="1" width="10" customWidth="1"/>
    <col min="2" max="2" width="24" customWidth="1"/>
    <col min="3" max="3" width="22" customWidth="1"/>
    <col min="4" max="4" width="24" customWidth="1"/>
    <col min="5" max="6" width="12" customWidth="1"/>
    <col min="7" max="7" width="54" customWidth="1"/>
  </cols>
  <sheetData>
    <row r="1" spans="1:7" ht="16">
      <c r="A1" s="7" t="s">
        <v>14</v>
      </c>
      <c r="B1" s="8"/>
      <c r="C1" s="8"/>
      <c r="D1" s="8"/>
      <c r="E1" s="9"/>
      <c r="F1" s="9"/>
      <c r="G1" s="10"/>
    </row>
    <row r="2" spans="1:7" ht="15">
      <c r="A2" s="1" t="s">
        <v>15</v>
      </c>
      <c r="B2" s="1" t="s">
        <v>16</v>
      </c>
      <c r="C2" s="1" t="s">
        <v>32</v>
      </c>
      <c r="D2" s="1" t="s">
        <v>17</v>
      </c>
      <c r="E2" s="1" t="s">
        <v>18</v>
      </c>
      <c r="F2" s="1" t="s">
        <v>19</v>
      </c>
      <c r="G2" s="1" t="s">
        <v>20</v>
      </c>
    </row>
    <row r="3" spans="1:7">
      <c r="A3">
        <v>2014</v>
      </c>
      <c r="E3" t="str">
        <f t="shared" ref="E3:E12" si="0">IF(OR($B3="",C3=""),"",C3/$B3)</f>
        <v/>
      </c>
      <c r="F3" t="str">
        <f t="shared" ref="F3:F12" si="1">IF(OR($B3="",D3=""),"",D3/$B3)</f>
        <v/>
      </c>
      <c r="G3" t="s">
        <v>21</v>
      </c>
    </row>
    <row r="4" spans="1:7">
      <c r="A4">
        <v>2015</v>
      </c>
      <c r="E4" t="str">
        <f t="shared" si="0"/>
        <v/>
      </c>
      <c r="F4" t="str">
        <f t="shared" si="1"/>
        <v/>
      </c>
    </row>
    <row r="5" spans="1:7">
      <c r="A5">
        <v>2016</v>
      </c>
      <c r="E5" t="str">
        <f t="shared" si="0"/>
        <v/>
      </c>
      <c r="F5" t="str">
        <f t="shared" si="1"/>
        <v/>
      </c>
    </row>
    <row r="6" spans="1:7">
      <c r="A6">
        <v>2017</v>
      </c>
      <c r="E6" t="str">
        <f t="shared" si="0"/>
        <v/>
      </c>
      <c r="F6" t="str">
        <f t="shared" si="1"/>
        <v/>
      </c>
    </row>
    <row r="7" spans="1:7">
      <c r="A7">
        <v>2018</v>
      </c>
      <c r="E7" t="str">
        <f t="shared" si="0"/>
        <v/>
      </c>
      <c r="F7" t="str">
        <f t="shared" si="1"/>
        <v/>
      </c>
    </row>
    <row r="8" spans="1:7">
      <c r="A8">
        <v>2019</v>
      </c>
      <c r="E8" t="str">
        <f t="shared" si="0"/>
        <v/>
      </c>
      <c r="F8" t="str">
        <f t="shared" si="1"/>
        <v/>
      </c>
    </row>
    <row r="9" spans="1:7">
      <c r="A9">
        <v>2020</v>
      </c>
      <c r="E9" t="str">
        <f t="shared" si="0"/>
        <v/>
      </c>
      <c r="F9" t="str">
        <f t="shared" si="1"/>
        <v/>
      </c>
    </row>
    <row r="10" spans="1:7">
      <c r="A10">
        <v>2021</v>
      </c>
      <c r="E10" t="str">
        <f t="shared" si="0"/>
        <v/>
      </c>
      <c r="F10" t="str">
        <f t="shared" si="1"/>
        <v/>
      </c>
    </row>
    <row r="11" spans="1:7">
      <c r="A11">
        <v>2022</v>
      </c>
      <c r="E11" t="str">
        <f t="shared" si="0"/>
        <v/>
      </c>
      <c r="F11" t="str">
        <f t="shared" si="1"/>
        <v/>
      </c>
    </row>
    <row r="12" spans="1:7">
      <c r="A12">
        <v>2023</v>
      </c>
      <c r="E12" t="str">
        <f t="shared" si="0"/>
        <v/>
      </c>
      <c r="F12" t="str">
        <f t="shared" si="1"/>
        <v/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/>
  </sheetViews>
  <sheetFormatPr baseColWidth="10" defaultColWidth="8.83203125" defaultRowHeight="14"/>
  <cols>
    <col min="1" max="1" width="36" customWidth="1"/>
    <col min="2" max="7" width="14" customWidth="1"/>
    <col min="8" max="9" width="3" customWidth="1"/>
    <col min="10" max="14" width="14" customWidth="1"/>
  </cols>
  <sheetData>
    <row r="1" spans="1:14" ht="34">
      <c r="A1" s="3" t="s">
        <v>22</v>
      </c>
      <c r="J1" s="11" t="s">
        <v>23</v>
      </c>
      <c r="K1" s="11"/>
      <c r="L1" s="11"/>
      <c r="M1" s="11"/>
      <c r="N1" s="11"/>
    </row>
    <row r="2" spans="1:14" ht="30">
      <c r="A2" s="1" t="s">
        <v>24</v>
      </c>
      <c r="B2" s="1" t="s">
        <v>2</v>
      </c>
      <c r="C2" s="1" t="s">
        <v>4</v>
      </c>
      <c r="D2" s="1" t="s">
        <v>6</v>
      </c>
      <c r="E2" s="1" t="s">
        <v>8</v>
      </c>
      <c r="F2" s="1" t="s">
        <v>10</v>
      </c>
      <c r="G2" s="1" t="s">
        <v>12</v>
      </c>
      <c r="H2" s="1"/>
      <c r="I2" s="1"/>
      <c r="J2" s="1" t="s">
        <v>4</v>
      </c>
      <c r="K2" s="1" t="s">
        <v>6</v>
      </c>
      <c r="L2" s="1" t="s">
        <v>8</v>
      </c>
      <c r="M2" s="1" t="s">
        <v>10</v>
      </c>
      <c r="N2" s="1" t="s">
        <v>12</v>
      </c>
    </row>
    <row r="3" spans="1:14">
      <c r="A3" t="s">
        <v>25</v>
      </c>
      <c r="B3" s="4"/>
      <c r="C3" s="4"/>
      <c r="D3" s="4"/>
      <c r="E3" s="4"/>
      <c r="F3" s="4"/>
      <c r="G3" s="4"/>
      <c r="J3" s="5" t="str">
        <f t="shared" ref="J3:N8" si="0">IF(OR($B3="",C3="",$B3=0),"",C3/$B3-1)</f>
        <v/>
      </c>
      <c r="K3" s="5" t="str">
        <f t="shared" si="0"/>
        <v/>
      </c>
      <c r="L3" s="5" t="str">
        <f t="shared" si="0"/>
        <v/>
      </c>
      <c r="M3" s="5" t="str">
        <f t="shared" si="0"/>
        <v/>
      </c>
      <c r="N3" s="5" t="str">
        <f t="shared" si="0"/>
        <v/>
      </c>
    </row>
    <row r="4" spans="1:14">
      <c r="A4" t="s">
        <v>26</v>
      </c>
      <c r="B4" s="4"/>
      <c r="C4" s="4"/>
      <c r="D4" s="4"/>
      <c r="E4" s="4"/>
      <c r="F4" s="4"/>
      <c r="G4" s="4"/>
      <c r="J4" s="5" t="str">
        <f t="shared" si="0"/>
        <v/>
      </c>
      <c r="K4" s="5" t="str">
        <f t="shared" si="0"/>
        <v/>
      </c>
      <c r="L4" s="5" t="str">
        <f t="shared" si="0"/>
        <v/>
      </c>
      <c r="M4" s="5" t="str">
        <f t="shared" si="0"/>
        <v/>
      </c>
      <c r="N4" s="5" t="str">
        <f t="shared" si="0"/>
        <v/>
      </c>
    </row>
    <row r="5" spans="1:14">
      <c r="A5" t="s">
        <v>27</v>
      </c>
      <c r="B5" s="4"/>
      <c r="C5" s="4"/>
      <c r="D5" s="4"/>
      <c r="E5" s="4"/>
      <c r="F5" s="4"/>
      <c r="G5" s="4"/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</row>
    <row r="6" spans="1:14">
      <c r="A6" t="s">
        <v>28</v>
      </c>
      <c r="B6" s="4"/>
      <c r="C6" s="4"/>
      <c r="D6" s="4"/>
      <c r="E6" s="4"/>
      <c r="F6" s="4"/>
      <c r="G6" s="4"/>
      <c r="J6" s="5" t="str">
        <f t="shared" si="0"/>
        <v/>
      </c>
      <c r="K6" s="5" t="str">
        <f t="shared" si="0"/>
        <v/>
      </c>
      <c r="L6" s="5" t="str">
        <f t="shared" si="0"/>
        <v/>
      </c>
      <c r="M6" s="5" t="str">
        <f t="shared" si="0"/>
        <v/>
      </c>
      <c r="N6" s="5" t="str">
        <f t="shared" si="0"/>
        <v/>
      </c>
    </row>
    <row r="7" spans="1:14">
      <c r="A7" t="s">
        <v>29</v>
      </c>
      <c r="B7" s="4"/>
      <c r="C7" s="4"/>
      <c r="D7" s="4"/>
      <c r="E7" s="4"/>
      <c r="F7" s="4"/>
      <c r="G7" s="4"/>
      <c r="J7" s="5" t="str">
        <f t="shared" si="0"/>
        <v/>
      </c>
      <c r="K7" s="5" t="str">
        <f t="shared" si="0"/>
        <v/>
      </c>
      <c r="L7" s="5" t="str">
        <f t="shared" si="0"/>
        <v/>
      </c>
      <c r="M7" s="5" t="str">
        <f t="shared" si="0"/>
        <v/>
      </c>
      <c r="N7" s="5" t="str">
        <f t="shared" si="0"/>
        <v/>
      </c>
    </row>
    <row r="8" spans="1:14">
      <c r="A8" t="s">
        <v>30</v>
      </c>
      <c r="B8" s="4"/>
      <c r="C8" s="4"/>
      <c r="D8" s="4"/>
      <c r="E8" s="4"/>
      <c r="F8" s="4"/>
      <c r="G8" s="4"/>
      <c r="J8" s="5" t="str">
        <f t="shared" si="0"/>
        <v/>
      </c>
      <c r="K8" s="5" t="str">
        <f t="shared" si="0"/>
        <v/>
      </c>
      <c r="L8" s="5" t="str">
        <f t="shared" si="0"/>
        <v/>
      </c>
      <c r="M8" s="5" t="str">
        <f t="shared" si="0"/>
        <v/>
      </c>
      <c r="N8" s="5" t="str">
        <f t="shared" si="0"/>
        <v/>
      </c>
    </row>
  </sheetData>
  <mergeCells count="1">
    <mergeCell ref="J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read_me</vt:lpstr>
      <vt:lpstr>hk_evolution</vt:lpstr>
      <vt:lpstr>hk_assumption_shocks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Souleymane Faye</cp:lastModifiedBy>
  <dcterms:modified xsi:type="dcterms:W3CDTF">2026-07-02T17:24:13Z</dcterms:modified>
</cp:coreProperties>
</file>