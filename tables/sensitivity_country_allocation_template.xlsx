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amoura/Library/CloudStorage/Dropbox-CREST/Carolina Moniz De Moura/Carolina/EUTAX_projects/global-offshore-wealth-2001-2023/tables/"/>
    </mc:Choice>
  </mc:AlternateContent>
  <xr:revisionPtr revIDLastSave="0" documentId="8_{0CEDCEFB-E54F-DA4B-AA99-C34FC78367DF}" xr6:coauthVersionLast="47" xr6:coauthVersionMax="47" xr10:uidLastSave="{00000000-0000-0000-0000-000000000000}"/>
  <bookViews>
    <workbookView xWindow="0" yWindow="680" windowWidth="30240" windowHeight="17780"/>
  </bookViews>
  <sheets>
    <sheet name="read_me" sheetId="2" r:id="rId1"/>
    <sheet name="total_russia_adjustment" sheetId="1" r:id="rId2"/>
    <sheet name="total_attracted" sheetId="4" r:id="rId3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<sst xmlns="http://schemas.openxmlformats.org/spreadsheetml/2006/main" xmlns:r="http://schemas.openxmlformats.org/officeDocument/2006/relationships" xmlns:xdr="http://schemas.openxmlformats.org/drawingml/2006/spreadsheetDrawing" count="129" uniqueCount="58">
  <si>
    <t>Our prefered estimates</t>
  </si>
  <si>
    <t>Table B: total_attracted</t>
  </si>
  <si>
    <t>70% Cyprus-Russia reallocation</t>
  </si>
  <si>
    <t>90% Cyprus-Russia reallocation</t>
  </si>
  <si>
    <t>No 5-year moving average weights</t>
  </si>
  <si>
    <t>Sensitivity checks when changing 1 assumption</t>
  </si>
  <si>
    <t>Household-shell-company -10p.p.</t>
  </si>
  <si>
    <t xml:space="preserve">No household-shell-company </t>
  </si>
  <si>
    <t>Assumptions</t>
  </si>
  <si>
    <t>Description</t>
  </si>
  <si>
    <t>No 5-year moving average to smooth the development of offshore asset ownership over time</t>
  </si>
  <si>
    <t>We use a 5-year moving average to smooth the development of offshore asset ownership over time because BIS deposits can be very volatile;  We reallocate 80%of Cyprus-owned Swiss fiduciary deposits to Russia  to avoid underestimating the true level of offshore wealth owned by Russian residents; For Belgium, the United Kingdom and the United States we respectively reallocate  50%, 50% and 20% of their offshore financial wealth holdings to residents in other countries because we assume that true ownership is concealed through shell companies. We further reallocate 75% of offshore financial wealth holdings of Ireland, and the Netherlands because their shares in financial center’s BIS deposits are strongly inflated by financial activities of multinational enterprises</t>
  </si>
  <si>
    <t>For Belgium, the United Kingdom, the United States, Ireland and the Netherlands we do not respectively reallocate their offshore financial wealth holdings to residents in other countries.</t>
  </si>
  <si>
    <t>For Belgium, the United Kingdom, the United States, Ireland and the Netherlands we respectively reallocate  40%, 40%, 10%, 65% and 65% of their offshore financial wealth holdings to residents in other countries.</t>
  </si>
  <si>
    <t>We reallocate 70% of Cyprus-owned Swiss fiduciary deposits to Russia</t>
  </si>
  <si>
    <t>We reallocate 90% of Cyprus-owned Swiss fiduciary deposits to Russia</t>
  </si>
  <si>
    <t>Top 20 by our preferred estimates, always including CYP RUS BEL GBR USA IRL NLD</t>
  </si>
  <si>
    <t>United States of America</t>
  </si>
  <si>
    <t>China</t>
  </si>
  <si>
    <t>United Kingdom of Great Britain and Northern Ireland</t>
  </si>
  <si>
    <t>Taiwan (Province of China)</t>
  </si>
  <si>
    <t>France</t>
  </si>
  <si>
    <t>Saudi Arabia</t>
  </si>
  <si>
    <t>Germany</t>
  </si>
  <si>
    <t>Italy</t>
  </si>
  <si>
    <t>Japan</t>
  </si>
  <si>
    <t>Russian Federation</t>
  </si>
  <si>
    <t>Spain</t>
  </si>
  <si>
    <t>Australia</t>
  </si>
  <si>
    <t>Kuwait</t>
  </si>
  <si>
    <t>Canada</t>
  </si>
  <si>
    <t>Greece</t>
  </si>
  <si>
    <t>Qatar</t>
  </si>
  <si>
    <t>Ireland</t>
  </si>
  <si>
    <t>Turkey</t>
  </si>
  <si>
    <t>Mexico</t>
  </si>
  <si>
    <t>Israel</t>
  </si>
  <si>
    <t>Netherlands</t>
  </si>
  <si>
    <t>Belgium</t>
  </si>
  <si>
    <t>Cyprus</t>
  </si>
  <si>
    <t>Switzerland</t>
  </si>
  <si>
    <t>Hong Kong</t>
  </si>
  <si>
    <t>Singapore</t>
  </si>
  <si>
    <t>Luxembourg</t>
  </si>
  <si>
    <t>United Arab Emirates</t>
  </si>
  <si>
    <t>Bahrain</t>
  </si>
  <si>
    <t>Jersey</t>
  </si>
  <si>
    <t>Cayman Islands</t>
  </si>
  <si>
    <t>Panama</t>
  </si>
  <si>
    <t>Isle of Man</t>
  </si>
  <si>
    <t>Macao</t>
  </si>
  <si>
    <t>Malaysia</t>
  </si>
  <si>
    <t>Bahamas</t>
  </si>
  <si>
    <t>Guernsey</t>
  </si>
  <si>
    <t>Bermuda</t>
  </si>
  <si>
    <t>Austria</t>
  </si>
  <si>
    <t>Table B: total_russia_adjustment in 2023</t>
  </si>
  <si>
    <t>Change with respect to our preferred estimates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</si>
</sst>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3" fillId="0" borderId="0" applyFont="false" applyFill="false" applyBorder="false" applyAlignment="false" applyProtection="false"/>
  </cellStyleXfs>
  <cellXfs count="10">
    <xf numFmtId="0" fontId="0" fillId="0" borderId="0" xfId="0"/>
    <xf numFmtId="0" fontId="1" fillId="0" borderId="0" xfId="0" applyFont="true"/>
    <xf numFmtId="0" fontId="0" fillId="0" borderId="0" xfId="0" applyAlignment="true">
      <alignment vertical="top" wrapText="true"/>
    </xf>
    <xf numFmtId="0" fontId="2" fillId="0" borderId="0" xfId="0" applyFont="true" applyAlignment="true">
      <alignment horizontal="left" vertical="top" wrapText="true"/>
    </xf>
    <xf numFmtId="0" fontId="0" fillId="0" borderId="0" xfId="0" applyAlignment="true">
      <alignment horizontal="left" vertical="top" wrapText="true"/>
    </xf>
    <xf numFmtId="0" fontId="0" fillId="0" borderId="0" xfId="0" applyAlignment="true">
      <alignment vertical="top"/>
    </xf>
    <xf numFmtId="1" fontId="0" fillId="0" borderId="1" xfId="0" applyNumberFormat="true" applyBorder="true"/>
    <xf numFmtId="9" fontId="0" fillId="0" borderId="0" xfId="1" applyFont="true"/>
    <xf numFmtId="0" fontId="0" fillId="0" borderId="0" xfId="0" applyAlignment="true">
      <alignment horizontal="center"/>
    </xf>
    <xf numFmtId="0" fontId="1" fillId="0" borderId="0" xfId="0" applyFont="true" applyAlignment="true">
      <alignment horizontal="center"/>
    </xf>
  </cellXfs>
  <cellStyles count="2">
    <cellStyle name="Normal" xfId="0" builtinId="0"/>
    <cellStyle name="Pourcentag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2626-E41B-A348-BE4F-F60AF67AEAAC}">
  <dimension ref="A1:B10"/>
  <sheetViews>
    <sheetView tabSelected="true" workbookViewId="0">
      <selection activeCell="B15" sqref="B15"/>
    </sheetView>
  </sheetViews>
  <sheetFormatPr xmlns:x14ac="http://schemas.microsoft.com/office/spreadsheetml/2009/9/ac" baseColWidth="10" defaultRowHeight="16" x14ac:dyDescent="0.2"/>
  <cols>
    <col min="1" max="1" width="42" customWidth="true"/>
    <col min="2" max="2" width="114.6640625" customWidth="true"/>
  </cols>
  <sheetData>
    <row xmlns:x14ac="http://schemas.microsoft.com/office/spreadsheetml/2009/9/ac" r="1" x14ac:dyDescent="0.2">
      <c r="A1" s="9" t="s">
        <v>5</v>
      </c>
      <c r="B1" s="9"/>
    </row>
    <row xmlns:x14ac="http://schemas.microsoft.com/office/spreadsheetml/2009/9/ac" r="4" x14ac:dyDescent="0.2">
      <c r="A4" s="1" t="s">
        <v>8</v>
      </c>
      <c r="B4" s="1" t="s">
        <v>9</v>
      </c>
    </row>
    <row xmlns:x14ac="http://schemas.microsoft.com/office/spreadsheetml/2009/9/ac" r="5" s="4" customFormat="true" ht="102" x14ac:dyDescent="0.2">
      <c r="A5" s="3" t="s">
        <v>0</v>
      </c>
      <c r="B5" s="4" t="s">
        <v>11</v>
      </c>
    </row>
    <row xmlns:x14ac="http://schemas.microsoft.com/office/spreadsheetml/2009/9/ac" r="6" s="4" customFormat="true" ht="17" x14ac:dyDescent="0.2">
      <c r="A6" s="3" t="s">
        <v>2</v>
      </c>
      <c r="B6" s="4" t="s">
        <v>14</v>
      </c>
    </row>
    <row xmlns:x14ac="http://schemas.microsoft.com/office/spreadsheetml/2009/9/ac" r="7" s="4" customFormat="true" ht="17" x14ac:dyDescent="0.2">
      <c r="A7" s="3" t="s">
        <v>3</v>
      </c>
      <c r="B7" s="4" t="s">
        <v>15</v>
      </c>
    </row>
    <row xmlns:x14ac="http://schemas.microsoft.com/office/spreadsheetml/2009/9/ac" r="8" s="4" customFormat="true" ht="34" x14ac:dyDescent="0.2">
      <c r="A8" s="3" t="s">
        <v>6</v>
      </c>
      <c r="B8" s="4" t="s">
        <v>13</v>
      </c>
    </row>
    <row xmlns:x14ac="http://schemas.microsoft.com/office/spreadsheetml/2009/9/ac" r="9" s="4" customFormat="true" ht="34" x14ac:dyDescent="0.2">
      <c r="A9" s="3" t="s">
        <v>7</v>
      </c>
      <c r="B9" s="4" t="s">
        <v>12</v>
      </c>
    </row>
    <row xmlns:x14ac="http://schemas.microsoft.com/office/spreadsheetml/2009/9/ac" r="10" s="4" customFormat="true" ht="17" x14ac:dyDescent="0.2">
      <c r="A10" s="3" t="s">
        <v>4</v>
      </c>
      <c r="B10" s="4" t="s">
        <v>10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DDF6-ECC3-C74B-8810-FFF206FAEAA3}">
  <dimension ref="A1:N25"/>
  <sheetViews>
    <sheetView zoomScale="110" zoomScaleNormal="110" workbookViewId="0">
      <selection activeCell="G6" sqref="G6"/>
    </sheetView>
  </sheetViews>
  <sheetFormatPr xmlns:x14ac="http://schemas.microsoft.com/office/spreadsheetml/2009/9/ac" baseColWidth="10" defaultRowHeight="16" x14ac:dyDescent="0.2"/>
  <cols>
    <col min="1" max="1" width="24.83203125" customWidth="true"/>
  </cols>
  <sheetData>
    <row xmlns:x14ac="http://schemas.microsoft.com/office/spreadsheetml/2009/9/ac" r="1" x14ac:dyDescent="0.2">
      <c r="A1" t="s">
        <v>56</v>
      </c>
      <c r="J1" s="8" t="s">
        <v>57</v>
      </c>
      <c r="K1" s="8"/>
      <c r="L1" s="8"/>
      <c r="M1" s="8"/>
      <c r="N1" s="8"/>
    </row>
    <row xmlns:x14ac="http://schemas.microsoft.com/office/spreadsheetml/2009/9/ac" r="2" ht="67" customHeight="true" x14ac:dyDescent="0.2">
      <c r="A2" s="2" t="s">
        <v>16</v>
      </c>
      <c r="B2" s="2" t="s">
        <v>0</v>
      </c>
      <c r="C2" s="2" t="s">
        <v>2</v>
      </c>
      <c r="D2" s="2" t="s">
        <v>3</v>
      </c>
      <c r="E2" s="2" t="s">
        <v>6</v>
      </c>
      <c r="F2" s="2" t="s">
        <v>7</v>
      </c>
      <c r="G2" s="2" t="s">
        <v>4</v>
      </c>
      <c r="J2" s="2" t="s">
        <v>2</v>
      </c>
      <c r="K2" s="2" t="s">
        <v>3</v>
      </c>
      <c r="L2" s="2" t="s">
        <v>6</v>
      </c>
      <c r="M2" s="2" t="s">
        <v>7</v>
      </c>
      <c r="N2" s="2" t="s">
        <v>4</v>
      </c>
    </row>
    <row xmlns:x14ac="http://schemas.microsoft.com/office/spreadsheetml/2009/9/ac" r="3" x14ac:dyDescent="0.2">
      <c r="A3" t="s">
        <v>17</v>
      </c>
      <c r="B3" s="6">
        <v>2332.72998046875</v>
      </c>
      <c r="C3" s="6">
        <v>2333.07861328125</v>
      </c>
      <c r="D3" s="6">
        <v>2332.386474609375</v>
      </c>
      <c r="E3" s="6">
        <v>2428.98583984375</v>
      </c>
      <c r="F3" s="6">
        <v>2225.100830078125</v>
      </c>
      <c r="G3" s="6">
        <v>2307.684814453125</v>
      </c>
      <c r="J3" s="7">
        <f>((C3-$B3)/$B3)</f>
        <v>1.4945270795119805E-4</v>
      </c>
      <c r="K3" s="7">
        <f t="shared" ref="K3:N18" si="0">((D3-$B3)/$B3)</f>
        <v>-1.4725487401073925E-4</v>
      </c>
      <c r="L3" s="7">
        <f t="shared" si="0"/>
        <v>4.1263180985764106E-2</v>
      </c>
      <c r="M3" s="7">
        <f t="shared" si="0"/>
        <v>-4.6138709277015202E-2</v>
      </c>
      <c r="N3" s="7">
        <f t="shared" si="0"/>
        <v>-1.0736418799141213E-2</v>
      </c>
    </row>
    <row xmlns:x14ac="http://schemas.microsoft.com/office/spreadsheetml/2009/9/ac" r="4" x14ac:dyDescent="0.2">
      <c r="A4" t="s">
        <v>18</v>
      </c>
      <c r="B4" s="6">
        <v>1950.3297119140625</v>
      </c>
      <c r="C4" s="6">
        <v>1950.3759765625</v>
      </c>
      <c r="D4" s="6">
        <v>1950.2840576171875</v>
      </c>
      <c r="E4" s="6">
        <v>1896.5211181640625</v>
      </c>
      <c r="F4" s="6">
        <v>1739.9775390625</v>
      </c>
      <c r="G4" s="6">
        <v>1956.70361328125</v>
      </c>
      <c r="J4" s="7">
        <f t="shared" ref="J4:J25" si="1">((C4-$B4)/$B4)</f>
        <v>2.3721449842496459E-5</v>
      </c>
      <c r="K4" s="7">
        <f t="shared" si="0"/>
        <v>-2.3408501955392284E-5</v>
      </c>
      <c r="L4" s="7">
        <f t="shared" si="0"/>
        <v>-2.7589485727104061E-2</v>
      </c>
      <c r="M4" s="7">
        <f t="shared" si="0"/>
        <v>-0.10785467275946994</v>
      </c>
      <c r="N4" s="7">
        <f t="shared" si="0"/>
        <v>3.2681147850288986E-3</v>
      </c>
    </row>
    <row xmlns:x14ac="http://schemas.microsoft.com/office/spreadsheetml/2009/9/ac" r="5" x14ac:dyDescent="0.2">
      <c r="A5" t="s">
        <v>19</v>
      </c>
      <c r="B5" s="6">
        <v>1347.5147705078125</v>
      </c>
      <c r="C5" s="6">
        <v>1349.352294921875</v>
      </c>
      <c r="D5" s="6">
        <v>1345.70361328125</v>
      </c>
      <c r="E5" s="6">
        <v>1523.2520751953125</v>
      </c>
      <c r="F5" s="6">
        <v>2145.16552734375</v>
      </c>
      <c r="G5" s="6">
        <v>1407.626708984375</v>
      </c>
      <c r="J5" s="7">
        <f t="shared" si="1"/>
        <v>1.3636395342590767E-3</v>
      </c>
      <c r="K5" s="7">
        <f t="shared" si="0"/>
        <v>-1.3440722626587339E-3</v>
      </c>
      <c r="L5" s="7">
        <f t="shared" si="0"/>
        <v>0.13041586521628493</v>
      </c>
      <c r="M5" s="7">
        <f t="shared" si="0"/>
        <v>0.59194212508360255</v>
      </c>
      <c r="N5" s="7">
        <f t="shared" si="0"/>
        <v>4.4609483912305646E-2</v>
      </c>
    </row>
    <row xmlns:x14ac="http://schemas.microsoft.com/office/spreadsheetml/2009/9/ac" r="6" x14ac:dyDescent="0.2">
      <c r="A6" t="s">
        <v>20</v>
      </c>
      <c r="B6" s="6">
        <v>760.077880859375</v>
      </c>
      <c r="C6" s="6">
        <v>760.26727294921875</v>
      </c>
      <c r="D6" s="6">
        <v>759.89117431640625</v>
      </c>
      <c r="E6" s="6">
        <v>737.6209716796875</v>
      </c>
      <c r="F6" s="6">
        <v>673.4345703125</v>
      </c>
      <c r="G6" s="6">
        <v>759.15350341796875</v>
      </c>
      <c r="J6" s="7">
        <f t="shared" si="1"/>
        <v>2.4917458409606075E-4</v>
      </c>
      <c r="K6" s="7">
        <f t="shared" si="0"/>
        <v>-2.4564133185621975E-4</v>
      </c>
      <c r="L6" s="7">
        <f t="shared" si="0"/>
        <v>-2.9545537036674195E-2</v>
      </c>
      <c r="M6" s="7">
        <f t="shared" si="0"/>
        <v>-0.11399267460449257</v>
      </c>
      <c r="N6" s="7">
        <f t="shared" si="0"/>
        <v>-1.2161614811907317E-3</v>
      </c>
    </row>
    <row xmlns:x14ac="http://schemas.microsoft.com/office/spreadsheetml/2009/9/ac" r="7" x14ac:dyDescent="0.2">
      <c r="A7" t="s">
        <v>21</v>
      </c>
      <c r="B7" s="6">
        <v>676.3912353515625</v>
      </c>
      <c r="C7" s="6">
        <v>678.112548828125</v>
      </c>
      <c r="D7" s="6">
        <v>674.6943359375</v>
      </c>
      <c r="E7" s="6">
        <v>644.71270751953125</v>
      </c>
      <c r="F7" s="6">
        <v>564.34393310546875</v>
      </c>
      <c r="G7" s="6">
        <v>658.0933837890625</v>
      </c>
      <c r="J7" s="7">
        <f t="shared" si="1"/>
        <v>2.5448488782794866E-3</v>
      </c>
      <c r="K7" s="7">
        <f t="shared" si="0"/>
        <v>-2.5087542909696574E-3</v>
      </c>
      <c r="L7" s="7">
        <f t="shared" si="0"/>
        <v>-4.6834622000336765E-2</v>
      </c>
      <c r="M7" s="7">
        <f t="shared" si="0"/>
        <v>-0.16565457443849907</v>
      </c>
      <c r="N7" s="7">
        <f t="shared" si="0"/>
        <v>-2.7052171296970563E-2</v>
      </c>
    </row>
    <row xmlns:x14ac="http://schemas.microsoft.com/office/spreadsheetml/2009/9/ac" r="8" x14ac:dyDescent="0.2">
      <c r="A8" t="s">
        <v>22</v>
      </c>
      <c r="B8" s="6">
        <v>551.068603515625</v>
      </c>
      <c r="C8" s="6">
        <v>552.72235107421875</v>
      </c>
      <c r="D8" s="6">
        <v>549.43878173828125</v>
      </c>
      <c r="E8" s="6">
        <v>531.07623291015625</v>
      </c>
      <c r="F8" s="6">
        <v>475.57528686523438</v>
      </c>
      <c r="G8" s="6">
        <v>503.80807495117188</v>
      </c>
      <c r="J8" s="7">
        <f t="shared" si="1"/>
        <v>3.0009830863950856E-3</v>
      </c>
      <c r="K8" s="7">
        <f t="shared" si="0"/>
        <v>-2.9575660216279009E-3</v>
      </c>
      <c r="L8" s="7">
        <f t="shared" si="0"/>
        <v>-3.6279277167896001E-2</v>
      </c>
      <c r="M8" s="7">
        <f t="shared" si="0"/>
        <v>-0.13699440717320796</v>
      </c>
      <c r="N8" s="7">
        <f t="shared" si="0"/>
        <v>-8.5761606201020121E-2</v>
      </c>
    </row>
    <row xmlns:x14ac="http://schemas.microsoft.com/office/spreadsheetml/2009/9/ac" r="9" x14ac:dyDescent="0.2">
      <c r="A9" t="s">
        <v>23</v>
      </c>
      <c r="B9" s="6">
        <v>430.6876220703125</v>
      </c>
      <c r="C9" s="6">
        <v>431.94210815429688</v>
      </c>
      <c r="D9" s="6">
        <v>429.45098876953125</v>
      </c>
      <c r="E9" s="6">
        <v>407.8177490234375</v>
      </c>
      <c r="F9" s="6">
        <v>351.91763305664063</v>
      </c>
      <c r="G9" s="6">
        <v>445.9317626953125</v>
      </c>
      <c r="J9" s="7">
        <f t="shared" si="1"/>
        <v>2.9127516550256746E-3</v>
      </c>
      <c r="K9" s="7">
        <f t="shared" si="0"/>
        <v>-2.8712998410234361E-3</v>
      </c>
      <c r="L9" s="7">
        <f t="shared" si="0"/>
        <v>-5.3100836603893267E-2</v>
      </c>
      <c r="M9" s="7">
        <f t="shared" si="0"/>
        <v>-0.18289355202507346</v>
      </c>
      <c r="N9" s="7">
        <f t="shared" si="0"/>
        <v>3.539488911179179E-2</v>
      </c>
    </row>
    <row xmlns:x14ac="http://schemas.microsoft.com/office/spreadsheetml/2009/9/ac" r="10" x14ac:dyDescent="0.2">
      <c r="A10" t="s">
        <v>24</v>
      </c>
      <c r="B10" s="6">
        <v>377.20608520507813</v>
      </c>
      <c r="C10" s="6">
        <v>379.05331420898438</v>
      </c>
      <c r="D10" s="6">
        <v>375.38491821289063</v>
      </c>
      <c r="E10" s="6">
        <v>363.3072509765625</v>
      </c>
      <c r="F10" s="6">
        <v>322.94284057617188</v>
      </c>
      <c r="G10" s="6">
        <v>408.17584228515625</v>
      </c>
      <c r="J10" s="7">
        <f t="shared" si="1"/>
        <v>4.8971346867375028E-3</v>
      </c>
      <c r="K10" s="7">
        <f t="shared" si="0"/>
        <v>-4.8280424511109735E-3</v>
      </c>
      <c r="L10" s="7">
        <f t="shared" si="0"/>
        <v>-3.6846792174519541E-2</v>
      </c>
      <c r="M10" s="7">
        <f t="shared" si="0"/>
        <v>-0.14385569787243649</v>
      </c>
      <c r="N10" s="7">
        <f t="shared" si="0"/>
        <v>8.2103015552468073E-2</v>
      </c>
    </row>
    <row xmlns:x14ac="http://schemas.microsoft.com/office/spreadsheetml/2009/9/ac" r="11" x14ac:dyDescent="0.2">
      <c r="A11" t="s">
        <v>25</v>
      </c>
      <c r="B11" s="6">
        <v>357.7884521484375</v>
      </c>
      <c r="C11" s="6">
        <v>357.85552978515625</v>
      </c>
      <c r="D11" s="6">
        <v>357.72235107421875</v>
      </c>
      <c r="E11" s="6">
        <v>337.89764404296875</v>
      </c>
      <c r="F11" s="6">
        <v>290.41171264648438</v>
      </c>
      <c r="G11" s="6">
        <v>366.90725708007813</v>
      </c>
      <c r="J11" s="7">
        <f t="shared" si="1"/>
        <v>1.8747848432771989E-4</v>
      </c>
      <c r="K11" s="7">
        <f t="shared" si="0"/>
        <v>-1.8474904324560569E-4</v>
      </c>
      <c r="L11" s="7">
        <f t="shared" si="0"/>
        <v>-5.5593767730705151E-2</v>
      </c>
      <c r="M11" s="7">
        <f t="shared" si="0"/>
        <v>-0.18831446095415119</v>
      </c>
      <c r="N11" s="7">
        <f t="shared" si="0"/>
        <v>2.5486582579410531E-2</v>
      </c>
    </row>
    <row xmlns:x14ac="http://schemas.microsoft.com/office/spreadsheetml/2009/9/ac" r="12" x14ac:dyDescent="0.2">
      <c r="A12" t="s">
        <v>26</v>
      </c>
      <c r="B12" s="6">
        <v>325.80230712890625</v>
      </c>
      <c r="C12" s="6">
        <v>305.85650634765625</v>
      </c>
      <c r="D12" s="6">
        <v>345.46295166015625</v>
      </c>
      <c r="E12" s="6">
        <v>311.15023803710938</v>
      </c>
      <c r="F12" s="6">
        <v>272.61019897460938</v>
      </c>
      <c r="G12" s="6">
        <v>295.41220092773438</v>
      </c>
      <c r="J12" s="7">
        <f t="shared" si="1"/>
        <v>-6.1220563344133366E-2</v>
      </c>
      <c r="K12" s="7">
        <f t="shared" si="0"/>
        <v>6.0345320155977628E-2</v>
      </c>
      <c r="L12" s="7">
        <f t="shared" si="0"/>
        <v>-4.4972269290897531E-2</v>
      </c>
      <c r="M12" s="7">
        <f t="shared" si="0"/>
        <v>-0.16326498305996034</v>
      </c>
      <c r="N12" s="7">
        <f t="shared" si="0"/>
        <v>-9.3277750145421126E-2</v>
      </c>
    </row>
    <row xmlns:x14ac="http://schemas.microsoft.com/office/spreadsheetml/2009/9/ac" r="13" x14ac:dyDescent="0.2">
      <c r="A13" t="s">
        <v>27</v>
      </c>
      <c r="B13" s="6">
        <v>239.66680908203125</v>
      </c>
      <c r="C13" s="6">
        <v>240.81854248046875</v>
      </c>
      <c r="D13" s="6">
        <v>238.53115844726563</v>
      </c>
      <c r="E13" s="6">
        <v>229.89337158203125</v>
      </c>
      <c r="F13" s="6">
        <v>202.58921813964844</v>
      </c>
      <c r="G13" s="6">
        <v>253.49922180175781</v>
      </c>
      <c r="J13" s="7">
        <f t="shared" si="1"/>
        <v>4.8055606984081546E-3</v>
      </c>
      <c r="K13" s="7">
        <f t="shared" si="0"/>
        <v>-4.7384560219889422E-3</v>
      </c>
      <c r="L13" s="7">
        <f t="shared" si="0"/>
        <v>-4.077926992658723E-2</v>
      </c>
      <c r="M13" s="7">
        <f t="shared" si="0"/>
        <v>-0.15470473815042193</v>
      </c>
      <c r="N13" s="7">
        <f t="shared" si="0"/>
        <v>5.7715178721272638E-2</v>
      </c>
    </row>
    <row xmlns:x14ac="http://schemas.microsoft.com/office/spreadsheetml/2009/9/ac" r="14" x14ac:dyDescent="0.2">
      <c r="A14" t="s">
        <v>28</v>
      </c>
      <c r="B14" s="6">
        <v>236.12263488769531</v>
      </c>
      <c r="C14" s="6">
        <v>236.200439453125</v>
      </c>
      <c r="D14" s="6">
        <v>236.04595947265625</v>
      </c>
      <c r="E14" s="6">
        <v>223.58866882324219</v>
      </c>
      <c r="F14" s="6">
        <v>193.54067993164063</v>
      </c>
      <c r="G14" s="6">
        <v>226.67929077148438</v>
      </c>
      <c r="J14" s="7">
        <f t="shared" si="1"/>
        <v>3.295091360753827E-4</v>
      </c>
      <c r="K14" s="7">
        <f t="shared" si="0"/>
        <v>-3.2472708546358073E-4</v>
      </c>
      <c r="L14" s="7">
        <f t="shared" si="0"/>
        <v>-5.3082441970946713E-2</v>
      </c>
      <c r="M14" s="7">
        <f t="shared" si="0"/>
        <v>-0.18033830164697054</v>
      </c>
      <c r="N14" s="7">
        <f t="shared" si="0"/>
        <v>-3.9993387845694603E-2</v>
      </c>
    </row>
    <row xmlns:x14ac="http://schemas.microsoft.com/office/spreadsheetml/2009/9/ac" r="15" x14ac:dyDescent="0.2">
      <c r="A15" t="s">
        <v>29</v>
      </c>
      <c r="B15" s="6">
        <v>235.00221252441406</v>
      </c>
      <c r="C15" s="6">
        <v>235.51458740234375</v>
      </c>
      <c r="D15" s="6">
        <v>234.49729919433594</v>
      </c>
      <c r="E15" s="6">
        <v>224.60531616210938</v>
      </c>
      <c r="F15" s="6">
        <v>197.10580444335938</v>
      </c>
      <c r="G15" s="6">
        <v>231.34255981445313</v>
      </c>
      <c r="J15" s="7">
        <f t="shared" si="1"/>
        <v>2.180298101986838E-3</v>
      </c>
      <c r="K15" s="7">
        <f t="shared" si="0"/>
        <v>-2.1485471334686699E-3</v>
      </c>
      <c r="L15" s="7">
        <f t="shared" si="0"/>
        <v>-4.4241695644565766E-2</v>
      </c>
      <c r="M15" s="7">
        <f t="shared" si="0"/>
        <v>-0.16125979272266502</v>
      </c>
      <c r="N15" s="7">
        <f t="shared" si="0"/>
        <v>-1.5572843636868913E-2</v>
      </c>
    </row>
    <row xmlns:x14ac="http://schemas.microsoft.com/office/spreadsheetml/2009/9/ac" r="16" x14ac:dyDescent="0.2">
      <c r="A16" t="s">
        <v>30</v>
      </c>
      <c r="B16" s="6">
        <v>228.6221923828125</v>
      </c>
      <c r="C16" s="6">
        <v>228.69659423828125</v>
      </c>
      <c r="D16" s="6">
        <v>228.54888916015625</v>
      </c>
      <c r="E16" s="6">
        <v>211.52542114257813</v>
      </c>
      <c r="F16" s="6">
        <v>171.8199462890625</v>
      </c>
      <c r="G16" s="6">
        <v>207.90386962890625</v>
      </c>
      <c r="J16" s="7">
        <f t="shared" si="1"/>
        <v>3.2543584108479323E-4</v>
      </c>
      <c r="K16" s="7">
        <f t="shared" si="0"/>
        <v>-3.2063038978083405E-4</v>
      </c>
      <c r="L16" s="7">
        <f t="shared" si="0"/>
        <v>-7.4781765768421035E-2</v>
      </c>
      <c r="M16" s="7">
        <f t="shared" si="0"/>
        <v>-0.2484546469515018</v>
      </c>
      <c r="N16" s="7">
        <f t="shared" si="0"/>
        <v>-9.0622535537647236E-2</v>
      </c>
    </row>
    <row xmlns:x14ac="http://schemas.microsoft.com/office/spreadsheetml/2009/9/ac" r="17" x14ac:dyDescent="0.2">
      <c r="A17" t="s">
        <v>31</v>
      </c>
      <c r="B17" s="6">
        <v>195.96583557128906</v>
      </c>
      <c r="C17" s="6">
        <v>197.01644897460938</v>
      </c>
      <c r="D17" s="6">
        <v>194.93043518066406</v>
      </c>
      <c r="E17" s="6">
        <v>188.51560974121094</v>
      </c>
      <c r="F17" s="6">
        <v>167.14663696289063</v>
      </c>
      <c r="G17" s="6">
        <v>185.70355224609375</v>
      </c>
      <c r="J17" s="7">
        <f t="shared" si="1"/>
        <v>5.3612069688449195E-3</v>
      </c>
      <c r="K17" s="7">
        <f t="shared" si="0"/>
        <v>-5.2835760254156079E-3</v>
      </c>
      <c r="L17" s="7">
        <f t="shared" si="0"/>
        <v>-3.8017983126287638E-2</v>
      </c>
      <c r="M17" s="7">
        <f t="shared" si="0"/>
        <v>-0.14706236178558021</v>
      </c>
      <c r="N17" s="7">
        <f t="shared" si="0"/>
        <v>-5.2367716522006037E-2</v>
      </c>
    </row>
    <row xmlns:x14ac="http://schemas.microsoft.com/office/spreadsheetml/2009/9/ac" r="18" x14ac:dyDescent="0.2">
      <c r="A18" t="s">
        <v>32</v>
      </c>
      <c r="B18" s="6">
        <v>192.23851013183594</v>
      </c>
      <c r="C18" s="6">
        <v>192.92799377441406</v>
      </c>
      <c r="D18" s="6">
        <v>191.55918884277344</v>
      </c>
      <c r="E18" s="6">
        <v>183.07609558105469</v>
      </c>
      <c r="F18" s="6">
        <v>160.04104614257813</v>
      </c>
      <c r="G18" s="6">
        <v>175.99331665039063</v>
      </c>
      <c r="J18" s="7">
        <f t="shared" si="1"/>
        <v>3.5866052129996302E-3</v>
      </c>
      <c r="K18" s="7">
        <f t="shared" si="0"/>
        <v>-3.5337419573041105E-3</v>
      </c>
      <c r="L18" s="7">
        <f t="shared" si="0"/>
        <v>-4.7661701833299298E-2</v>
      </c>
      <c r="M18" s="7">
        <f t="shared" si="0"/>
        <v>-0.16748706576625566</v>
      </c>
      <c r="N18" s="7">
        <f t="shared" si="0"/>
        <v>-8.4505406696631508E-2</v>
      </c>
    </row>
    <row xmlns:x14ac="http://schemas.microsoft.com/office/spreadsheetml/2009/9/ac" r="19" x14ac:dyDescent="0.2">
      <c r="A19" t="s">
        <v>33</v>
      </c>
      <c r="B19" s="6">
        <v>187.00067138671875</v>
      </c>
      <c r="C19" s="6">
        <v>187.041015625</v>
      </c>
      <c r="D19" s="6">
        <v>186.96087646484375</v>
      </c>
      <c r="E19" s="6">
        <v>240.1611328125</v>
      </c>
      <c r="F19" s="6">
        <v>548.6990966796875</v>
      </c>
      <c r="G19" s="6">
        <v>192.83430480957031</v>
      </c>
      <c r="J19" s="7">
        <f t="shared" si="1"/>
        <v>2.1574381515357142E-4</v>
      </c>
      <c r="K19" s="7">
        <f t="shared" ref="K19:K25" si="2">((D19-$B19)/$B19)</f>
        <v>-2.1280630481108708E-4</v>
      </c>
      <c r="L19" s="7">
        <f t="shared" ref="L19:L25" si="3">((E19-$B19)/$B19)</f>
        <v>0.28427952173414944</v>
      </c>
      <c r="M19" s="7">
        <f t="shared" ref="M19:M25" si="4">((F19-$B19)/$B19)</f>
        <v>1.9342092336394545</v>
      </c>
      <c r="N19" s="7">
        <f t="shared" ref="N19:N25" si="5">((G19-$B19)/$B19)</f>
        <v>3.1195788654616998E-2</v>
      </c>
    </row>
    <row xmlns:x14ac="http://schemas.microsoft.com/office/spreadsheetml/2009/9/ac" r="20" x14ac:dyDescent="0.2">
      <c r="A20" t="s">
        <v>34</v>
      </c>
      <c r="B20" s="6">
        <v>166.08932495117188</v>
      </c>
      <c r="C20" s="6">
        <v>166.98048400878906</v>
      </c>
      <c r="D20" s="6">
        <v>165.21087646484375</v>
      </c>
      <c r="E20" s="6">
        <v>161.02474975585938</v>
      </c>
      <c r="F20" s="6">
        <v>144.85606384277344</v>
      </c>
      <c r="G20" s="6">
        <v>171.54458618164063</v>
      </c>
      <c r="J20" s="7">
        <f t="shared" si="1"/>
        <v>5.3655408490532238E-3</v>
      </c>
      <c r="K20" s="7">
        <f t="shared" si="2"/>
        <v>-5.2890123226545568E-3</v>
      </c>
      <c r="L20" s="7">
        <f t="shared" si="3"/>
        <v>-3.0493080737135997E-2</v>
      </c>
      <c r="M20" s="7">
        <f t="shared" si="4"/>
        <v>-0.127842419220144</v>
      </c>
      <c r="N20" s="7">
        <f t="shared" si="5"/>
        <v>3.2845345310859239E-2</v>
      </c>
    </row>
    <row xmlns:x14ac="http://schemas.microsoft.com/office/spreadsheetml/2009/9/ac" r="21" x14ac:dyDescent="0.2">
      <c r="A21" t="s">
        <v>35</v>
      </c>
      <c r="B21" s="6">
        <v>163.87550354003906</v>
      </c>
      <c r="C21" s="6">
        <v>164.09140014648438</v>
      </c>
      <c r="D21" s="6">
        <v>163.66268920898438</v>
      </c>
      <c r="E21" s="6">
        <v>153.1878662109375</v>
      </c>
      <c r="F21" s="6">
        <v>126.34144592285156</v>
      </c>
      <c r="G21" s="6">
        <v>168.61651611328125</v>
      </c>
      <c r="J21" s="7">
        <f t="shared" si="1"/>
        <v>1.3174428256909265E-3</v>
      </c>
      <c r="K21" s="7">
        <f t="shared" si="2"/>
        <v>-1.2986341854485373E-3</v>
      </c>
      <c r="L21" s="7">
        <f t="shared" si="3"/>
        <v>-6.5218028919681051E-2</v>
      </c>
      <c r="M21" s="7">
        <f t="shared" si="4"/>
        <v>-0.22904007497384715</v>
      </c>
      <c r="N21" s="7">
        <f t="shared" si="5"/>
        <v>2.8930575167287493E-2</v>
      </c>
    </row>
    <row xmlns:x14ac="http://schemas.microsoft.com/office/spreadsheetml/2009/9/ac" r="22" x14ac:dyDescent="0.2">
      <c r="A22" t="s">
        <v>36</v>
      </c>
      <c r="B22" s="6">
        <v>141.22386169433594</v>
      </c>
      <c r="C22" s="6">
        <v>141.96849060058594</v>
      </c>
      <c r="D22" s="6">
        <v>140.48979187011719</v>
      </c>
      <c r="E22" s="6">
        <v>135.54656982421875</v>
      </c>
      <c r="F22" s="6">
        <v>119.22138977050781</v>
      </c>
      <c r="G22" s="6">
        <v>139.52413940429688</v>
      </c>
      <c r="J22" s="7">
        <f t="shared" si="1"/>
        <v>5.2726847808599814E-3</v>
      </c>
      <c r="K22" s="7">
        <f t="shared" si="2"/>
        <v>-5.1979163819182786E-3</v>
      </c>
      <c r="L22" s="7">
        <f t="shared" si="3"/>
        <v>-4.0200655909021124E-2</v>
      </c>
      <c r="M22" s="7">
        <f t="shared" si="4"/>
        <v>-0.15579854324795436</v>
      </c>
      <c r="N22" s="7">
        <f t="shared" si="5"/>
        <v>-1.2035659340047867E-2</v>
      </c>
    </row>
    <row xmlns:x14ac="http://schemas.microsoft.com/office/spreadsheetml/2009/9/ac" r="23" x14ac:dyDescent="0.2">
      <c r="A23" t="s">
        <v>37</v>
      </c>
      <c r="B23" s="6">
        <v>123.0430908203125</v>
      </c>
      <c r="C23" s="6">
        <v>123.21163940429688</v>
      </c>
      <c r="D23" s="6">
        <v>122.87692260742188</v>
      </c>
      <c r="E23" s="6">
        <v>161.18574523925781</v>
      </c>
      <c r="F23" s="6">
        <v>388.830078125</v>
      </c>
      <c r="G23" s="6">
        <v>122.43003845214844</v>
      </c>
      <c r="J23" s="7">
        <f t="shared" si="1"/>
        <v>1.3698337944916957E-3</v>
      </c>
      <c r="K23" s="7">
        <f t="shared" si="2"/>
        <v>-1.350487961435322E-3</v>
      </c>
      <c r="L23" s="7">
        <f t="shared" si="3"/>
        <v>0.30999428057807332</v>
      </c>
      <c r="M23" s="7">
        <f t="shared" si="4"/>
        <v>2.1601130590325694</v>
      </c>
      <c r="N23" s="7">
        <f t="shared" si="5"/>
        <v>-4.982420094268772E-3</v>
      </c>
    </row>
    <row xmlns:x14ac="http://schemas.microsoft.com/office/spreadsheetml/2009/9/ac" r="24" x14ac:dyDescent="0.2">
      <c r="A24" t="s">
        <v>38</v>
      </c>
      <c r="B24" s="6">
        <v>84.771537780761719</v>
      </c>
      <c r="C24" s="6">
        <v>85.068351745605469</v>
      </c>
      <c r="D24" s="6">
        <v>84.478950500488281</v>
      </c>
      <c r="E24" s="6">
        <v>96.830833435058594</v>
      </c>
      <c r="F24" s="6">
        <v>140.58950805664063</v>
      </c>
      <c r="G24" s="6">
        <v>86.420257568359375</v>
      </c>
      <c r="J24" s="7">
        <f t="shared" si="1"/>
        <v>3.501339867295763E-3</v>
      </c>
      <c r="K24" s="7">
        <f t="shared" si="2"/>
        <v>-3.4514801539891147E-3</v>
      </c>
      <c r="L24" s="7">
        <f t="shared" si="3"/>
        <v>0.14225642202557334</v>
      </c>
      <c r="M24" s="7">
        <f t="shared" si="4"/>
        <v>0.65845178390224257</v>
      </c>
      <c r="N24" s="7">
        <f t="shared" si="5"/>
        <v>1.9448978168375531E-2</v>
      </c>
    </row>
    <row xmlns:x14ac="http://schemas.microsoft.com/office/spreadsheetml/2009/9/ac" r="25" x14ac:dyDescent="0.2">
      <c r="A25" t="s">
        <v>39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J25" s="7" t="e">
        <f t="shared" si="1"/>
        <v>#DIV/0!</v>
      </c>
      <c r="K25" s="7" t="e">
        <f t="shared" si="2"/>
        <v>#DIV/0!</v>
      </c>
      <c r="L25" s="7" t="e">
        <f t="shared" si="3"/>
        <v>#DIV/0!</v>
      </c>
      <c r="M25" s="7" t="e">
        <f t="shared" si="4"/>
        <v>#DIV/0!</v>
      </c>
      <c r="N25" s="7" t="e">
        <f t="shared" si="5"/>
        <v>#DIV/0!</v>
      </c>
    </row>
  </sheetData>
  <mergeCells count="1">
    <mergeCell ref="J1:N1"/>
  </mergeCells>
  <conditionalFormatting sqref="J3:N25">
    <cfRule type="cellIs" dxfId="1" priority="1" operator="lessThan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DCF9-D2CE-4446-97DB-E84174CEC2AC}">
  <dimension ref="A1:G25"/>
  <sheetViews>
    <sheetView workbookViewId="0">
      <selection activeCell="J26" sqref="J26"/>
    </sheetView>
  </sheetViews>
  <sheetFormatPr xmlns:x14ac="http://schemas.microsoft.com/office/spreadsheetml/2009/9/ac" baseColWidth="10" defaultRowHeight="16" x14ac:dyDescent="0.2"/>
  <cols>
    <col min="1" max="1" width="25" customWidth="true"/>
  </cols>
  <sheetData>
    <row xmlns:x14ac="http://schemas.microsoft.com/office/spreadsheetml/2009/9/ac" r="1" x14ac:dyDescent="0.2">
      <c r="A1" t="s">
        <v>1</v>
      </c>
    </row>
    <row xmlns:x14ac="http://schemas.microsoft.com/office/spreadsheetml/2009/9/ac" r="2" s="5" customFormat="true" ht="79" customHeight="true" x14ac:dyDescent="0.2">
      <c r="A2" s="2" t="s">
        <v>16</v>
      </c>
      <c r="B2" s="2" t="s">
        <v>0</v>
      </c>
      <c r="C2" s="2" t="s">
        <v>2</v>
      </c>
      <c r="D2" s="2" t="s">
        <v>3</v>
      </c>
      <c r="E2" s="2" t="s">
        <v>6</v>
      </c>
      <c r="F2" s="2" t="s">
        <v>7</v>
      </c>
      <c r="G2" s="2" t="s">
        <v>4</v>
      </c>
    </row>
    <row xmlns:x14ac="http://schemas.microsoft.com/office/spreadsheetml/2009/9/ac" r="3" x14ac:dyDescent="0.2">
      <c r="A3" t="s">
        <v>40</v>
      </c>
      <c r="B3">
        <v>2978.9248046875</v>
      </c>
      <c r="C3">
        <v>2978.9248046875</v>
      </c>
      <c r="D3">
        <v>2978.9248046875</v>
      </c>
      <c r="E3">
        <v>2978.9248046875</v>
      </c>
      <c r="F3">
        <v>2978.9248046875</v>
      </c>
      <c r="G3">
        <v>2978.9248046875</v>
      </c>
    </row>
    <row xmlns:x14ac="http://schemas.microsoft.com/office/spreadsheetml/2009/9/ac" r="4" x14ac:dyDescent="0.2">
      <c r="A4" t="s">
        <v>19</v>
      </c>
      <c r="B4">
        <v>2610.612548828125</v>
      </c>
      <c r="C4">
        <v>2610.612548828125</v>
      </c>
      <c r="D4">
        <v>2610.612548828125</v>
      </c>
      <c r="E4">
        <v>2610.612548828125</v>
      </c>
      <c r="F4">
        <v>2610.612548828125</v>
      </c>
      <c r="G4">
        <v>2610.612548828125</v>
      </c>
    </row>
    <row xmlns:x14ac="http://schemas.microsoft.com/office/spreadsheetml/2009/9/ac" r="5" x14ac:dyDescent="0.2">
      <c r="A5" t="s">
        <v>41</v>
      </c>
      <c r="B5">
        <v>2604.769775390625</v>
      </c>
      <c r="C5">
        <v>2604.769775390625</v>
      </c>
      <c r="D5">
        <v>2604.769775390625</v>
      </c>
      <c r="E5">
        <v>2604.769775390625</v>
      </c>
      <c r="F5">
        <v>2604.769775390625</v>
      </c>
      <c r="G5">
        <v>2604.769775390625</v>
      </c>
    </row>
    <row xmlns:x14ac="http://schemas.microsoft.com/office/spreadsheetml/2009/9/ac" r="6" x14ac:dyDescent="0.2">
      <c r="A6" t="s">
        <v>42</v>
      </c>
      <c r="B6">
        <v>1386.05419921875</v>
      </c>
      <c r="C6">
        <v>1386.05419921875</v>
      </c>
      <c r="D6">
        <v>1386.05419921875</v>
      </c>
      <c r="E6">
        <v>1386.05419921875</v>
      </c>
      <c r="F6">
        <v>1386.05419921875</v>
      </c>
      <c r="G6">
        <v>1386.05419921875</v>
      </c>
    </row>
    <row xmlns:x14ac="http://schemas.microsoft.com/office/spreadsheetml/2009/9/ac" r="7" x14ac:dyDescent="0.2">
      <c r="A7" t="s">
        <v>17</v>
      </c>
      <c r="B7">
        <v>1308.3179931640625</v>
      </c>
      <c r="C7">
        <v>1308.3179931640625</v>
      </c>
      <c r="D7">
        <v>1308.3179931640625</v>
      </c>
      <c r="E7">
        <v>1308.3179931640625</v>
      </c>
      <c r="F7">
        <v>1308.3179931640625</v>
      </c>
      <c r="G7">
        <v>1308.3179931640625</v>
      </c>
    </row>
    <row xmlns:x14ac="http://schemas.microsoft.com/office/spreadsheetml/2009/9/ac" r="8" x14ac:dyDescent="0.2">
      <c r="A8" t="s">
        <v>43</v>
      </c>
      <c r="B8">
        <v>589.59881591796875</v>
      </c>
      <c r="C8">
        <v>589.59881591796875</v>
      </c>
      <c r="D8">
        <v>589.59881591796875</v>
      </c>
      <c r="E8">
        <v>589.59881591796875</v>
      </c>
      <c r="F8">
        <v>589.59881591796875</v>
      </c>
      <c r="G8">
        <v>589.59881591796875</v>
      </c>
    </row>
    <row xmlns:x14ac="http://schemas.microsoft.com/office/spreadsheetml/2009/9/ac" r="9" x14ac:dyDescent="0.2">
      <c r="A9" t="s">
        <v>44</v>
      </c>
      <c r="B9">
        <v>265.17080688476563</v>
      </c>
      <c r="C9">
        <v>265.17080688476563</v>
      </c>
      <c r="D9">
        <v>265.17080688476563</v>
      </c>
      <c r="E9">
        <v>265.17080688476563</v>
      </c>
      <c r="F9">
        <v>265.17080688476563</v>
      </c>
      <c r="G9">
        <v>265.17080688476563</v>
      </c>
    </row>
    <row xmlns:x14ac="http://schemas.microsoft.com/office/spreadsheetml/2009/9/ac" r="10" x14ac:dyDescent="0.2">
      <c r="A10" t="s">
        <v>45</v>
      </c>
      <c r="B10">
        <v>251.7845458984375</v>
      </c>
      <c r="C10">
        <v>251.7845458984375</v>
      </c>
      <c r="D10">
        <v>251.7845458984375</v>
      </c>
      <c r="E10">
        <v>251.7845458984375</v>
      </c>
      <c r="F10">
        <v>251.7845458984375</v>
      </c>
      <c r="G10">
        <v>251.7845458984375</v>
      </c>
    </row>
    <row xmlns:x14ac="http://schemas.microsoft.com/office/spreadsheetml/2009/9/ac" r="11" x14ac:dyDescent="0.2">
      <c r="A11" t="s">
        <v>46</v>
      </c>
      <c r="B11">
        <v>248.09616088867188</v>
      </c>
      <c r="C11">
        <v>248.09616088867188</v>
      </c>
      <c r="D11">
        <v>248.09616088867188</v>
      </c>
      <c r="E11">
        <v>248.09616088867188</v>
      </c>
      <c r="F11">
        <v>248.09616088867188</v>
      </c>
      <c r="G11">
        <v>248.09616088867188</v>
      </c>
    </row>
    <row xmlns:x14ac="http://schemas.microsoft.com/office/spreadsheetml/2009/9/ac" r="12" x14ac:dyDescent="0.2">
      <c r="A12" t="s">
        <v>47</v>
      </c>
      <c r="B12">
        <v>190.50802612304688</v>
      </c>
      <c r="C12">
        <v>190.50802612304688</v>
      </c>
      <c r="D12">
        <v>190.50802612304688</v>
      </c>
      <c r="E12">
        <v>190.50802612304688</v>
      </c>
      <c r="F12">
        <v>190.50802612304688</v>
      </c>
      <c r="G12">
        <v>190.50802612304688</v>
      </c>
    </row>
    <row xmlns:x14ac="http://schemas.microsoft.com/office/spreadsheetml/2009/9/ac" r="13" x14ac:dyDescent="0.2">
      <c r="A13" t="s">
        <v>48</v>
      </c>
      <c r="B13">
        <v>183.84495544433594</v>
      </c>
      <c r="C13">
        <v>183.84495544433594</v>
      </c>
      <c r="D13">
        <v>183.84495544433594</v>
      </c>
      <c r="E13">
        <v>183.84495544433594</v>
      </c>
      <c r="F13">
        <v>183.84495544433594</v>
      </c>
      <c r="G13">
        <v>183.84495544433594</v>
      </c>
    </row>
    <row xmlns:x14ac="http://schemas.microsoft.com/office/spreadsheetml/2009/9/ac" r="14" x14ac:dyDescent="0.2">
      <c r="A14" t="s">
        <v>49</v>
      </c>
      <c r="B14">
        <v>134.20608520507813</v>
      </c>
      <c r="C14">
        <v>134.20608520507813</v>
      </c>
      <c r="D14">
        <v>134.20608520507813</v>
      </c>
      <c r="E14">
        <v>134.20608520507813</v>
      </c>
      <c r="F14">
        <v>134.20608520507813</v>
      </c>
      <c r="G14">
        <v>134.20608520507813</v>
      </c>
    </row>
    <row xmlns:x14ac="http://schemas.microsoft.com/office/spreadsheetml/2009/9/ac" r="15" x14ac:dyDescent="0.2">
      <c r="A15" t="s">
        <v>50</v>
      </c>
      <c r="B15">
        <v>131.08128356933594</v>
      </c>
      <c r="C15">
        <v>131.08128356933594</v>
      </c>
      <c r="D15">
        <v>131.08128356933594</v>
      </c>
      <c r="E15">
        <v>131.08128356933594</v>
      </c>
      <c r="F15">
        <v>131.08128356933594</v>
      </c>
      <c r="G15">
        <v>131.08128356933594</v>
      </c>
    </row>
    <row xmlns:x14ac="http://schemas.microsoft.com/office/spreadsheetml/2009/9/ac" r="16" x14ac:dyDescent="0.2">
      <c r="A16" t="s">
        <v>51</v>
      </c>
      <c r="B16">
        <v>115.06558227539063</v>
      </c>
      <c r="C16">
        <v>115.06558227539063</v>
      </c>
      <c r="D16">
        <v>115.06558227539063</v>
      </c>
      <c r="E16">
        <v>115.06558227539063</v>
      </c>
      <c r="F16">
        <v>115.06558227539063</v>
      </c>
      <c r="G16">
        <v>115.06558227539063</v>
      </c>
    </row>
    <row xmlns:x14ac="http://schemas.microsoft.com/office/spreadsheetml/2009/9/ac" r="17" x14ac:dyDescent="0.2">
      <c r="A17" t="s">
        <v>52</v>
      </c>
      <c r="B17">
        <v>99.952552795410156</v>
      </c>
      <c r="C17">
        <v>99.952552795410156</v>
      </c>
      <c r="D17">
        <v>99.952552795410156</v>
      </c>
      <c r="E17">
        <v>99.952552795410156</v>
      </c>
      <c r="F17">
        <v>99.952552795410156</v>
      </c>
      <c r="G17">
        <v>99.952552795410156</v>
      </c>
    </row>
    <row xmlns:x14ac="http://schemas.microsoft.com/office/spreadsheetml/2009/9/ac" r="18" x14ac:dyDescent="0.2">
      <c r="A18" t="s">
        <v>53</v>
      </c>
      <c r="B18">
        <v>88.867622375488281</v>
      </c>
      <c r="C18">
        <v>88.867622375488281</v>
      </c>
      <c r="D18">
        <v>88.867622375488281</v>
      </c>
      <c r="E18">
        <v>88.867622375488281</v>
      </c>
      <c r="F18">
        <v>88.867622375488281</v>
      </c>
      <c r="G18">
        <v>88.867622375488281</v>
      </c>
    </row>
    <row xmlns:x14ac="http://schemas.microsoft.com/office/spreadsheetml/2009/9/ac" r="19" x14ac:dyDescent="0.2">
      <c r="A19" t="s">
        <v>39</v>
      </c>
      <c r="B19">
        <v>56.299526214599609</v>
      </c>
      <c r="C19">
        <v>56.299526214599609</v>
      </c>
      <c r="D19">
        <v>56.299526214599609</v>
      </c>
      <c r="E19">
        <v>56.299526214599609</v>
      </c>
      <c r="F19">
        <v>56.299526214599609</v>
      </c>
      <c r="G19">
        <v>56.299526214599609</v>
      </c>
    </row>
    <row xmlns:x14ac="http://schemas.microsoft.com/office/spreadsheetml/2009/9/ac" r="20" x14ac:dyDescent="0.2">
      <c r="A20" t="s">
        <v>54</v>
      </c>
      <c r="B20">
        <v>7.1889920234680176</v>
      </c>
      <c r="C20">
        <v>7.1889920234680176</v>
      </c>
      <c r="D20">
        <v>7.1889920234680176</v>
      </c>
      <c r="E20">
        <v>7.1889920234680176</v>
      </c>
      <c r="F20">
        <v>7.1889920234680176</v>
      </c>
      <c r="G20">
        <v>7.1889920234680176</v>
      </c>
    </row>
    <row xmlns:x14ac="http://schemas.microsoft.com/office/spreadsheetml/2009/9/ac" r="21" x14ac:dyDescent="0.2">
      <c r="A21" t="s">
        <v>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xmlns:x14ac="http://schemas.microsoft.com/office/spreadsheetml/2009/9/ac" r="22" x14ac:dyDescent="0.2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xmlns:x14ac="http://schemas.microsoft.com/office/spreadsheetml/2009/9/ac" r="23" x14ac:dyDescent="0.2">
      <c r="A23" t="s">
        <v>37</v>
      </c>
      <c r="B23"/>
      <c r="C23"/>
      <c r="D23"/>
      <c r="E23"/>
      <c r="F23"/>
      <c r="G23"/>
    </row>
    <row xmlns:x14ac="http://schemas.microsoft.com/office/spreadsheetml/2009/9/ac" r="24" x14ac:dyDescent="0.2">
      <c r="A24" t="s">
        <v>26</v>
      </c>
      <c r="B24"/>
      <c r="C24"/>
      <c r="D24"/>
      <c r="E24"/>
      <c r="F24"/>
      <c r="G24"/>
    </row>
    <row xmlns:x14ac="http://schemas.microsoft.com/office/spreadsheetml/2009/9/ac" r="25" x14ac:dyDescent="0.2">
      <c r="A25" t="s">
        <v>33</v>
      </c>
      <c r="B25"/>
      <c r="C25"/>
      <c r="D25"/>
      <c r="E25"/>
      <c r="F25"/>
      <c r="G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read_me</vt:lpstr>
      <vt:lpstr>total_russia_adjustment</vt:lpstr>
      <vt:lpstr>total_attracted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MONIZ DE MOURA Carolina</dc:creator>
  <cp:lastModifiedBy>Carolina Moniz De Moura</cp:lastModifiedBy>
  <dcterms:created xsi:type="dcterms:W3CDTF">2026-06-09T08:01:14Z</dcterms:created>
  <dcterms:modified xsi:type="dcterms:W3CDTF">2026-06-29T13:12:33Z</dcterms:modified>
</cp:coreProperties>
</file>